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47da574954314853/Documents/"/>
    </mc:Choice>
  </mc:AlternateContent>
  <xr:revisionPtr revIDLastSave="1023" documentId="8_{2ABCD3D1-F6CE-446C-A963-77F939B4448C}" xr6:coauthVersionLast="47" xr6:coauthVersionMax="47" xr10:uidLastSave="{F9C4FE40-0D6D-4A52-8D9D-9BE99B8E4578}"/>
  <bookViews>
    <workbookView xWindow="20" yWindow="10" windowWidth="19180" windowHeight="10070" activeTab="3" xr2:uid="{CDF9622A-97A0-4625-8BD9-2C5907DA785D}"/>
  </bookViews>
  <sheets>
    <sheet name="Data Table" sheetId="1" r:id="rId1"/>
    <sheet name="KPI Summary" sheetId="3" r:id="rId2"/>
    <sheet name="Pivots" sheetId="4" r:id="rId3"/>
    <sheet name="Dashboard" sheetId="5" r:id="rId4"/>
  </sheets>
  <definedNames>
    <definedName name="ExternalData_1" localSheetId="0" hidden="1">'Data Table'!$A$1:$O$1501</definedName>
    <definedName name="Slicer_Current_Location">#N/A</definedName>
    <definedName name="Slicer_Order_Status">#N/A</definedName>
    <definedName name="Slicer_Rou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y data_60d83d6d-8d65-48c7-a37f-c39046db6a3a" name="Delivery data" connection="Query - Delivery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Q3" i="1"/>
  <c r="Q4" i="1"/>
  <c r="Q7" i="1"/>
  <c r="Q8" i="1"/>
  <c r="Q9" i="1"/>
  <c r="Q11" i="1"/>
  <c r="Q13" i="1"/>
  <c r="Q14" i="1"/>
  <c r="Q15" i="1"/>
  <c r="Q18" i="1"/>
  <c r="Q20" i="1"/>
  <c r="Q22" i="1"/>
  <c r="Q23" i="1"/>
  <c r="Q25" i="1"/>
  <c r="Q28" i="1"/>
  <c r="Q30" i="1"/>
  <c r="Q31" i="1"/>
  <c r="Q34" i="1"/>
  <c r="Q35" i="1"/>
  <c r="Q36" i="1"/>
  <c r="Q37" i="1"/>
  <c r="Q38" i="1"/>
  <c r="Q40" i="1"/>
  <c r="Q41" i="1"/>
  <c r="Q43" i="1"/>
  <c r="Q44" i="1"/>
  <c r="Q45" i="1"/>
  <c r="Q46" i="1"/>
  <c r="Q47" i="1"/>
  <c r="Q49" i="1"/>
  <c r="Q50" i="1"/>
  <c r="Q53" i="1"/>
  <c r="Q57" i="1"/>
  <c r="Q59" i="1"/>
  <c r="Q60" i="1"/>
  <c r="Q62" i="1"/>
  <c r="Q65" i="1"/>
  <c r="Q67" i="1"/>
  <c r="Q68" i="1"/>
  <c r="Q71" i="1"/>
  <c r="Q72" i="1"/>
  <c r="Q73" i="1"/>
  <c r="Q75" i="1"/>
  <c r="Q77" i="1"/>
  <c r="Q78" i="1"/>
  <c r="Q80" i="1"/>
  <c r="Q83" i="1"/>
  <c r="Q85" i="1"/>
  <c r="Q86" i="1"/>
  <c r="Q87" i="1"/>
  <c r="Q88" i="1"/>
  <c r="Q89" i="1"/>
  <c r="Q90" i="1"/>
  <c r="Q91" i="1"/>
  <c r="Q94" i="1"/>
  <c r="Q97" i="1"/>
  <c r="Q98" i="1"/>
  <c r="Q99" i="1"/>
  <c r="Q102" i="1"/>
  <c r="Q103" i="1"/>
  <c r="Q105" i="1"/>
  <c r="Q107" i="1"/>
  <c r="Q108" i="1"/>
  <c r="Q109" i="1"/>
  <c r="Q111" i="1"/>
  <c r="Q112" i="1"/>
  <c r="Q114" i="1"/>
  <c r="Q115" i="1"/>
  <c r="Q118" i="1"/>
  <c r="Q120" i="1"/>
  <c r="Q123" i="1"/>
  <c r="Q124" i="1"/>
  <c r="Q125" i="1"/>
  <c r="Q126" i="1"/>
  <c r="Q129" i="1"/>
  <c r="Q130" i="1"/>
  <c r="Q131" i="1"/>
  <c r="Q135" i="1"/>
  <c r="Q137" i="1"/>
  <c r="Q139" i="1"/>
  <c r="Q140" i="1"/>
  <c r="Q141" i="1"/>
  <c r="Q143" i="1"/>
  <c r="Q146" i="1"/>
  <c r="Q147" i="1"/>
  <c r="Q148" i="1"/>
  <c r="Q151" i="1"/>
  <c r="Q153" i="1"/>
  <c r="Q158" i="1"/>
  <c r="Q159" i="1"/>
  <c r="Q160" i="1"/>
  <c r="Q161" i="1"/>
  <c r="Q162" i="1"/>
  <c r="Q163" i="1"/>
  <c r="Q165" i="1"/>
  <c r="Q166" i="1"/>
  <c r="Q170" i="1"/>
  <c r="Q172" i="1"/>
  <c r="Q173" i="1"/>
  <c r="Q176" i="1"/>
  <c r="Q178" i="1"/>
  <c r="Q179" i="1"/>
  <c r="Q180" i="1"/>
  <c r="Q182" i="1"/>
  <c r="Q183" i="1"/>
  <c r="Q184" i="1"/>
  <c r="Q186" i="1"/>
  <c r="Q187" i="1"/>
  <c r="Q188" i="1"/>
  <c r="Q189" i="1"/>
  <c r="Q190" i="1"/>
  <c r="Q191" i="1"/>
  <c r="Q193" i="1"/>
  <c r="Q195" i="1"/>
  <c r="Q198" i="1"/>
  <c r="Q203" i="1"/>
  <c r="Q204" i="1"/>
  <c r="Q205" i="1"/>
  <c r="Q208" i="1"/>
  <c r="Q210" i="1"/>
  <c r="Q211" i="1"/>
  <c r="Q213" i="1"/>
  <c r="Q215" i="1"/>
  <c r="Q216" i="1"/>
  <c r="Q220" i="1"/>
  <c r="Q225" i="1"/>
  <c r="Q226" i="1"/>
  <c r="Q228" i="1"/>
  <c r="Q229" i="1"/>
  <c r="Q231" i="1"/>
  <c r="Q235" i="1"/>
  <c r="Q238" i="1"/>
  <c r="Q241" i="1"/>
  <c r="Q242" i="1"/>
  <c r="Q246" i="1"/>
  <c r="Q249" i="1"/>
  <c r="Q251" i="1"/>
  <c r="Q253" i="1"/>
  <c r="Q255" i="1"/>
  <c r="Q258" i="1"/>
  <c r="Q259" i="1"/>
  <c r="Q261" i="1"/>
  <c r="Q262" i="1"/>
  <c r="Q263" i="1"/>
  <c r="Q264" i="1"/>
  <c r="Q265" i="1"/>
  <c r="Q267" i="1"/>
  <c r="Q270" i="1"/>
  <c r="Q272" i="1"/>
  <c r="Q273" i="1"/>
  <c r="Q277" i="1"/>
  <c r="Q278" i="1"/>
  <c r="Q279" i="1"/>
  <c r="Q282" i="1"/>
  <c r="Q284" i="1"/>
  <c r="Q285" i="1"/>
  <c r="Q287" i="1"/>
  <c r="Q289" i="1"/>
  <c r="Q292" i="1"/>
  <c r="Q294" i="1"/>
  <c r="Q295" i="1"/>
  <c r="Q297" i="1"/>
  <c r="Q300" i="1"/>
  <c r="Q301" i="1"/>
  <c r="Q303" i="1"/>
  <c r="Q304" i="1"/>
  <c r="Q306" i="1"/>
  <c r="Q310" i="1"/>
  <c r="Q311" i="1"/>
  <c r="Q318" i="1"/>
  <c r="Q320" i="1"/>
  <c r="Q321" i="1"/>
  <c r="Q322" i="1"/>
  <c r="Q324" i="1"/>
  <c r="Q329" i="1"/>
  <c r="Q331" i="1"/>
  <c r="Q335" i="1"/>
  <c r="Q336" i="1"/>
  <c r="Q337" i="1"/>
  <c r="Q339" i="1"/>
  <c r="Q341" i="1"/>
  <c r="Q343" i="1"/>
  <c r="Q346" i="1"/>
  <c r="Q347" i="1"/>
  <c r="Q349" i="1"/>
  <c r="Q353" i="1"/>
  <c r="Q354" i="1"/>
  <c r="Q355" i="1"/>
  <c r="Q356" i="1"/>
  <c r="Q358" i="1"/>
  <c r="Q361" i="1"/>
  <c r="Q364" i="1"/>
  <c r="Q365" i="1"/>
  <c r="Q368" i="1"/>
  <c r="Q370" i="1"/>
  <c r="Q372" i="1"/>
  <c r="Q373" i="1"/>
  <c r="Q376" i="1"/>
  <c r="Q380" i="1"/>
  <c r="Q381" i="1"/>
  <c r="Q382" i="1"/>
  <c r="Q383" i="1"/>
  <c r="Q385" i="1"/>
  <c r="Q386" i="1"/>
  <c r="Q387" i="1"/>
  <c r="Q389" i="1"/>
  <c r="Q391" i="1"/>
  <c r="Q392" i="1"/>
  <c r="Q393" i="1"/>
  <c r="Q396" i="1"/>
  <c r="Q400" i="1"/>
  <c r="Q402" i="1"/>
  <c r="Q403" i="1"/>
  <c r="Q404" i="1"/>
  <c r="Q405" i="1"/>
  <c r="Q409" i="1"/>
  <c r="Q413" i="1"/>
  <c r="Q414" i="1"/>
  <c r="Q417" i="1"/>
  <c r="Q418" i="1"/>
  <c r="Q419" i="1"/>
  <c r="Q420" i="1"/>
  <c r="Q423" i="1"/>
  <c r="Q426" i="1"/>
  <c r="Q429" i="1"/>
  <c r="Q430" i="1"/>
  <c r="Q432" i="1"/>
  <c r="Q433" i="1"/>
  <c r="Q434" i="1"/>
  <c r="Q437" i="1"/>
  <c r="Q438" i="1"/>
  <c r="Q441" i="1"/>
  <c r="Q442" i="1"/>
  <c r="Q444" i="1"/>
  <c r="Q445" i="1"/>
  <c r="Q446" i="1"/>
  <c r="Q448" i="1"/>
  <c r="Q449" i="1"/>
  <c r="Q450" i="1"/>
  <c r="Q452" i="1"/>
  <c r="Q453" i="1"/>
  <c r="Q455" i="1"/>
  <c r="Q456" i="1"/>
  <c r="Q458" i="1"/>
  <c r="Q462" i="1"/>
  <c r="Q465" i="1"/>
  <c r="Q466" i="1"/>
  <c r="Q467" i="1"/>
  <c r="Q469" i="1"/>
  <c r="Q471" i="1"/>
  <c r="Q472" i="1"/>
  <c r="Q473" i="1"/>
  <c r="Q476" i="1"/>
  <c r="Q477" i="1"/>
  <c r="Q478" i="1"/>
  <c r="Q483" i="1"/>
  <c r="Q485" i="1"/>
  <c r="Q486" i="1"/>
  <c r="Q489" i="1"/>
  <c r="Q494" i="1"/>
  <c r="Q495" i="1"/>
  <c r="Q496" i="1"/>
  <c r="Q497" i="1"/>
  <c r="Q499" i="1"/>
  <c r="Q500" i="1"/>
  <c r="Q502" i="1"/>
  <c r="Q505" i="1"/>
  <c r="Q506" i="1"/>
  <c r="Q511" i="1"/>
  <c r="Q513" i="1"/>
  <c r="Q516" i="1"/>
  <c r="Q522" i="1"/>
  <c r="Q523" i="1"/>
  <c r="Q524" i="1"/>
  <c r="Q527" i="1"/>
  <c r="Q528" i="1"/>
  <c r="Q529" i="1"/>
  <c r="Q532" i="1"/>
  <c r="Q534" i="1"/>
  <c r="Q535" i="1"/>
  <c r="Q536" i="1"/>
  <c r="Q537" i="1"/>
  <c r="Q538" i="1"/>
  <c r="Q539" i="1"/>
  <c r="Q540" i="1"/>
  <c r="Q541" i="1"/>
  <c r="Q543" i="1"/>
  <c r="Q545" i="1"/>
  <c r="Q546" i="1"/>
  <c r="Q547" i="1"/>
  <c r="Q548" i="1"/>
  <c r="Q550" i="1"/>
  <c r="Q551" i="1"/>
  <c r="Q552" i="1"/>
  <c r="Q553" i="1"/>
  <c r="Q555" i="1"/>
  <c r="Q557" i="1"/>
  <c r="Q558" i="1"/>
  <c r="Q559" i="1"/>
  <c r="Q560" i="1"/>
  <c r="Q561" i="1"/>
  <c r="Q562" i="1"/>
  <c r="Q564" i="1"/>
  <c r="Q567" i="1"/>
  <c r="Q569" i="1"/>
  <c r="Q573" i="1"/>
  <c r="Q575" i="1"/>
  <c r="Q577" i="1"/>
  <c r="Q579" i="1"/>
  <c r="Q580" i="1"/>
  <c r="Q581" i="1"/>
  <c r="Q585" i="1"/>
  <c r="Q589" i="1"/>
  <c r="Q591" i="1"/>
  <c r="Q592" i="1"/>
  <c r="Q593" i="1"/>
  <c r="Q594" i="1"/>
  <c r="Q595" i="1"/>
  <c r="Q598" i="1"/>
  <c r="Q601" i="1"/>
  <c r="Q602" i="1"/>
  <c r="Q604" i="1"/>
  <c r="Q605" i="1"/>
  <c r="Q606" i="1"/>
  <c r="Q608" i="1"/>
  <c r="Q610" i="1"/>
  <c r="Q611" i="1"/>
  <c r="Q612" i="1"/>
  <c r="Q613" i="1"/>
  <c r="Q616" i="1"/>
  <c r="Q617" i="1"/>
  <c r="Q619" i="1"/>
  <c r="Q622" i="1"/>
  <c r="Q623" i="1"/>
  <c r="Q624" i="1"/>
  <c r="Q625" i="1"/>
  <c r="Q632" i="1"/>
  <c r="Q633" i="1"/>
  <c r="Q636" i="1"/>
  <c r="Q637" i="1"/>
  <c r="Q638" i="1"/>
  <c r="Q641" i="1"/>
  <c r="Q643" i="1"/>
  <c r="Q649" i="1"/>
  <c r="Q650" i="1"/>
  <c r="Q651" i="1"/>
  <c r="Q652" i="1"/>
  <c r="Q653" i="1"/>
  <c r="Q655" i="1"/>
  <c r="Q659" i="1"/>
  <c r="Q660" i="1"/>
  <c r="Q662" i="1"/>
  <c r="Q664" i="1"/>
  <c r="Q665" i="1"/>
  <c r="Q666" i="1"/>
  <c r="Q668" i="1"/>
  <c r="Q670" i="1"/>
  <c r="Q673" i="1"/>
  <c r="Q674" i="1"/>
  <c r="Q677" i="1"/>
  <c r="Q678" i="1"/>
  <c r="Q681" i="1"/>
  <c r="Q683" i="1"/>
  <c r="Q685" i="1"/>
  <c r="Q686" i="1"/>
  <c r="Q687" i="1"/>
  <c r="Q688" i="1"/>
  <c r="Q689" i="1"/>
  <c r="Q690" i="1"/>
  <c r="Q692" i="1"/>
  <c r="Q695" i="1"/>
  <c r="Q696" i="1"/>
  <c r="Q697" i="1"/>
  <c r="Q698" i="1"/>
  <c r="Q699" i="1"/>
  <c r="Q703" i="1"/>
  <c r="Q708" i="1"/>
  <c r="Q709" i="1"/>
  <c r="Q710" i="1"/>
  <c r="Q712" i="1"/>
  <c r="Q713" i="1"/>
  <c r="Q714" i="1"/>
  <c r="Q718" i="1"/>
  <c r="Q720" i="1"/>
  <c r="Q721" i="1"/>
  <c r="Q724" i="1"/>
  <c r="Q727" i="1"/>
  <c r="Q728" i="1"/>
  <c r="Q730" i="1"/>
  <c r="Q731" i="1"/>
  <c r="Q732" i="1"/>
  <c r="Q733" i="1"/>
  <c r="Q735" i="1"/>
  <c r="Q737" i="1"/>
  <c r="Q738" i="1"/>
  <c r="Q742" i="1"/>
  <c r="Q744" i="1"/>
  <c r="Q745" i="1"/>
  <c r="Q748" i="1"/>
  <c r="Q750" i="1"/>
  <c r="Q752" i="1"/>
  <c r="Q754" i="1"/>
  <c r="Q758" i="1"/>
  <c r="Q759" i="1"/>
  <c r="Q761" i="1"/>
  <c r="Q762" i="1"/>
  <c r="Q765" i="1"/>
  <c r="Q769" i="1"/>
  <c r="Q770" i="1"/>
  <c r="Q771" i="1"/>
  <c r="Q773" i="1"/>
  <c r="Q775" i="1"/>
  <c r="Q776" i="1"/>
  <c r="Q777" i="1"/>
  <c r="Q779" i="1"/>
  <c r="Q780" i="1"/>
  <c r="Q782" i="1"/>
  <c r="Q783" i="1"/>
  <c r="Q784" i="1"/>
  <c r="Q789" i="1"/>
  <c r="Q792" i="1"/>
  <c r="Q793" i="1"/>
  <c r="Q794" i="1"/>
  <c r="Q797" i="1"/>
  <c r="Q799" i="1"/>
  <c r="Q800" i="1"/>
  <c r="Q801" i="1"/>
  <c r="Q802" i="1"/>
  <c r="Q803" i="1"/>
  <c r="Q805" i="1"/>
  <c r="Q814" i="1"/>
  <c r="Q816" i="1"/>
  <c r="Q817" i="1"/>
  <c r="Q818" i="1"/>
  <c r="Q822" i="1"/>
  <c r="Q824" i="1"/>
  <c r="Q825" i="1"/>
  <c r="Q826" i="1"/>
  <c r="Q827" i="1"/>
  <c r="Q828" i="1"/>
  <c r="Q829" i="1"/>
  <c r="Q831" i="1"/>
  <c r="Q832" i="1"/>
  <c r="Q833" i="1"/>
  <c r="Q835" i="1"/>
  <c r="Q836" i="1"/>
  <c r="Q844" i="1"/>
  <c r="Q845" i="1"/>
  <c r="Q846" i="1"/>
  <c r="Q847" i="1"/>
  <c r="Q849" i="1"/>
  <c r="Q851" i="1"/>
  <c r="Q852" i="1"/>
  <c r="Q855" i="1"/>
  <c r="Q857" i="1"/>
  <c r="Q859" i="1"/>
  <c r="Q862" i="1"/>
  <c r="Q865" i="1"/>
  <c r="Q867" i="1"/>
  <c r="Q868" i="1"/>
  <c r="Q870" i="1"/>
  <c r="Q873" i="1"/>
  <c r="Q874" i="1"/>
  <c r="Q875" i="1"/>
  <c r="Q876" i="1"/>
  <c r="Q879" i="1"/>
  <c r="Q880" i="1"/>
  <c r="Q882" i="1"/>
  <c r="Q886" i="1"/>
  <c r="Q887" i="1"/>
  <c r="Q888" i="1"/>
  <c r="Q893" i="1"/>
  <c r="Q895" i="1"/>
  <c r="Q896" i="1"/>
  <c r="Q897" i="1"/>
  <c r="Q899" i="1"/>
  <c r="Q901" i="1"/>
  <c r="Q902" i="1"/>
  <c r="Q904" i="1"/>
  <c r="Q906" i="1"/>
  <c r="Q908" i="1"/>
  <c r="Q913" i="1"/>
  <c r="Q914" i="1"/>
  <c r="Q915" i="1"/>
  <c r="Q917" i="1"/>
  <c r="Q918" i="1"/>
  <c r="Q920" i="1"/>
  <c r="Q921" i="1"/>
  <c r="Q922" i="1"/>
  <c r="Q923" i="1"/>
  <c r="Q924" i="1"/>
  <c r="Q926" i="1"/>
  <c r="Q927" i="1"/>
  <c r="Q929" i="1"/>
  <c r="Q931" i="1"/>
  <c r="Q932" i="1"/>
  <c r="Q938" i="1"/>
  <c r="Q939" i="1"/>
  <c r="Q942" i="1"/>
  <c r="Q945" i="1"/>
  <c r="Q947" i="1"/>
  <c r="Q949" i="1"/>
  <c r="Q950" i="1"/>
  <c r="Q952" i="1"/>
  <c r="Q954" i="1"/>
  <c r="Q956" i="1"/>
  <c r="Q961" i="1"/>
  <c r="Q962" i="1"/>
  <c r="Q963" i="1"/>
  <c r="Q967" i="1"/>
  <c r="Q968" i="1"/>
  <c r="Q969" i="1"/>
  <c r="Q972" i="1"/>
  <c r="Q973" i="1"/>
  <c r="Q976" i="1"/>
  <c r="Q977" i="1"/>
  <c r="Q978" i="1"/>
  <c r="Q980" i="1"/>
  <c r="Q981" i="1"/>
  <c r="Q983" i="1"/>
  <c r="Q989" i="1"/>
  <c r="Q991" i="1"/>
  <c r="Q992" i="1"/>
  <c r="Q994" i="1"/>
  <c r="Q997" i="1"/>
  <c r="Q999" i="1"/>
  <c r="Q1001" i="1"/>
  <c r="Q1005" i="1"/>
  <c r="Q1008" i="1"/>
  <c r="Q1009" i="1"/>
  <c r="Q1010" i="1"/>
  <c r="Q1012" i="1"/>
  <c r="Q1013" i="1"/>
  <c r="Q1014" i="1"/>
  <c r="Q1020" i="1"/>
  <c r="Q1023" i="1"/>
  <c r="Q1024" i="1"/>
  <c r="Q1025" i="1"/>
  <c r="Q1026" i="1"/>
  <c r="Q1027" i="1"/>
  <c r="Q1032" i="1"/>
  <c r="Q1033" i="1"/>
  <c r="Q1034" i="1"/>
  <c r="Q1035" i="1"/>
  <c r="Q1036" i="1"/>
  <c r="Q1040" i="1"/>
  <c r="Q1041" i="1"/>
  <c r="Q1042" i="1"/>
  <c r="Q1043" i="1"/>
  <c r="Q1045" i="1"/>
  <c r="Q1046" i="1"/>
  <c r="Q1047" i="1"/>
  <c r="Q1048" i="1"/>
  <c r="Q1052" i="1"/>
  <c r="Q1054" i="1"/>
  <c r="Q1055" i="1"/>
  <c r="Q1056" i="1"/>
  <c r="Q1057" i="1"/>
  <c r="Q1059" i="1"/>
  <c r="Q1061" i="1"/>
  <c r="Q1062" i="1"/>
  <c r="Q1064" i="1"/>
  <c r="Q1066" i="1"/>
  <c r="Q1068" i="1"/>
  <c r="Q1071" i="1"/>
  <c r="Q1074" i="1"/>
  <c r="Q1078" i="1"/>
  <c r="Q1079" i="1"/>
  <c r="Q1080" i="1"/>
  <c r="Q1081" i="1"/>
  <c r="Q1083" i="1"/>
  <c r="Q1086" i="1"/>
  <c r="Q1089" i="1"/>
  <c r="Q1090" i="1"/>
  <c r="Q1091" i="1"/>
  <c r="Q1092" i="1"/>
  <c r="Q1096" i="1"/>
  <c r="Q1097" i="1"/>
  <c r="Q1098" i="1"/>
  <c r="Q1099" i="1"/>
  <c r="Q1100" i="1"/>
  <c r="Q1101" i="1"/>
  <c r="Q1102" i="1"/>
  <c r="Q1104" i="1"/>
  <c r="Q1107" i="1"/>
  <c r="Q1110" i="1"/>
  <c r="Q1111" i="1"/>
  <c r="Q1113" i="1"/>
  <c r="Q1114" i="1"/>
  <c r="Q1115" i="1"/>
  <c r="Q1117" i="1"/>
  <c r="Q1118" i="1"/>
  <c r="Q1120" i="1"/>
  <c r="Q1121" i="1"/>
  <c r="Q1123" i="1"/>
  <c r="Q1124" i="1"/>
  <c r="Q1125" i="1"/>
  <c r="Q1127" i="1"/>
  <c r="Q1128" i="1"/>
  <c r="Q1129" i="1"/>
  <c r="Q1132" i="1"/>
  <c r="Q1137" i="1"/>
  <c r="Q1139" i="1"/>
  <c r="Q1141" i="1"/>
  <c r="Q1144" i="1"/>
  <c r="Q1145" i="1"/>
  <c r="Q1146" i="1"/>
  <c r="Q1147" i="1"/>
  <c r="Q1148" i="1"/>
  <c r="Q1149" i="1"/>
  <c r="Q1150" i="1"/>
  <c r="Q1151" i="1"/>
  <c r="Q1157" i="1"/>
  <c r="Q1158" i="1"/>
  <c r="Q1159" i="1"/>
  <c r="Q1160" i="1"/>
  <c r="Q1161" i="1"/>
  <c r="Q1163" i="1"/>
  <c r="Q1165" i="1"/>
  <c r="Q1166" i="1"/>
  <c r="Q1168" i="1"/>
  <c r="Q1169" i="1"/>
  <c r="Q1171" i="1"/>
  <c r="Q1172" i="1"/>
  <c r="Q1176" i="1"/>
  <c r="Q1178" i="1"/>
  <c r="Q1180" i="1"/>
  <c r="Q1181" i="1"/>
  <c r="Q1182" i="1"/>
  <c r="Q1187" i="1"/>
  <c r="Q1191" i="1"/>
  <c r="Q1193" i="1"/>
  <c r="Q1194" i="1"/>
  <c r="Q1196" i="1"/>
  <c r="Q1198" i="1"/>
  <c r="Q1202" i="1"/>
  <c r="Q1203" i="1"/>
  <c r="Q1205" i="1"/>
  <c r="Q1206" i="1"/>
  <c r="Q1207" i="1"/>
  <c r="Q1211" i="1"/>
  <c r="Q1212" i="1"/>
  <c r="Q1213" i="1"/>
  <c r="Q1217" i="1"/>
  <c r="Q1219" i="1"/>
  <c r="Q1220" i="1"/>
  <c r="Q1223" i="1"/>
  <c r="Q1225" i="1"/>
  <c r="Q1226" i="1"/>
  <c r="Q1228" i="1"/>
  <c r="Q1229" i="1"/>
  <c r="Q1230" i="1"/>
  <c r="Q1236" i="1"/>
  <c r="Q1238" i="1"/>
  <c r="Q1240" i="1"/>
  <c r="Q1241" i="1"/>
  <c r="Q1243" i="1"/>
  <c r="Q1244" i="1"/>
  <c r="Q1246" i="1"/>
  <c r="Q1248" i="1"/>
  <c r="Q1250" i="1"/>
  <c r="Q1251" i="1"/>
  <c r="Q1252" i="1"/>
  <c r="Q1253" i="1"/>
  <c r="Q1254" i="1"/>
  <c r="Q1255" i="1"/>
  <c r="Q1256" i="1"/>
  <c r="Q1259" i="1"/>
  <c r="Q1261" i="1"/>
  <c r="Q1262" i="1"/>
  <c r="Q1265" i="1"/>
  <c r="Q1269" i="1"/>
  <c r="Q1270" i="1"/>
  <c r="Q1271" i="1"/>
  <c r="Q1272" i="1"/>
  <c r="Q1273" i="1"/>
  <c r="Q1275" i="1"/>
  <c r="Q1276" i="1"/>
  <c r="Q1281" i="1"/>
  <c r="Q1285" i="1"/>
  <c r="Q1287" i="1"/>
  <c r="Q1288" i="1"/>
  <c r="Q1289" i="1"/>
  <c r="Q1290" i="1"/>
  <c r="Q1292" i="1"/>
  <c r="Q1293" i="1"/>
  <c r="Q1297" i="1"/>
  <c r="Q1299" i="1"/>
  <c r="Q1302" i="1"/>
  <c r="Q1304" i="1"/>
  <c r="Q1310" i="1"/>
  <c r="Q1311" i="1"/>
  <c r="Q1312" i="1"/>
  <c r="Q1313" i="1"/>
  <c r="Q1316" i="1"/>
  <c r="Q1321" i="1"/>
  <c r="Q1326" i="1"/>
  <c r="Q1329" i="1"/>
  <c r="Q1330" i="1"/>
  <c r="Q1331" i="1"/>
  <c r="Q1332" i="1"/>
  <c r="Q1333" i="1"/>
  <c r="Q1334" i="1"/>
  <c r="Q1335" i="1"/>
  <c r="Q1336" i="1"/>
  <c r="Q1338" i="1"/>
  <c r="Q1339" i="1"/>
  <c r="Q1340" i="1"/>
  <c r="Q1341" i="1"/>
  <c r="Q1342" i="1"/>
  <c r="Q1343" i="1"/>
  <c r="Q1344" i="1"/>
  <c r="Q1350" i="1"/>
  <c r="Q1351" i="1"/>
  <c r="Q1353" i="1"/>
  <c r="Q1356" i="1"/>
  <c r="Q1358" i="1"/>
  <c r="Q1359" i="1"/>
  <c r="Q1363" i="1"/>
  <c r="Q1365" i="1"/>
  <c r="Q1366" i="1"/>
  <c r="Q1367" i="1"/>
  <c r="Q1368" i="1"/>
  <c r="Q1370" i="1"/>
  <c r="Q1371" i="1"/>
  <c r="Q1372" i="1"/>
  <c r="Q1374" i="1"/>
  <c r="Q1378" i="1"/>
  <c r="Q1380" i="1"/>
  <c r="Q1382" i="1"/>
  <c r="Q1383" i="1"/>
  <c r="Q1385" i="1"/>
  <c r="Q1386" i="1"/>
  <c r="Q1387" i="1"/>
  <c r="Q1389" i="1"/>
  <c r="Q1390" i="1"/>
  <c r="Q1394" i="1"/>
  <c r="Q1395" i="1"/>
  <c r="Q1396" i="1"/>
  <c r="Q1397" i="1"/>
  <c r="Q1398" i="1"/>
  <c r="Q1399" i="1"/>
  <c r="Q1404" i="1"/>
  <c r="Q1406" i="1"/>
  <c r="Q1408" i="1"/>
  <c r="Q1409" i="1"/>
  <c r="Q1411" i="1"/>
  <c r="Q1412" i="1"/>
  <c r="Q1413" i="1"/>
  <c r="Q1414" i="1"/>
  <c r="Q1416" i="1"/>
  <c r="Q1417" i="1"/>
  <c r="Q1420" i="1"/>
  <c r="Q1422" i="1"/>
  <c r="Q1423" i="1"/>
  <c r="Q1426" i="1"/>
  <c r="Q1427" i="1"/>
  <c r="Q1428" i="1"/>
  <c r="Q1429" i="1"/>
  <c r="Q1430" i="1"/>
  <c r="Q1431" i="1"/>
  <c r="Q1433" i="1"/>
  <c r="Q1435" i="1"/>
  <c r="Q1438" i="1"/>
  <c r="Q1440" i="1"/>
  <c r="Q1441" i="1"/>
  <c r="Q1442" i="1"/>
  <c r="Q1443" i="1"/>
  <c r="Q1445" i="1"/>
  <c r="Q1446" i="1"/>
  <c r="Q1447" i="1"/>
  <c r="Q1448" i="1"/>
  <c r="Q1449" i="1"/>
  <c r="Q1454" i="1"/>
  <c r="Q1456" i="1"/>
  <c r="Q1458" i="1"/>
  <c r="Q1461" i="1"/>
  <c r="Q1462" i="1"/>
  <c r="Q1469" i="1"/>
  <c r="Q1470" i="1"/>
  <c r="Q1471" i="1"/>
  <c r="Q1472" i="1"/>
  <c r="Q1473" i="1"/>
  <c r="Q1476" i="1"/>
  <c r="Q1477" i="1"/>
  <c r="Q1478" i="1"/>
  <c r="Q1480" i="1"/>
  <c r="Q1481" i="1"/>
  <c r="Q1482" i="1"/>
  <c r="Q1483" i="1"/>
  <c r="Q1486" i="1"/>
  <c r="Q1487" i="1"/>
  <c r="Q1489" i="1"/>
  <c r="Q1490" i="1"/>
  <c r="Q1491" i="1"/>
  <c r="Q1494" i="1"/>
  <c r="Q1495" i="1"/>
  <c r="Q1497" i="1"/>
  <c r="Q1498" i="1"/>
  <c r="P2" i="1"/>
  <c r="Q2" i="1" s="1"/>
  <c r="P3" i="1"/>
  <c r="P4" i="1"/>
  <c r="P5" i="1"/>
  <c r="Q5" i="1" s="1"/>
  <c r="P6" i="1"/>
  <c r="Q6" i="1" s="1"/>
  <c r="P7" i="1"/>
  <c r="P8" i="1"/>
  <c r="P9" i="1"/>
  <c r="P10" i="1"/>
  <c r="Q10" i="1" s="1"/>
  <c r="P11" i="1"/>
  <c r="P12" i="1"/>
  <c r="Q12" i="1" s="1"/>
  <c r="P13" i="1"/>
  <c r="P14" i="1"/>
  <c r="P15" i="1"/>
  <c r="P16" i="1"/>
  <c r="Q16" i="1" s="1"/>
  <c r="P17" i="1"/>
  <c r="Q17" i="1" s="1"/>
  <c r="P18" i="1"/>
  <c r="P19" i="1"/>
  <c r="Q19" i="1" s="1"/>
  <c r="P20" i="1"/>
  <c r="P21" i="1"/>
  <c r="Q21" i="1" s="1"/>
  <c r="P22" i="1"/>
  <c r="P23" i="1"/>
  <c r="P24" i="1"/>
  <c r="Q24" i="1" s="1"/>
  <c r="P25" i="1"/>
  <c r="P26" i="1"/>
  <c r="Q26" i="1" s="1"/>
  <c r="P27" i="1"/>
  <c r="Q27" i="1" s="1"/>
  <c r="P28" i="1"/>
  <c r="P29" i="1"/>
  <c r="Q29" i="1" s="1"/>
  <c r="P30" i="1"/>
  <c r="P31" i="1"/>
  <c r="P32" i="1"/>
  <c r="Q32" i="1" s="1"/>
  <c r="P33" i="1"/>
  <c r="Q33" i="1" s="1"/>
  <c r="P34" i="1"/>
  <c r="P35" i="1"/>
  <c r="P36" i="1"/>
  <c r="P37" i="1"/>
  <c r="P38" i="1"/>
  <c r="P39" i="1"/>
  <c r="Q39" i="1" s="1"/>
  <c r="P40" i="1"/>
  <c r="P41" i="1"/>
  <c r="P42" i="1"/>
  <c r="Q42" i="1" s="1"/>
  <c r="P43" i="1"/>
  <c r="P44" i="1"/>
  <c r="P45" i="1"/>
  <c r="P46" i="1"/>
  <c r="P47" i="1"/>
  <c r="P48" i="1"/>
  <c r="Q48" i="1" s="1"/>
  <c r="P49" i="1"/>
  <c r="P50" i="1"/>
  <c r="P51" i="1"/>
  <c r="Q51" i="1" s="1"/>
  <c r="P52" i="1"/>
  <c r="Q52" i="1" s="1"/>
  <c r="P53" i="1"/>
  <c r="P54" i="1"/>
  <c r="Q54" i="1" s="1"/>
  <c r="P55" i="1"/>
  <c r="Q55" i="1" s="1"/>
  <c r="P56" i="1"/>
  <c r="Q56" i="1" s="1"/>
  <c r="P57" i="1"/>
  <c r="P58" i="1"/>
  <c r="Q58" i="1" s="1"/>
  <c r="P59" i="1"/>
  <c r="P60" i="1"/>
  <c r="P61" i="1"/>
  <c r="Q61" i="1" s="1"/>
  <c r="P62" i="1"/>
  <c r="P63" i="1"/>
  <c r="Q63" i="1" s="1"/>
  <c r="P64" i="1"/>
  <c r="Q64" i="1" s="1"/>
  <c r="P65" i="1"/>
  <c r="P66" i="1"/>
  <c r="Q66" i="1" s="1"/>
  <c r="P67" i="1"/>
  <c r="P68" i="1"/>
  <c r="P69" i="1"/>
  <c r="Q69" i="1" s="1"/>
  <c r="P70" i="1"/>
  <c r="Q70" i="1" s="1"/>
  <c r="P71" i="1"/>
  <c r="P72" i="1"/>
  <c r="P73" i="1"/>
  <c r="P74" i="1"/>
  <c r="Q74" i="1" s="1"/>
  <c r="P75" i="1"/>
  <c r="P76" i="1"/>
  <c r="Q76" i="1" s="1"/>
  <c r="P77" i="1"/>
  <c r="P78" i="1"/>
  <c r="P79" i="1"/>
  <c r="Q79" i="1" s="1"/>
  <c r="P80" i="1"/>
  <c r="P81" i="1"/>
  <c r="Q81" i="1" s="1"/>
  <c r="P82" i="1"/>
  <c r="Q82" i="1" s="1"/>
  <c r="P83" i="1"/>
  <c r="P84" i="1"/>
  <c r="Q84" i="1" s="1"/>
  <c r="P85" i="1"/>
  <c r="P86" i="1"/>
  <c r="P87" i="1"/>
  <c r="P88" i="1"/>
  <c r="P89" i="1"/>
  <c r="P90" i="1"/>
  <c r="P91" i="1"/>
  <c r="P92" i="1"/>
  <c r="Q92" i="1" s="1"/>
  <c r="P93" i="1"/>
  <c r="Q93" i="1" s="1"/>
  <c r="P94" i="1"/>
  <c r="P95" i="1"/>
  <c r="Q95" i="1" s="1"/>
  <c r="P96" i="1"/>
  <c r="Q96" i="1" s="1"/>
  <c r="P97" i="1"/>
  <c r="P98" i="1"/>
  <c r="P99" i="1"/>
  <c r="P100" i="1"/>
  <c r="Q100" i="1" s="1"/>
  <c r="P101" i="1"/>
  <c r="Q101" i="1" s="1"/>
  <c r="P102" i="1"/>
  <c r="P103" i="1"/>
  <c r="P104" i="1"/>
  <c r="Q104" i="1" s="1"/>
  <c r="P105" i="1"/>
  <c r="P106" i="1"/>
  <c r="Q106" i="1" s="1"/>
  <c r="P107" i="1"/>
  <c r="P108" i="1"/>
  <c r="P109" i="1"/>
  <c r="P110" i="1"/>
  <c r="Q110" i="1" s="1"/>
  <c r="P111" i="1"/>
  <c r="P112" i="1"/>
  <c r="P113" i="1"/>
  <c r="Q113" i="1" s="1"/>
  <c r="P114" i="1"/>
  <c r="P115" i="1"/>
  <c r="P116" i="1"/>
  <c r="Q116" i="1" s="1"/>
  <c r="P117" i="1"/>
  <c r="Q117" i="1" s="1"/>
  <c r="P118" i="1"/>
  <c r="P119" i="1"/>
  <c r="Q119" i="1" s="1"/>
  <c r="P120" i="1"/>
  <c r="P121" i="1"/>
  <c r="Q121" i="1" s="1"/>
  <c r="P122" i="1"/>
  <c r="Q122" i="1" s="1"/>
  <c r="P123" i="1"/>
  <c r="P124" i="1"/>
  <c r="P125" i="1"/>
  <c r="P126" i="1"/>
  <c r="P127" i="1"/>
  <c r="Q127" i="1" s="1"/>
  <c r="P128" i="1"/>
  <c r="Q128" i="1" s="1"/>
  <c r="P129" i="1"/>
  <c r="P130" i="1"/>
  <c r="P131" i="1"/>
  <c r="P132" i="1"/>
  <c r="Q132" i="1" s="1"/>
  <c r="P133" i="1"/>
  <c r="Q133" i="1" s="1"/>
  <c r="P134" i="1"/>
  <c r="Q134" i="1" s="1"/>
  <c r="P135" i="1"/>
  <c r="P136" i="1"/>
  <c r="Q136" i="1" s="1"/>
  <c r="P137" i="1"/>
  <c r="P138" i="1"/>
  <c r="Q138" i="1" s="1"/>
  <c r="P139" i="1"/>
  <c r="P140" i="1"/>
  <c r="P141" i="1"/>
  <c r="P142" i="1"/>
  <c r="Q142" i="1" s="1"/>
  <c r="P143" i="1"/>
  <c r="P144" i="1"/>
  <c r="Q144" i="1" s="1"/>
  <c r="P145" i="1"/>
  <c r="Q145" i="1" s="1"/>
  <c r="P146" i="1"/>
  <c r="P147" i="1"/>
  <c r="P148" i="1"/>
  <c r="P149" i="1"/>
  <c r="Q149" i="1" s="1"/>
  <c r="P150" i="1"/>
  <c r="Q150" i="1" s="1"/>
  <c r="P151" i="1"/>
  <c r="P152" i="1"/>
  <c r="Q152" i="1" s="1"/>
  <c r="P153" i="1"/>
  <c r="P154" i="1"/>
  <c r="Q154" i="1" s="1"/>
  <c r="P155" i="1"/>
  <c r="Q155" i="1" s="1"/>
  <c r="P156" i="1"/>
  <c r="Q156" i="1" s="1"/>
  <c r="P157" i="1"/>
  <c r="Q157" i="1" s="1"/>
  <c r="P158" i="1"/>
  <c r="P159" i="1"/>
  <c r="P160" i="1"/>
  <c r="P161" i="1"/>
  <c r="P162" i="1"/>
  <c r="P163" i="1"/>
  <c r="P164" i="1"/>
  <c r="Q164" i="1" s="1"/>
  <c r="P165" i="1"/>
  <c r="P166" i="1"/>
  <c r="P167" i="1"/>
  <c r="Q167" i="1" s="1"/>
  <c r="P168" i="1"/>
  <c r="Q168" i="1" s="1"/>
  <c r="P169" i="1"/>
  <c r="Q169" i="1" s="1"/>
  <c r="P170" i="1"/>
  <c r="P171" i="1"/>
  <c r="Q171" i="1" s="1"/>
  <c r="P172" i="1"/>
  <c r="P173" i="1"/>
  <c r="P174" i="1"/>
  <c r="Q174" i="1" s="1"/>
  <c r="P175" i="1"/>
  <c r="Q175" i="1" s="1"/>
  <c r="P176" i="1"/>
  <c r="P177" i="1"/>
  <c r="Q177" i="1" s="1"/>
  <c r="P178" i="1"/>
  <c r="P179" i="1"/>
  <c r="P180" i="1"/>
  <c r="P181" i="1"/>
  <c r="Q181" i="1" s="1"/>
  <c r="P182" i="1"/>
  <c r="P183" i="1"/>
  <c r="P184" i="1"/>
  <c r="P185" i="1"/>
  <c r="Q185" i="1" s="1"/>
  <c r="P186" i="1"/>
  <c r="P187" i="1"/>
  <c r="P188" i="1"/>
  <c r="P189" i="1"/>
  <c r="P190" i="1"/>
  <c r="P191" i="1"/>
  <c r="P192" i="1"/>
  <c r="Q192" i="1" s="1"/>
  <c r="P193" i="1"/>
  <c r="P194" i="1"/>
  <c r="Q194" i="1" s="1"/>
  <c r="P195" i="1"/>
  <c r="P196" i="1"/>
  <c r="Q196" i="1" s="1"/>
  <c r="P197" i="1"/>
  <c r="Q197" i="1" s="1"/>
  <c r="P198" i="1"/>
  <c r="P199" i="1"/>
  <c r="Q199" i="1" s="1"/>
  <c r="P200" i="1"/>
  <c r="Q200" i="1" s="1"/>
  <c r="P201" i="1"/>
  <c r="Q201" i="1" s="1"/>
  <c r="P202" i="1"/>
  <c r="Q202" i="1" s="1"/>
  <c r="P203" i="1"/>
  <c r="P204" i="1"/>
  <c r="P205" i="1"/>
  <c r="P206" i="1"/>
  <c r="Q206" i="1" s="1"/>
  <c r="P207" i="1"/>
  <c r="Q207" i="1" s="1"/>
  <c r="P208" i="1"/>
  <c r="P209" i="1"/>
  <c r="Q209" i="1" s="1"/>
  <c r="P210" i="1"/>
  <c r="P211" i="1"/>
  <c r="P212" i="1"/>
  <c r="Q212" i="1" s="1"/>
  <c r="P213" i="1"/>
  <c r="P214" i="1"/>
  <c r="Q214" i="1" s="1"/>
  <c r="P215" i="1"/>
  <c r="P216" i="1"/>
  <c r="P217" i="1"/>
  <c r="Q217" i="1" s="1"/>
  <c r="P218" i="1"/>
  <c r="Q218" i="1" s="1"/>
  <c r="P219" i="1"/>
  <c r="Q219" i="1" s="1"/>
  <c r="P220" i="1"/>
  <c r="P221" i="1"/>
  <c r="Q221" i="1" s="1"/>
  <c r="P222" i="1"/>
  <c r="Q222" i="1" s="1"/>
  <c r="P223" i="1"/>
  <c r="Q223" i="1" s="1"/>
  <c r="P224" i="1"/>
  <c r="Q224" i="1" s="1"/>
  <c r="P225" i="1"/>
  <c r="P226" i="1"/>
  <c r="P227" i="1"/>
  <c r="Q227" i="1" s="1"/>
  <c r="P228" i="1"/>
  <c r="P229" i="1"/>
  <c r="P230" i="1"/>
  <c r="Q230" i="1" s="1"/>
  <c r="P231" i="1"/>
  <c r="P232" i="1"/>
  <c r="Q232" i="1" s="1"/>
  <c r="P233" i="1"/>
  <c r="Q233" i="1" s="1"/>
  <c r="P234" i="1"/>
  <c r="Q234" i="1" s="1"/>
  <c r="P235" i="1"/>
  <c r="P236" i="1"/>
  <c r="Q236" i="1" s="1"/>
  <c r="P237" i="1"/>
  <c r="Q237" i="1" s="1"/>
  <c r="P238" i="1"/>
  <c r="P239" i="1"/>
  <c r="Q239" i="1" s="1"/>
  <c r="P240" i="1"/>
  <c r="Q240" i="1" s="1"/>
  <c r="P241" i="1"/>
  <c r="P242" i="1"/>
  <c r="P243" i="1"/>
  <c r="Q243" i="1" s="1"/>
  <c r="P244" i="1"/>
  <c r="Q244" i="1" s="1"/>
  <c r="P245" i="1"/>
  <c r="Q245" i="1" s="1"/>
  <c r="P246" i="1"/>
  <c r="P247" i="1"/>
  <c r="Q247" i="1" s="1"/>
  <c r="P248" i="1"/>
  <c r="Q248" i="1" s="1"/>
  <c r="P249" i="1"/>
  <c r="P250" i="1"/>
  <c r="Q250" i="1" s="1"/>
  <c r="P251" i="1"/>
  <c r="P252" i="1"/>
  <c r="Q252" i="1" s="1"/>
  <c r="P253" i="1"/>
  <c r="P254" i="1"/>
  <c r="Q254" i="1" s="1"/>
  <c r="P255" i="1"/>
  <c r="P256" i="1"/>
  <c r="Q256" i="1" s="1"/>
  <c r="P257" i="1"/>
  <c r="Q257" i="1" s="1"/>
  <c r="P258" i="1"/>
  <c r="P259" i="1"/>
  <c r="P260" i="1"/>
  <c r="Q260" i="1" s="1"/>
  <c r="P261" i="1"/>
  <c r="P262" i="1"/>
  <c r="P263" i="1"/>
  <c r="P264" i="1"/>
  <c r="P265" i="1"/>
  <c r="P266" i="1"/>
  <c r="Q266" i="1" s="1"/>
  <c r="P267" i="1"/>
  <c r="P268" i="1"/>
  <c r="Q268" i="1" s="1"/>
  <c r="P269" i="1"/>
  <c r="Q269" i="1" s="1"/>
  <c r="P270" i="1"/>
  <c r="P271" i="1"/>
  <c r="Q271" i="1" s="1"/>
  <c r="P272" i="1"/>
  <c r="P273" i="1"/>
  <c r="P274" i="1"/>
  <c r="Q274" i="1" s="1"/>
  <c r="P275" i="1"/>
  <c r="Q275" i="1" s="1"/>
  <c r="P276" i="1"/>
  <c r="Q276" i="1" s="1"/>
  <c r="P277" i="1"/>
  <c r="P278" i="1"/>
  <c r="P279" i="1"/>
  <c r="P280" i="1"/>
  <c r="Q280" i="1" s="1"/>
  <c r="P281" i="1"/>
  <c r="Q281" i="1" s="1"/>
  <c r="P282" i="1"/>
  <c r="P283" i="1"/>
  <c r="Q283" i="1" s="1"/>
  <c r="P284" i="1"/>
  <c r="P285" i="1"/>
  <c r="P286" i="1"/>
  <c r="Q286" i="1" s="1"/>
  <c r="P287" i="1"/>
  <c r="P288" i="1"/>
  <c r="Q288" i="1" s="1"/>
  <c r="P289" i="1"/>
  <c r="P290" i="1"/>
  <c r="Q290" i="1" s="1"/>
  <c r="P291" i="1"/>
  <c r="Q291" i="1" s="1"/>
  <c r="P292" i="1"/>
  <c r="P293" i="1"/>
  <c r="Q293" i="1" s="1"/>
  <c r="P294" i="1"/>
  <c r="P295" i="1"/>
  <c r="P296" i="1"/>
  <c r="Q296" i="1" s="1"/>
  <c r="P297" i="1"/>
  <c r="P298" i="1"/>
  <c r="Q298" i="1" s="1"/>
  <c r="P299" i="1"/>
  <c r="Q299" i="1" s="1"/>
  <c r="P300" i="1"/>
  <c r="P301" i="1"/>
  <c r="P302" i="1"/>
  <c r="Q302" i="1" s="1"/>
  <c r="P303" i="1"/>
  <c r="P304" i="1"/>
  <c r="P305" i="1"/>
  <c r="Q305" i="1" s="1"/>
  <c r="P306" i="1"/>
  <c r="P307" i="1"/>
  <c r="Q307" i="1" s="1"/>
  <c r="P308" i="1"/>
  <c r="Q308" i="1" s="1"/>
  <c r="P309" i="1"/>
  <c r="Q309" i="1" s="1"/>
  <c r="P310" i="1"/>
  <c r="P311" i="1"/>
  <c r="P312" i="1"/>
  <c r="Q312" i="1" s="1"/>
  <c r="P313" i="1"/>
  <c r="Q313" i="1" s="1"/>
  <c r="P314" i="1"/>
  <c r="Q314" i="1" s="1"/>
  <c r="P315" i="1"/>
  <c r="Q315" i="1" s="1"/>
  <c r="P316" i="1"/>
  <c r="Q316" i="1" s="1"/>
  <c r="P317" i="1"/>
  <c r="Q317" i="1" s="1"/>
  <c r="P318" i="1"/>
  <c r="P319" i="1"/>
  <c r="Q319" i="1" s="1"/>
  <c r="P320" i="1"/>
  <c r="P321" i="1"/>
  <c r="P322" i="1"/>
  <c r="P323" i="1"/>
  <c r="Q323" i="1" s="1"/>
  <c r="P324" i="1"/>
  <c r="P325" i="1"/>
  <c r="Q325" i="1" s="1"/>
  <c r="P326" i="1"/>
  <c r="Q326" i="1" s="1"/>
  <c r="P327" i="1"/>
  <c r="Q327" i="1" s="1"/>
  <c r="P328" i="1"/>
  <c r="Q328" i="1" s="1"/>
  <c r="P329" i="1"/>
  <c r="P330" i="1"/>
  <c r="Q330" i="1" s="1"/>
  <c r="P331" i="1"/>
  <c r="P332" i="1"/>
  <c r="Q332" i="1" s="1"/>
  <c r="P333" i="1"/>
  <c r="Q333" i="1" s="1"/>
  <c r="P334" i="1"/>
  <c r="Q334" i="1" s="1"/>
  <c r="P335" i="1"/>
  <c r="P336" i="1"/>
  <c r="P337" i="1"/>
  <c r="P338" i="1"/>
  <c r="Q338" i="1" s="1"/>
  <c r="P339" i="1"/>
  <c r="P340" i="1"/>
  <c r="Q340" i="1" s="1"/>
  <c r="P341" i="1"/>
  <c r="P342" i="1"/>
  <c r="Q342" i="1" s="1"/>
  <c r="P343" i="1"/>
  <c r="P344" i="1"/>
  <c r="Q344" i="1" s="1"/>
  <c r="P345" i="1"/>
  <c r="Q345" i="1" s="1"/>
  <c r="P346" i="1"/>
  <c r="P347" i="1"/>
  <c r="P348" i="1"/>
  <c r="Q348" i="1" s="1"/>
  <c r="P349" i="1"/>
  <c r="P350" i="1"/>
  <c r="Q350" i="1" s="1"/>
  <c r="P351" i="1"/>
  <c r="Q351" i="1" s="1"/>
  <c r="P352" i="1"/>
  <c r="Q352" i="1" s="1"/>
  <c r="P353" i="1"/>
  <c r="P354" i="1"/>
  <c r="P355" i="1"/>
  <c r="P356" i="1"/>
  <c r="P357" i="1"/>
  <c r="Q357" i="1" s="1"/>
  <c r="P358" i="1"/>
  <c r="P359" i="1"/>
  <c r="Q359" i="1" s="1"/>
  <c r="P360" i="1"/>
  <c r="Q360" i="1" s="1"/>
  <c r="P361" i="1"/>
  <c r="P362" i="1"/>
  <c r="Q362" i="1" s="1"/>
  <c r="P363" i="1"/>
  <c r="Q363" i="1" s="1"/>
  <c r="P364" i="1"/>
  <c r="P365" i="1"/>
  <c r="P366" i="1"/>
  <c r="Q366" i="1" s="1"/>
  <c r="P367" i="1"/>
  <c r="Q367" i="1" s="1"/>
  <c r="P368" i="1"/>
  <c r="P369" i="1"/>
  <c r="Q369" i="1" s="1"/>
  <c r="P370" i="1"/>
  <c r="P371" i="1"/>
  <c r="Q371" i="1" s="1"/>
  <c r="P372" i="1"/>
  <c r="P373" i="1"/>
  <c r="P374" i="1"/>
  <c r="Q374" i="1" s="1"/>
  <c r="P375" i="1"/>
  <c r="Q375" i="1" s="1"/>
  <c r="P376" i="1"/>
  <c r="P377" i="1"/>
  <c r="Q377" i="1" s="1"/>
  <c r="P378" i="1"/>
  <c r="Q378" i="1" s="1"/>
  <c r="P379" i="1"/>
  <c r="Q379" i="1" s="1"/>
  <c r="P380" i="1"/>
  <c r="P381" i="1"/>
  <c r="P382" i="1"/>
  <c r="P383" i="1"/>
  <c r="P384" i="1"/>
  <c r="Q384" i="1" s="1"/>
  <c r="P385" i="1"/>
  <c r="P386" i="1"/>
  <c r="P387" i="1"/>
  <c r="P388" i="1"/>
  <c r="Q388" i="1" s="1"/>
  <c r="P389" i="1"/>
  <c r="P390" i="1"/>
  <c r="Q390" i="1" s="1"/>
  <c r="P391" i="1"/>
  <c r="P392" i="1"/>
  <c r="P393" i="1"/>
  <c r="P394" i="1"/>
  <c r="Q394" i="1" s="1"/>
  <c r="P395" i="1"/>
  <c r="Q395" i="1" s="1"/>
  <c r="P396" i="1"/>
  <c r="P397" i="1"/>
  <c r="Q397" i="1" s="1"/>
  <c r="P398" i="1"/>
  <c r="Q398" i="1" s="1"/>
  <c r="P399" i="1"/>
  <c r="Q399" i="1" s="1"/>
  <c r="P400" i="1"/>
  <c r="P401" i="1"/>
  <c r="Q401" i="1" s="1"/>
  <c r="P402" i="1"/>
  <c r="P403" i="1"/>
  <c r="P404" i="1"/>
  <c r="P405" i="1"/>
  <c r="P406" i="1"/>
  <c r="Q406" i="1" s="1"/>
  <c r="P407" i="1"/>
  <c r="Q407" i="1" s="1"/>
  <c r="P408" i="1"/>
  <c r="Q408" i="1" s="1"/>
  <c r="P409" i="1"/>
  <c r="P410" i="1"/>
  <c r="Q410" i="1" s="1"/>
  <c r="P411" i="1"/>
  <c r="Q411" i="1" s="1"/>
  <c r="P412" i="1"/>
  <c r="Q412" i="1" s="1"/>
  <c r="P413" i="1"/>
  <c r="P414" i="1"/>
  <c r="P415" i="1"/>
  <c r="Q415" i="1" s="1"/>
  <c r="P416" i="1"/>
  <c r="Q416" i="1" s="1"/>
  <c r="P417" i="1"/>
  <c r="P418" i="1"/>
  <c r="P419" i="1"/>
  <c r="P420" i="1"/>
  <c r="P421" i="1"/>
  <c r="Q421" i="1" s="1"/>
  <c r="P422" i="1"/>
  <c r="Q422" i="1" s="1"/>
  <c r="P423" i="1"/>
  <c r="P424" i="1"/>
  <c r="Q424" i="1" s="1"/>
  <c r="P425" i="1"/>
  <c r="Q425" i="1" s="1"/>
  <c r="P426" i="1"/>
  <c r="P427" i="1"/>
  <c r="Q427" i="1" s="1"/>
  <c r="P428" i="1"/>
  <c r="Q428" i="1" s="1"/>
  <c r="P429" i="1"/>
  <c r="P430" i="1"/>
  <c r="P431" i="1"/>
  <c r="Q431" i="1" s="1"/>
  <c r="P432" i="1"/>
  <c r="P433" i="1"/>
  <c r="P434" i="1"/>
  <c r="P435" i="1"/>
  <c r="Q435" i="1" s="1"/>
  <c r="P436" i="1"/>
  <c r="Q436" i="1" s="1"/>
  <c r="P437" i="1"/>
  <c r="P438" i="1"/>
  <c r="P439" i="1"/>
  <c r="Q439" i="1" s="1"/>
  <c r="P440" i="1"/>
  <c r="Q440" i="1" s="1"/>
  <c r="P441" i="1"/>
  <c r="P442" i="1"/>
  <c r="P443" i="1"/>
  <c r="Q443" i="1" s="1"/>
  <c r="P444" i="1"/>
  <c r="P445" i="1"/>
  <c r="P446" i="1"/>
  <c r="P447" i="1"/>
  <c r="Q447" i="1" s="1"/>
  <c r="P448" i="1"/>
  <c r="P449" i="1"/>
  <c r="P450" i="1"/>
  <c r="P451" i="1"/>
  <c r="Q451" i="1" s="1"/>
  <c r="P452" i="1"/>
  <c r="P453" i="1"/>
  <c r="P454" i="1"/>
  <c r="Q454" i="1" s="1"/>
  <c r="P455" i="1"/>
  <c r="P456" i="1"/>
  <c r="P457" i="1"/>
  <c r="Q457" i="1" s="1"/>
  <c r="P458" i="1"/>
  <c r="P459" i="1"/>
  <c r="Q459" i="1" s="1"/>
  <c r="P460" i="1"/>
  <c r="Q460" i="1" s="1"/>
  <c r="P461" i="1"/>
  <c r="Q461" i="1" s="1"/>
  <c r="P462" i="1"/>
  <c r="P463" i="1"/>
  <c r="Q463" i="1" s="1"/>
  <c r="P464" i="1"/>
  <c r="Q464" i="1" s="1"/>
  <c r="P465" i="1"/>
  <c r="P466" i="1"/>
  <c r="P467" i="1"/>
  <c r="P468" i="1"/>
  <c r="Q468" i="1" s="1"/>
  <c r="P469" i="1"/>
  <c r="P470" i="1"/>
  <c r="Q470" i="1" s="1"/>
  <c r="P471" i="1"/>
  <c r="P472" i="1"/>
  <c r="P473" i="1"/>
  <c r="P474" i="1"/>
  <c r="Q474" i="1" s="1"/>
  <c r="P475" i="1"/>
  <c r="Q475" i="1" s="1"/>
  <c r="P476" i="1"/>
  <c r="P477" i="1"/>
  <c r="P478" i="1"/>
  <c r="P479" i="1"/>
  <c r="Q479" i="1" s="1"/>
  <c r="P480" i="1"/>
  <c r="Q480" i="1" s="1"/>
  <c r="P481" i="1"/>
  <c r="Q481" i="1" s="1"/>
  <c r="P482" i="1"/>
  <c r="Q482" i="1" s="1"/>
  <c r="P483" i="1"/>
  <c r="P484" i="1"/>
  <c r="Q484" i="1" s="1"/>
  <c r="P485" i="1"/>
  <c r="P486" i="1"/>
  <c r="P487" i="1"/>
  <c r="Q487" i="1" s="1"/>
  <c r="P488" i="1"/>
  <c r="Q488" i="1" s="1"/>
  <c r="P489" i="1"/>
  <c r="P490" i="1"/>
  <c r="Q490" i="1" s="1"/>
  <c r="P491" i="1"/>
  <c r="Q491" i="1" s="1"/>
  <c r="P492" i="1"/>
  <c r="Q492" i="1" s="1"/>
  <c r="P493" i="1"/>
  <c r="Q493" i="1" s="1"/>
  <c r="P494" i="1"/>
  <c r="P495" i="1"/>
  <c r="P496" i="1"/>
  <c r="P497" i="1"/>
  <c r="P498" i="1"/>
  <c r="Q498" i="1" s="1"/>
  <c r="P499" i="1"/>
  <c r="P500" i="1"/>
  <c r="P501" i="1"/>
  <c r="Q501" i="1" s="1"/>
  <c r="P502" i="1"/>
  <c r="P503" i="1"/>
  <c r="Q503" i="1" s="1"/>
  <c r="P504" i="1"/>
  <c r="Q504" i="1" s="1"/>
  <c r="P505" i="1"/>
  <c r="P506" i="1"/>
  <c r="P507" i="1"/>
  <c r="Q507" i="1" s="1"/>
  <c r="P508" i="1"/>
  <c r="Q508" i="1" s="1"/>
  <c r="P509" i="1"/>
  <c r="Q509" i="1" s="1"/>
  <c r="P510" i="1"/>
  <c r="Q510" i="1" s="1"/>
  <c r="P511" i="1"/>
  <c r="P512" i="1"/>
  <c r="Q512" i="1" s="1"/>
  <c r="P513" i="1"/>
  <c r="P514" i="1"/>
  <c r="Q514" i="1" s="1"/>
  <c r="P515" i="1"/>
  <c r="Q515" i="1" s="1"/>
  <c r="P516" i="1"/>
  <c r="P517" i="1"/>
  <c r="Q517" i="1" s="1"/>
  <c r="P518" i="1"/>
  <c r="Q518" i="1" s="1"/>
  <c r="P519" i="1"/>
  <c r="Q519" i="1" s="1"/>
  <c r="P520" i="1"/>
  <c r="Q520" i="1" s="1"/>
  <c r="P521" i="1"/>
  <c r="Q521" i="1" s="1"/>
  <c r="P522" i="1"/>
  <c r="P523" i="1"/>
  <c r="P524" i="1"/>
  <c r="P525" i="1"/>
  <c r="Q525" i="1" s="1"/>
  <c r="P526" i="1"/>
  <c r="Q526" i="1" s="1"/>
  <c r="P527" i="1"/>
  <c r="P528" i="1"/>
  <c r="P529" i="1"/>
  <c r="P530" i="1"/>
  <c r="Q530" i="1" s="1"/>
  <c r="P531" i="1"/>
  <c r="Q531" i="1" s="1"/>
  <c r="P532" i="1"/>
  <c r="P533" i="1"/>
  <c r="Q533" i="1" s="1"/>
  <c r="P534" i="1"/>
  <c r="P535" i="1"/>
  <c r="P536" i="1"/>
  <c r="P537" i="1"/>
  <c r="P538" i="1"/>
  <c r="P539" i="1"/>
  <c r="P540" i="1"/>
  <c r="P541" i="1"/>
  <c r="P542" i="1"/>
  <c r="Q542" i="1" s="1"/>
  <c r="P543" i="1"/>
  <c r="P544" i="1"/>
  <c r="Q544" i="1" s="1"/>
  <c r="P545" i="1"/>
  <c r="P546" i="1"/>
  <c r="P547" i="1"/>
  <c r="P548" i="1"/>
  <c r="P549" i="1"/>
  <c r="Q549" i="1" s="1"/>
  <c r="P550" i="1"/>
  <c r="P551" i="1"/>
  <c r="P552" i="1"/>
  <c r="P553" i="1"/>
  <c r="P554" i="1"/>
  <c r="Q554" i="1" s="1"/>
  <c r="P555" i="1"/>
  <c r="P556" i="1"/>
  <c r="Q556" i="1" s="1"/>
  <c r="P557" i="1"/>
  <c r="P558" i="1"/>
  <c r="P559" i="1"/>
  <c r="P560" i="1"/>
  <c r="P561" i="1"/>
  <c r="P562" i="1"/>
  <c r="P563" i="1"/>
  <c r="Q563" i="1" s="1"/>
  <c r="P564" i="1"/>
  <c r="P565" i="1"/>
  <c r="Q565" i="1" s="1"/>
  <c r="P566" i="1"/>
  <c r="Q566" i="1" s="1"/>
  <c r="P567" i="1"/>
  <c r="P568" i="1"/>
  <c r="Q568" i="1" s="1"/>
  <c r="P569" i="1"/>
  <c r="P570" i="1"/>
  <c r="Q570" i="1" s="1"/>
  <c r="P571" i="1"/>
  <c r="Q571" i="1" s="1"/>
  <c r="P572" i="1"/>
  <c r="Q572" i="1" s="1"/>
  <c r="P573" i="1"/>
  <c r="P574" i="1"/>
  <c r="Q574" i="1" s="1"/>
  <c r="P575" i="1"/>
  <c r="P576" i="1"/>
  <c r="Q576" i="1" s="1"/>
  <c r="P577" i="1"/>
  <c r="P578" i="1"/>
  <c r="Q578" i="1" s="1"/>
  <c r="P579" i="1"/>
  <c r="P580" i="1"/>
  <c r="P581" i="1"/>
  <c r="P582" i="1"/>
  <c r="Q582" i="1" s="1"/>
  <c r="P583" i="1"/>
  <c r="Q583" i="1" s="1"/>
  <c r="P584" i="1"/>
  <c r="Q584" i="1" s="1"/>
  <c r="P585" i="1"/>
  <c r="P586" i="1"/>
  <c r="Q586" i="1" s="1"/>
  <c r="P587" i="1"/>
  <c r="Q587" i="1" s="1"/>
  <c r="P588" i="1"/>
  <c r="Q588" i="1" s="1"/>
  <c r="P589" i="1"/>
  <c r="P590" i="1"/>
  <c r="Q590" i="1" s="1"/>
  <c r="P591" i="1"/>
  <c r="P592" i="1"/>
  <c r="P593" i="1"/>
  <c r="P594" i="1"/>
  <c r="P595" i="1"/>
  <c r="P596" i="1"/>
  <c r="Q596" i="1" s="1"/>
  <c r="P597" i="1"/>
  <c r="Q597" i="1" s="1"/>
  <c r="P598" i="1"/>
  <c r="P599" i="1"/>
  <c r="Q599" i="1" s="1"/>
  <c r="P600" i="1"/>
  <c r="Q600" i="1" s="1"/>
  <c r="P601" i="1"/>
  <c r="P602" i="1"/>
  <c r="P603" i="1"/>
  <c r="Q603" i="1" s="1"/>
  <c r="P604" i="1"/>
  <c r="P605" i="1"/>
  <c r="P606" i="1"/>
  <c r="P607" i="1"/>
  <c r="Q607" i="1" s="1"/>
  <c r="P608" i="1"/>
  <c r="P609" i="1"/>
  <c r="Q609" i="1" s="1"/>
  <c r="P610" i="1"/>
  <c r="P611" i="1"/>
  <c r="P612" i="1"/>
  <c r="P613" i="1"/>
  <c r="P614" i="1"/>
  <c r="Q614" i="1" s="1"/>
  <c r="P615" i="1"/>
  <c r="Q615" i="1" s="1"/>
  <c r="P616" i="1"/>
  <c r="P617" i="1"/>
  <c r="P618" i="1"/>
  <c r="Q618" i="1" s="1"/>
  <c r="P619" i="1"/>
  <c r="P620" i="1"/>
  <c r="Q620" i="1" s="1"/>
  <c r="P621" i="1"/>
  <c r="Q621" i="1" s="1"/>
  <c r="P622" i="1"/>
  <c r="P623" i="1"/>
  <c r="P624" i="1"/>
  <c r="P625" i="1"/>
  <c r="P626" i="1"/>
  <c r="Q626" i="1" s="1"/>
  <c r="P627" i="1"/>
  <c r="Q627" i="1" s="1"/>
  <c r="P628" i="1"/>
  <c r="Q628" i="1" s="1"/>
  <c r="P629" i="1"/>
  <c r="Q629" i="1" s="1"/>
  <c r="P630" i="1"/>
  <c r="Q630" i="1" s="1"/>
  <c r="P631" i="1"/>
  <c r="Q631" i="1" s="1"/>
  <c r="P632" i="1"/>
  <c r="P633" i="1"/>
  <c r="P634" i="1"/>
  <c r="Q634" i="1" s="1"/>
  <c r="P635" i="1"/>
  <c r="Q635" i="1" s="1"/>
  <c r="P636" i="1"/>
  <c r="P637" i="1"/>
  <c r="P638" i="1"/>
  <c r="P639" i="1"/>
  <c r="Q639" i="1" s="1"/>
  <c r="P640" i="1"/>
  <c r="Q640" i="1" s="1"/>
  <c r="P641" i="1"/>
  <c r="P642" i="1"/>
  <c r="Q642" i="1" s="1"/>
  <c r="P643" i="1"/>
  <c r="P644" i="1"/>
  <c r="Q644" i="1" s="1"/>
  <c r="P645" i="1"/>
  <c r="Q645" i="1" s="1"/>
  <c r="P646" i="1"/>
  <c r="Q646" i="1" s="1"/>
  <c r="P647" i="1"/>
  <c r="Q647" i="1" s="1"/>
  <c r="P648" i="1"/>
  <c r="Q648" i="1" s="1"/>
  <c r="P649" i="1"/>
  <c r="P650" i="1"/>
  <c r="P651" i="1"/>
  <c r="P652" i="1"/>
  <c r="P653" i="1"/>
  <c r="P654" i="1"/>
  <c r="Q654" i="1" s="1"/>
  <c r="P655" i="1"/>
  <c r="P656" i="1"/>
  <c r="Q656" i="1" s="1"/>
  <c r="P657" i="1"/>
  <c r="Q657" i="1" s="1"/>
  <c r="P658" i="1"/>
  <c r="Q658" i="1" s="1"/>
  <c r="P659" i="1"/>
  <c r="P660" i="1"/>
  <c r="P661" i="1"/>
  <c r="Q661" i="1" s="1"/>
  <c r="P662" i="1"/>
  <c r="P663" i="1"/>
  <c r="Q663" i="1" s="1"/>
  <c r="P664" i="1"/>
  <c r="P665" i="1"/>
  <c r="P666" i="1"/>
  <c r="P667" i="1"/>
  <c r="Q667" i="1" s="1"/>
  <c r="P668" i="1"/>
  <c r="P669" i="1"/>
  <c r="Q669" i="1" s="1"/>
  <c r="P670" i="1"/>
  <c r="P671" i="1"/>
  <c r="Q671" i="1" s="1"/>
  <c r="P672" i="1"/>
  <c r="Q672" i="1" s="1"/>
  <c r="P673" i="1"/>
  <c r="P674" i="1"/>
  <c r="P675" i="1"/>
  <c r="Q675" i="1" s="1"/>
  <c r="P676" i="1"/>
  <c r="Q676" i="1" s="1"/>
  <c r="P677" i="1"/>
  <c r="P678" i="1"/>
  <c r="P679" i="1"/>
  <c r="Q679" i="1" s="1"/>
  <c r="P680" i="1"/>
  <c r="Q680" i="1" s="1"/>
  <c r="P681" i="1"/>
  <c r="P682" i="1"/>
  <c r="Q682" i="1" s="1"/>
  <c r="P683" i="1"/>
  <c r="P684" i="1"/>
  <c r="Q684" i="1" s="1"/>
  <c r="P685" i="1"/>
  <c r="P686" i="1"/>
  <c r="P687" i="1"/>
  <c r="P688" i="1"/>
  <c r="P689" i="1"/>
  <c r="P690" i="1"/>
  <c r="P691" i="1"/>
  <c r="Q691" i="1" s="1"/>
  <c r="P692" i="1"/>
  <c r="P693" i="1"/>
  <c r="Q693" i="1" s="1"/>
  <c r="P694" i="1"/>
  <c r="Q694" i="1" s="1"/>
  <c r="P695" i="1"/>
  <c r="P696" i="1"/>
  <c r="P697" i="1"/>
  <c r="P698" i="1"/>
  <c r="P699" i="1"/>
  <c r="P700" i="1"/>
  <c r="Q700" i="1" s="1"/>
  <c r="P701" i="1"/>
  <c r="Q701" i="1" s="1"/>
  <c r="P702" i="1"/>
  <c r="Q702" i="1" s="1"/>
  <c r="P703" i="1"/>
  <c r="P704" i="1"/>
  <c r="Q704" i="1" s="1"/>
  <c r="P705" i="1"/>
  <c r="Q705" i="1" s="1"/>
  <c r="P706" i="1"/>
  <c r="Q706" i="1" s="1"/>
  <c r="P707" i="1"/>
  <c r="Q707" i="1" s="1"/>
  <c r="P708" i="1"/>
  <c r="P709" i="1"/>
  <c r="P710" i="1"/>
  <c r="P711" i="1"/>
  <c r="Q711" i="1" s="1"/>
  <c r="P712" i="1"/>
  <c r="P713" i="1"/>
  <c r="P714" i="1"/>
  <c r="P715" i="1"/>
  <c r="Q715" i="1" s="1"/>
  <c r="P716" i="1"/>
  <c r="Q716" i="1" s="1"/>
  <c r="P717" i="1"/>
  <c r="Q717" i="1" s="1"/>
  <c r="P718" i="1"/>
  <c r="P719" i="1"/>
  <c r="Q719" i="1" s="1"/>
  <c r="P720" i="1"/>
  <c r="P721" i="1"/>
  <c r="P722" i="1"/>
  <c r="Q722" i="1" s="1"/>
  <c r="P723" i="1"/>
  <c r="Q723" i="1" s="1"/>
  <c r="P724" i="1"/>
  <c r="P725" i="1"/>
  <c r="Q725" i="1" s="1"/>
  <c r="P726" i="1"/>
  <c r="Q726" i="1" s="1"/>
  <c r="P727" i="1"/>
  <c r="P728" i="1"/>
  <c r="P729" i="1"/>
  <c r="Q729" i="1" s="1"/>
  <c r="P730" i="1"/>
  <c r="P731" i="1"/>
  <c r="P732" i="1"/>
  <c r="P733" i="1"/>
  <c r="P734" i="1"/>
  <c r="Q734" i="1" s="1"/>
  <c r="P735" i="1"/>
  <c r="P736" i="1"/>
  <c r="Q736" i="1" s="1"/>
  <c r="P737" i="1"/>
  <c r="P738" i="1"/>
  <c r="P739" i="1"/>
  <c r="Q739" i="1" s="1"/>
  <c r="P740" i="1"/>
  <c r="Q740" i="1" s="1"/>
  <c r="P741" i="1"/>
  <c r="Q741" i="1" s="1"/>
  <c r="P742" i="1"/>
  <c r="P743" i="1"/>
  <c r="Q743" i="1" s="1"/>
  <c r="P744" i="1"/>
  <c r="P745" i="1"/>
  <c r="P746" i="1"/>
  <c r="Q746" i="1" s="1"/>
  <c r="P747" i="1"/>
  <c r="Q747" i="1" s="1"/>
  <c r="P748" i="1"/>
  <c r="P749" i="1"/>
  <c r="Q749" i="1" s="1"/>
  <c r="P750" i="1"/>
  <c r="P751" i="1"/>
  <c r="Q751" i="1" s="1"/>
  <c r="P752" i="1"/>
  <c r="P753" i="1"/>
  <c r="Q753" i="1" s="1"/>
  <c r="P754" i="1"/>
  <c r="P755" i="1"/>
  <c r="Q755" i="1" s="1"/>
  <c r="P756" i="1"/>
  <c r="Q756" i="1" s="1"/>
  <c r="P757" i="1"/>
  <c r="Q757" i="1" s="1"/>
  <c r="P758" i="1"/>
  <c r="P759" i="1"/>
  <c r="P760" i="1"/>
  <c r="Q760" i="1" s="1"/>
  <c r="P761" i="1"/>
  <c r="P762" i="1"/>
  <c r="P763" i="1"/>
  <c r="Q763" i="1" s="1"/>
  <c r="P764" i="1"/>
  <c r="Q764" i="1" s="1"/>
  <c r="P765" i="1"/>
  <c r="P766" i="1"/>
  <c r="Q766" i="1" s="1"/>
  <c r="P767" i="1"/>
  <c r="Q767" i="1" s="1"/>
  <c r="P768" i="1"/>
  <c r="Q768" i="1" s="1"/>
  <c r="P769" i="1"/>
  <c r="P770" i="1"/>
  <c r="P771" i="1"/>
  <c r="P772" i="1"/>
  <c r="Q772" i="1" s="1"/>
  <c r="P773" i="1"/>
  <c r="P774" i="1"/>
  <c r="Q774" i="1" s="1"/>
  <c r="P775" i="1"/>
  <c r="P776" i="1"/>
  <c r="P777" i="1"/>
  <c r="P778" i="1"/>
  <c r="Q778" i="1" s="1"/>
  <c r="P779" i="1"/>
  <c r="P780" i="1"/>
  <c r="P781" i="1"/>
  <c r="Q781" i="1" s="1"/>
  <c r="P782" i="1"/>
  <c r="P783" i="1"/>
  <c r="P784" i="1"/>
  <c r="P785" i="1"/>
  <c r="Q785" i="1" s="1"/>
  <c r="P786" i="1"/>
  <c r="Q786" i="1" s="1"/>
  <c r="P787" i="1"/>
  <c r="Q787" i="1" s="1"/>
  <c r="P788" i="1"/>
  <c r="Q788" i="1" s="1"/>
  <c r="P789" i="1"/>
  <c r="P790" i="1"/>
  <c r="Q790" i="1" s="1"/>
  <c r="P791" i="1"/>
  <c r="Q791" i="1" s="1"/>
  <c r="P792" i="1"/>
  <c r="P793" i="1"/>
  <c r="P794" i="1"/>
  <c r="P795" i="1"/>
  <c r="Q795" i="1" s="1"/>
  <c r="P796" i="1"/>
  <c r="Q796" i="1" s="1"/>
  <c r="P797" i="1"/>
  <c r="P798" i="1"/>
  <c r="Q798" i="1" s="1"/>
  <c r="P799" i="1"/>
  <c r="P800" i="1"/>
  <c r="P801" i="1"/>
  <c r="P802" i="1"/>
  <c r="P803" i="1"/>
  <c r="P804" i="1"/>
  <c r="Q804" i="1" s="1"/>
  <c r="P805" i="1"/>
  <c r="P806" i="1"/>
  <c r="Q806" i="1" s="1"/>
  <c r="P807" i="1"/>
  <c r="Q807" i="1" s="1"/>
  <c r="P808" i="1"/>
  <c r="Q808" i="1" s="1"/>
  <c r="P809" i="1"/>
  <c r="Q809" i="1" s="1"/>
  <c r="P810" i="1"/>
  <c r="Q810" i="1" s="1"/>
  <c r="P811" i="1"/>
  <c r="Q811" i="1" s="1"/>
  <c r="P812" i="1"/>
  <c r="Q812" i="1" s="1"/>
  <c r="P813" i="1"/>
  <c r="Q813" i="1" s="1"/>
  <c r="P814" i="1"/>
  <c r="P815" i="1"/>
  <c r="Q815" i="1" s="1"/>
  <c r="P816" i="1"/>
  <c r="P817" i="1"/>
  <c r="P818" i="1"/>
  <c r="P819" i="1"/>
  <c r="Q819" i="1" s="1"/>
  <c r="P820" i="1"/>
  <c r="Q820" i="1" s="1"/>
  <c r="P821" i="1"/>
  <c r="Q821" i="1" s="1"/>
  <c r="P822" i="1"/>
  <c r="P823" i="1"/>
  <c r="Q823" i="1" s="1"/>
  <c r="P824" i="1"/>
  <c r="P825" i="1"/>
  <c r="P826" i="1"/>
  <c r="P827" i="1"/>
  <c r="P828" i="1"/>
  <c r="P829" i="1"/>
  <c r="P830" i="1"/>
  <c r="Q830" i="1" s="1"/>
  <c r="P831" i="1"/>
  <c r="P832" i="1"/>
  <c r="P833" i="1"/>
  <c r="P834" i="1"/>
  <c r="Q834" i="1" s="1"/>
  <c r="P835" i="1"/>
  <c r="P836" i="1"/>
  <c r="P837" i="1"/>
  <c r="Q837" i="1" s="1"/>
  <c r="P838" i="1"/>
  <c r="Q838" i="1" s="1"/>
  <c r="P839" i="1"/>
  <c r="Q839" i="1" s="1"/>
  <c r="P840" i="1"/>
  <c r="Q840" i="1" s="1"/>
  <c r="P841" i="1"/>
  <c r="Q841" i="1" s="1"/>
  <c r="P842" i="1"/>
  <c r="Q842" i="1" s="1"/>
  <c r="P843" i="1"/>
  <c r="Q843" i="1" s="1"/>
  <c r="P844" i="1"/>
  <c r="P845" i="1"/>
  <c r="P846" i="1"/>
  <c r="P847" i="1"/>
  <c r="P848" i="1"/>
  <c r="Q848" i="1" s="1"/>
  <c r="P849" i="1"/>
  <c r="P850" i="1"/>
  <c r="Q850" i="1" s="1"/>
  <c r="P851" i="1"/>
  <c r="P852" i="1"/>
  <c r="P853" i="1"/>
  <c r="Q853" i="1" s="1"/>
  <c r="P854" i="1"/>
  <c r="Q854" i="1" s="1"/>
  <c r="P855" i="1"/>
  <c r="P856" i="1"/>
  <c r="Q856" i="1" s="1"/>
  <c r="P857" i="1"/>
  <c r="P858" i="1"/>
  <c r="Q858" i="1" s="1"/>
  <c r="P859" i="1"/>
  <c r="P860" i="1"/>
  <c r="Q860" i="1" s="1"/>
  <c r="P861" i="1"/>
  <c r="Q861" i="1" s="1"/>
  <c r="P862" i="1"/>
  <c r="P863" i="1"/>
  <c r="Q863" i="1" s="1"/>
  <c r="P864" i="1"/>
  <c r="Q864" i="1" s="1"/>
  <c r="P865" i="1"/>
  <c r="P866" i="1"/>
  <c r="Q866" i="1" s="1"/>
  <c r="P867" i="1"/>
  <c r="P868" i="1"/>
  <c r="P869" i="1"/>
  <c r="Q869" i="1" s="1"/>
  <c r="P870" i="1"/>
  <c r="P871" i="1"/>
  <c r="Q871" i="1" s="1"/>
  <c r="P872" i="1"/>
  <c r="Q872" i="1" s="1"/>
  <c r="P873" i="1"/>
  <c r="P874" i="1"/>
  <c r="P875" i="1"/>
  <c r="P876" i="1"/>
  <c r="P877" i="1"/>
  <c r="Q877" i="1" s="1"/>
  <c r="P878" i="1"/>
  <c r="Q878" i="1" s="1"/>
  <c r="P879" i="1"/>
  <c r="P880" i="1"/>
  <c r="P881" i="1"/>
  <c r="Q881" i="1" s="1"/>
  <c r="P882" i="1"/>
  <c r="P883" i="1"/>
  <c r="Q883" i="1" s="1"/>
  <c r="P884" i="1"/>
  <c r="Q884" i="1" s="1"/>
  <c r="P885" i="1"/>
  <c r="Q885" i="1" s="1"/>
  <c r="P886" i="1"/>
  <c r="P887" i="1"/>
  <c r="P888" i="1"/>
  <c r="P889" i="1"/>
  <c r="Q889" i="1" s="1"/>
  <c r="P890" i="1"/>
  <c r="Q890" i="1" s="1"/>
  <c r="P891" i="1"/>
  <c r="Q891" i="1" s="1"/>
  <c r="P892" i="1"/>
  <c r="Q892" i="1" s="1"/>
  <c r="P893" i="1"/>
  <c r="P894" i="1"/>
  <c r="Q894" i="1" s="1"/>
  <c r="P895" i="1"/>
  <c r="P896" i="1"/>
  <c r="P897" i="1"/>
  <c r="P898" i="1"/>
  <c r="Q898" i="1" s="1"/>
  <c r="P899" i="1"/>
  <c r="P900" i="1"/>
  <c r="Q900" i="1" s="1"/>
  <c r="P901" i="1"/>
  <c r="P902" i="1"/>
  <c r="P903" i="1"/>
  <c r="Q903" i="1" s="1"/>
  <c r="P904" i="1"/>
  <c r="P905" i="1"/>
  <c r="Q905" i="1" s="1"/>
  <c r="P906" i="1"/>
  <c r="P907" i="1"/>
  <c r="Q907" i="1" s="1"/>
  <c r="P908" i="1"/>
  <c r="P909" i="1"/>
  <c r="Q909" i="1" s="1"/>
  <c r="P910" i="1"/>
  <c r="Q910" i="1" s="1"/>
  <c r="P911" i="1"/>
  <c r="Q911" i="1" s="1"/>
  <c r="P912" i="1"/>
  <c r="Q912" i="1" s="1"/>
  <c r="P913" i="1"/>
  <c r="P914" i="1"/>
  <c r="P915" i="1"/>
  <c r="P916" i="1"/>
  <c r="Q916" i="1" s="1"/>
  <c r="P917" i="1"/>
  <c r="P918" i="1"/>
  <c r="P919" i="1"/>
  <c r="Q919" i="1" s="1"/>
  <c r="P920" i="1"/>
  <c r="P921" i="1"/>
  <c r="P922" i="1"/>
  <c r="P923" i="1"/>
  <c r="P924" i="1"/>
  <c r="P925" i="1"/>
  <c r="Q925" i="1" s="1"/>
  <c r="P926" i="1"/>
  <c r="P927" i="1"/>
  <c r="P928" i="1"/>
  <c r="Q928" i="1" s="1"/>
  <c r="P929" i="1"/>
  <c r="P930" i="1"/>
  <c r="Q930" i="1" s="1"/>
  <c r="P931" i="1"/>
  <c r="P932" i="1"/>
  <c r="P933" i="1"/>
  <c r="Q933" i="1" s="1"/>
  <c r="P934" i="1"/>
  <c r="Q934" i="1" s="1"/>
  <c r="P935" i="1"/>
  <c r="Q935" i="1" s="1"/>
  <c r="P936" i="1"/>
  <c r="Q936" i="1" s="1"/>
  <c r="P937" i="1"/>
  <c r="Q937" i="1" s="1"/>
  <c r="P938" i="1"/>
  <c r="P939" i="1"/>
  <c r="P940" i="1"/>
  <c r="Q940" i="1" s="1"/>
  <c r="P941" i="1"/>
  <c r="Q941" i="1" s="1"/>
  <c r="P942" i="1"/>
  <c r="P943" i="1"/>
  <c r="Q943" i="1" s="1"/>
  <c r="P944" i="1"/>
  <c r="Q944" i="1" s="1"/>
  <c r="P945" i="1"/>
  <c r="P946" i="1"/>
  <c r="Q946" i="1" s="1"/>
  <c r="P947" i="1"/>
  <c r="P948" i="1"/>
  <c r="Q948" i="1" s="1"/>
  <c r="P949" i="1"/>
  <c r="P950" i="1"/>
  <c r="P951" i="1"/>
  <c r="Q951" i="1" s="1"/>
  <c r="P952" i="1"/>
  <c r="P953" i="1"/>
  <c r="Q953" i="1" s="1"/>
  <c r="P954" i="1"/>
  <c r="P955" i="1"/>
  <c r="Q955" i="1" s="1"/>
  <c r="P956" i="1"/>
  <c r="P957" i="1"/>
  <c r="Q957" i="1" s="1"/>
  <c r="P958" i="1"/>
  <c r="Q958" i="1" s="1"/>
  <c r="P959" i="1"/>
  <c r="Q959" i="1" s="1"/>
  <c r="P960" i="1"/>
  <c r="Q960" i="1" s="1"/>
  <c r="P961" i="1"/>
  <c r="P962" i="1"/>
  <c r="P963" i="1"/>
  <c r="P964" i="1"/>
  <c r="Q964" i="1" s="1"/>
  <c r="P965" i="1"/>
  <c r="Q965" i="1" s="1"/>
  <c r="P966" i="1"/>
  <c r="Q966" i="1" s="1"/>
  <c r="P967" i="1"/>
  <c r="P968" i="1"/>
  <c r="P969" i="1"/>
  <c r="P970" i="1"/>
  <c r="Q970" i="1" s="1"/>
  <c r="P971" i="1"/>
  <c r="Q971" i="1" s="1"/>
  <c r="P972" i="1"/>
  <c r="P973" i="1"/>
  <c r="P974" i="1"/>
  <c r="Q974" i="1" s="1"/>
  <c r="P975" i="1"/>
  <c r="Q975" i="1" s="1"/>
  <c r="P976" i="1"/>
  <c r="P977" i="1"/>
  <c r="P978" i="1"/>
  <c r="P979" i="1"/>
  <c r="Q979" i="1" s="1"/>
  <c r="P980" i="1"/>
  <c r="P981" i="1"/>
  <c r="P982" i="1"/>
  <c r="Q982" i="1" s="1"/>
  <c r="P983" i="1"/>
  <c r="P984" i="1"/>
  <c r="Q984" i="1" s="1"/>
  <c r="P985" i="1"/>
  <c r="Q985" i="1" s="1"/>
  <c r="P986" i="1"/>
  <c r="Q986" i="1" s="1"/>
  <c r="P987" i="1"/>
  <c r="Q987" i="1" s="1"/>
  <c r="P988" i="1"/>
  <c r="Q988" i="1" s="1"/>
  <c r="P989" i="1"/>
  <c r="P990" i="1"/>
  <c r="Q990" i="1" s="1"/>
  <c r="P991" i="1"/>
  <c r="P992" i="1"/>
  <c r="P993" i="1"/>
  <c r="Q993" i="1" s="1"/>
  <c r="P994" i="1"/>
  <c r="P995" i="1"/>
  <c r="Q995" i="1" s="1"/>
  <c r="P996" i="1"/>
  <c r="Q996" i="1" s="1"/>
  <c r="P997" i="1"/>
  <c r="P998" i="1"/>
  <c r="Q998" i="1" s="1"/>
  <c r="P999" i="1"/>
  <c r="P1000" i="1"/>
  <c r="Q1000" i="1" s="1"/>
  <c r="P1001" i="1"/>
  <c r="P1002" i="1"/>
  <c r="Q1002" i="1" s="1"/>
  <c r="P1003" i="1"/>
  <c r="Q1003" i="1" s="1"/>
  <c r="P1004" i="1"/>
  <c r="Q1004" i="1" s="1"/>
  <c r="P1005" i="1"/>
  <c r="P1006" i="1"/>
  <c r="Q1006" i="1" s="1"/>
  <c r="P1007" i="1"/>
  <c r="Q1007" i="1" s="1"/>
  <c r="P1008" i="1"/>
  <c r="P1009" i="1"/>
  <c r="P1010" i="1"/>
  <c r="P1011" i="1"/>
  <c r="Q1011" i="1" s="1"/>
  <c r="P1012" i="1"/>
  <c r="P1013" i="1"/>
  <c r="P1014" i="1"/>
  <c r="P1015" i="1"/>
  <c r="Q1015" i="1" s="1"/>
  <c r="P1016" i="1"/>
  <c r="Q1016" i="1" s="1"/>
  <c r="P1017" i="1"/>
  <c r="Q1017" i="1" s="1"/>
  <c r="P1018" i="1"/>
  <c r="Q1018" i="1" s="1"/>
  <c r="P1019" i="1"/>
  <c r="Q1019" i="1" s="1"/>
  <c r="P1020" i="1"/>
  <c r="P1021" i="1"/>
  <c r="Q1021" i="1" s="1"/>
  <c r="P1022" i="1"/>
  <c r="Q1022" i="1" s="1"/>
  <c r="P1023" i="1"/>
  <c r="P1024" i="1"/>
  <c r="P1025" i="1"/>
  <c r="P1026" i="1"/>
  <c r="P1027" i="1"/>
  <c r="P1028" i="1"/>
  <c r="Q1028" i="1" s="1"/>
  <c r="P1029" i="1"/>
  <c r="Q1029" i="1" s="1"/>
  <c r="P1030" i="1"/>
  <c r="Q1030" i="1" s="1"/>
  <c r="P1031" i="1"/>
  <c r="Q1031" i="1" s="1"/>
  <c r="P1032" i="1"/>
  <c r="P1033" i="1"/>
  <c r="P1034" i="1"/>
  <c r="P1035" i="1"/>
  <c r="P1036" i="1"/>
  <c r="P1037" i="1"/>
  <c r="Q1037" i="1" s="1"/>
  <c r="P1038" i="1"/>
  <c r="Q1038" i="1" s="1"/>
  <c r="P1039" i="1"/>
  <c r="Q1039" i="1" s="1"/>
  <c r="P1040" i="1"/>
  <c r="P1041" i="1"/>
  <c r="P1042" i="1"/>
  <c r="P1043" i="1"/>
  <c r="P1044" i="1"/>
  <c r="Q1044" i="1" s="1"/>
  <c r="P1045" i="1"/>
  <c r="P1046" i="1"/>
  <c r="P1047" i="1"/>
  <c r="P1048" i="1"/>
  <c r="P1049" i="1"/>
  <c r="Q1049" i="1" s="1"/>
  <c r="P1050" i="1"/>
  <c r="Q1050" i="1" s="1"/>
  <c r="P1051" i="1"/>
  <c r="Q1051" i="1" s="1"/>
  <c r="P1052" i="1"/>
  <c r="P1053" i="1"/>
  <c r="Q1053" i="1" s="1"/>
  <c r="P1054" i="1"/>
  <c r="P1055" i="1"/>
  <c r="P1056" i="1"/>
  <c r="P1057" i="1"/>
  <c r="P1058" i="1"/>
  <c r="Q1058" i="1" s="1"/>
  <c r="P1059" i="1"/>
  <c r="P1060" i="1"/>
  <c r="Q1060" i="1" s="1"/>
  <c r="P1061" i="1"/>
  <c r="P1062" i="1"/>
  <c r="P1063" i="1"/>
  <c r="Q1063" i="1" s="1"/>
  <c r="P1064" i="1"/>
  <c r="P1065" i="1"/>
  <c r="Q1065" i="1" s="1"/>
  <c r="P1066" i="1"/>
  <c r="P1067" i="1"/>
  <c r="Q1067" i="1" s="1"/>
  <c r="P1068" i="1"/>
  <c r="P1069" i="1"/>
  <c r="Q1069" i="1" s="1"/>
  <c r="P1070" i="1"/>
  <c r="Q1070" i="1" s="1"/>
  <c r="P1071" i="1"/>
  <c r="P1072" i="1"/>
  <c r="Q1072" i="1" s="1"/>
  <c r="P1073" i="1"/>
  <c r="Q1073" i="1" s="1"/>
  <c r="P1074" i="1"/>
  <c r="P1075" i="1"/>
  <c r="Q1075" i="1" s="1"/>
  <c r="P1076" i="1"/>
  <c r="Q1076" i="1" s="1"/>
  <c r="P1077" i="1"/>
  <c r="Q1077" i="1" s="1"/>
  <c r="P1078" i="1"/>
  <c r="P1079" i="1"/>
  <c r="P1080" i="1"/>
  <c r="P1081" i="1"/>
  <c r="P1082" i="1"/>
  <c r="Q1082" i="1" s="1"/>
  <c r="P1083" i="1"/>
  <c r="P1084" i="1"/>
  <c r="Q1084" i="1" s="1"/>
  <c r="P1085" i="1"/>
  <c r="Q1085" i="1" s="1"/>
  <c r="P1086" i="1"/>
  <c r="P1087" i="1"/>
  <c r="Q1087" i="1" s="1"/>
  <c r="P1088" i="1"/>
  <c r="Q1088" i="1" s="1"/>
  <c r="P1089" i="1"/>
  <c r="P1090" i="1"/>
  <c r="P1091" i="1"/>
  <c r="P1092" i="1"/>
  <c r="P1093" i="1"/>
  <c r="Q1093" i="1" s="1"/>
  <c r="P1094" i="1"/>
  <c r="Q1094" i="1" s="1"/>
  <c r="P1095" i="1"/>
  <c r="Q1095" i="1" s="1"/>
  <c r="P1096" i="1"/>
  <c r="P1097" i="1"/>
  <c r="P1098" i="1"/>
  <c r="P1099" i="1"/>
  <c r="P1100" i="1"/>
  <c r="P1101" i="1"/>
  <c r="P1102" i="1"/>
  <c r="P1103" i="1"/>
  <c r="Q1103" i="1" s="1"/>
  <c r="P1104" i="1"/>
  <c r="P1105" i="1"/>
  <c r="Q1105" i="1" s="1"/>
  <c r="P1106" i="1"/>
  <c r="Q1106" i="1" s="1"/>
  <c r="P1107" i="1"/>
  <c r="P1108" i="1"/>
  <c r="Q1108" i="1" s="1"/>
  <c r="P1109" i="1"/>
  <c r="Q1109" i="1" s="1"/>
  <c r="P1110" i="1"/>
  <c r="P1111" i="1"/>
  <c r="P1112" i="1"/>
  <c r="Q1112" i="1" s="1"/>
  <c r="P1113" i="1"/>
  <c r="P1114" i="1"/>
  <c r="P1115" i="1"/>
  <c r="P1116" i="1"/>
  <c r="Q1116" i="1" s="1"/>
  <c r="P1117" i="1"/>
  <c r="P1118" i="1"/>
  <c r="P1119" i="1"/>
  <c r="Q1119" i="1" s="1"/>
  <c r="P1120" i="1"/>
  <c r="P1121" i="1"/>
  <c r="P1122" i="1"/>
  <c r="Q1122" i="1" s="1"/>
  <c r="P1123" i="1"/>
  <c r="P1124" i="1"/>
  <c r="P1125" i="1"/>
  <c r="P1126" i="1"/>
  <c r="Q1126" i="1" s="1"/>
  <c r="P1127" i="1"/>
  <c r="P1128" i="1"/>
  <c r="P1129" i="1"/>
  <c r="P1130" i="1"/>
  <c r="Q1130" i="1" s="1"/>
  <c r="P1131" i="1"/>
  <c r="Q1131" i="1" s="1"/>
  <c r="P1132" i="1"/>
  <c r="P1133" i="1"/>
  <c r="Q1133" i="1" s="1"/>
  <c r="P1134" i="1"/>
  <c r="Q1134" i="1" s="1"/>
  <c r="P1135" i="1"/>
  <c r="Q1135" i="1" s="1"/>
  <c r="P1136" i="1"/>
  <c r="Q1136" i="1" s="1"/>
  <c r="P1137" i="1"/>
  <c r="P1138" i="1"/>
  <c r="Q1138" i="1" s="1"/>
  <c r="P1139" i="1"/>
  <c r="P1140" i="1"/>
  <c r="Q1140" i="1" s="1"/>
  <c r="P1141" i="1"/>
  <c r="P1142" i="1"/>
  <c r="Q1142" i="1" s="1"/>
  <c r="P1143" i="1"/>
  <c r="Q1143" i="1" s="1"/>
  <c r="P1144" i="1"/>
  <c r="P1145" i="1"/>
  <c r="P1146" i="1"/>
  <c r="P1147" i="1"/>
  <c r="P1148" i="1"/>
  <c r="P1149" i="1"/>
  <c r="P1150" i="1"/>
  <c r="P1151" i="1"/>
  <c r="P1152" i="1"/>
  <c r="Q1152" i="1" s="1"/>
  <c r="P1153" i="1"/>
  <c r="Q1153" i="1" s="1"/>
  <c r="P1154" i="1"/>
  <c r="Q1154" i="1" s="1"/>
  <c r="P1155" i="1"/>
  <c r="Q1155" i="1" s="1"/>
  <c r="P1156" i="1"/>
  <c r="Q1156" i="1" s="1"/>
  <c r="P1157" i="1"/>
  <c r="P1158" i="1"/>
  <c r="P1159" i="1"/>
  <c r="P1160" i="1"/>
  <c r="P1161" i="1"/>
  <c r="P1162" i="1"/>
  <c r="Q1162" i="1" s="1"/>
  <c r="P1163" i="1"/>
  <c r="P1164" i="1"/>
  <c r="Q1164" i="1" s="1"/>
  <c r="P1165" i="1"/>
  <c r="P1166" i="1"/>
  <c r="P1167" i="1"/>
  <c r="Q1167" i="1" s="1"/>
  <c r="P1168" i="1"/>
  <c r="P1169" i="1"/>
  <c r="P1170" i="1"/>
  <c r="Q1170" i="1" s="1"/>
  <c r="P1171" i="1"/>
  <c r="P1172" i="1"/>
  <c r="P1173" i="1"/>
  <c r="Q1173" i="1" s="1"/>
  <c r="P1174" i="1"/>
  <c r="Q1174" i="1" s="1"/>
  <c r="P1175" i="1"/>
  <c r="Q1175" i="1" s="1"/>
  <c r="P1176" i="1"/>
  <c r="P1177" i="1"/>
  <c r="Q1177" i="1" s="1"/>
  <c r="P1178" i="1"/>
  <c r="P1179" i="1"/>
  <c r="Q1179" i="1" s="1"/>
  <c r="P1180" i="1"/>
  <c r="P1181" i="1"/>
  <c r="P1182" i="1"/>
  <c r="P1183" i="1"/>
  <c r="Q1183" i="1" s="1"/>
  <c r="P1184" i="1"/>
  <c r="Q1184" i="1" s="1"/>
  <c r="P1185" i="1"/>
  <c r="Q1185" i="1" s="1"/>
  <c r="P1186" i="1"/>
  <c r="Q1186" i="1" s="1"/>
  <c r="P1187" i="1"/>
  <c r="P1188" i="1"/>
  <c r="Q1188" i="1" s="1"/>
  <c r="P1189" i="1"/>
  <c r="Q1189" i="1" s="1"/>
  <c r="P1190" i="1"/>
  <c r="Q1190" i="1" s="1"/>
  <c r="P1191" i="1"/>
  <c r="P1192" i="1"/>
  <c r="Q1192" i="1" s="1"/>
  <c r="P1193" i="1"/>
  <c r="P1194" i="1"/>
  <c r="P1195" i="1"/>
  <c r="Q1195" i="1" s="1"/>
  <c r="P1196" i="1"/>
  <c r="P1197" i="1"/>
  <c r="Q1197" i="1" s="1"/>
  <c r="P1198" i="1"/>
  <c r="P1199" i="1"/>
  <c r="Q1199" i="1" s="1"/>
  <c r="P1200" i="1"/>
  <c r="Q1200" i="1" s="1"/>
  <c r="P1201" i="1"/>
  <c r="Q1201" i="1" s="1"/>
  <c r="P1202" i="1"/>
  <c r="P1203" i="1"/>
  <c r="P1204" i="1"/>
  <c r="Q1204" i="1" s="1"/>
  <c r="P1205" i="1"/>
  <c r="P1206" i="1"/>
  <c r="P1207" i="1"/>
  <c r="P1208" i="1"/>
  <c r="Q1208" i="1" s="1"/>
  <c r="P1209" i="1"/>
  <c r="Q1209" i="1" s="1"/>
  <c r="P1210" i="1"/>
  <c r="Q1210" i="1" s="1"/>
  <c r="P1211" i="1"/>
  <c r="P1212" i="1"/>
  <c r="P1213" i="1"/>
  <c r="P1214" i="1"/>
  <c r="Q1214" i="1" s="1"/>
  <c r="P1215" i="1"/>
  <c r="Q1215" i="1" s="1"/>
  <c r="P1216" i="1"/>
  <c r="Q1216" i="1" s="1"/>
  <c r="P1217" i="1"/>
  <c r="P1218" i="1"/>
  <c r="Q1218" i="1" s="1"/>
  <c r="P1219" i="1"/>
  <c r="P1220" i="1"/>
  <c r="P1221" i="1"/>
  <c r="Q1221" i="1" s="1"/>
  <c r="P1222" i="1"/>
  <c r="Q1222" i="1" s="1"/>
  <c r="P1223" i="1"/>
  <c r="P1224" i="1"/>
  <c r="Q1224" i="1" s="1"/>
  <c r="P1225" i="1"/>
  <c r="P1226" i="1"/>
  <c r="P1227" i="1"/>
  <c r="Q1227" i="1" s="1"/>
  <c r="P1228" i="1"/>
  <c r="P1229" i="1"/>
  <c r="P1230" i="1"/>
  <c r="P1231" i="1"/>
  <c r="Q1231" i="1" s="1"/>
  <c r="P1232" i="1"/>
  <c r="Q1232" i="1" s="1"/>
  <c r="P1233" i="1"/>
  <c r="Q1233" i="1" s="1"/>
  <c r="P1234" i="1"/>
  <c r="Q1234" i="1" s="1"/>
  <c r="P1235" i="1"/>
  <c r="Q1235" i="1" s="1"/>
  <c r="P1236" i="1"/>
  <c r="P1237" i="1"/>
  <c r="Q1237" i="1" s="1"/>
  <c r="P1238" i="1"/>
  <c r="P1239" i="1"/>
  <c r="Q1239" i="1" s="1"/>
  <c r="P1240" i="1"/>
  <c r="P1241" i="1"/>
  <c r="P1242" i="1"/>
  <c r="Q1242" i="1" s="1"/>
  <c r="P1243" i="1"/>
  <c r="P1244" i="1"/>
  <c r="P1245" i="1"/>
  <c r="Q1245" i="1" s="1"/>
  <c r="P1246" i="1"/>
  <c r="P1247" i="1"/>
  <c r="Q1247" i="1" s="1"/>
  <c r="P1248" i="1"/>
  <c r="P1249" i="1"/>
  <c r="Q1249" i="1" s="1"/>
  <c r="P1250" i="1"/>
  <c r="P1251" i="1"/>
  <c r="P1252" i="1"/>
  <c r="P1253" i="1"/>
  <c r="P1254" i="1"/>
  <c r="P1255" i="1"/>
  <c r="P1256" i="1"/>
  <c r="P1257" i="1"/>
  <c r="Q1257" i="1" s="1"/>
  <c r="P1258" i="1"/>
  <c r="Q1258" i="1" s="1"/>
  <c r="P1259" i="1"/>
  <c r="P1260" i="1"/>
  <c r="Q1260" i="1" s="1"/>
  <c r="P1261" i="1"/>
  <c r="P1262" i="1"/>
  <c r="P1263" i="1"/>
  <c r="Q1263" i="1" s="1"/>
  <c r="P1264" i="1"/>
  <c r="Q1264" i="1" s="1"/>
  <c r="P1265" i="1"/>
  <c r="P1266" i="1"/>
  <c r="Q1266" i="1" s="1"/>
  <c r="P1267" i="1"/>
  <c r="Q1267" i="1" s="1"/>
  <c r="P1268" i="1"/>
  <c r="Q1268" i="1" s="1"/>
  <c r="P1269" i="1"/>
  <c r="P1270" i="1"/>
  <c r="P1271" i="1"/>
  <c r="P1272" i="1"/>
  <c r="P1273" i="1"/>
  <c r="P1274" i="1"/>
  <c r="Q1274" i="1" s="1"/>
  <c r="P1275" i="1"/>
  <c r="P1276" i="1"/>
  <c r="P1277" i="1"/>
  <c r="Q1277" i="1" s="1"/>
  <c r="P1278" i="1"/>
  <c r="Q1278" i="1" s="1"/>
  <c r="P1279" i="1"/>
  <c r="Q1279" i="1" s="1"/>
  <c r="P1280" i="1"/>
  <c r="Q1280" i="1" s="1"/>
  <c r="P1281" i="1"/>
  <c r="P1282" i="1"/>
  <c r="Q1282" i="1" s="1"/>
  <c r="P1283" i="1"/>
  <c r="Q1283" i="1" s="1"/>
  <c r="P1284" i="1"/>
  <c r="Q1284" i="1" s="1"/>
  <c r="P1285" i="1"/>
  <c r="P1286" i="1"/>
  <c r="Q1286" i="1" s="1"/>
  <c r="P1287" i="1"/>
  <c r="P1288" i="1"/>
  <c r="P1289" i="1"/>
  <c r="P1290" i="1"/>
  <c r="P1291" i="1"/>
  <c r="Q1291" i="1" s="1"/>
  <c r="P1292" i="1"/>
  <c r="P1293" i="1"/>
  <c r="P1294" i="1"/>
  <c r="Q1294" i="1" s="1"/>
  <c r="P1295" i="1"/>
  <c r="Q1295" i="1" s="1"/>
  <c r="P1296" i="1"/>
  <c r="Q1296" i="1" s="1"/>
  <c r="P1297" i="1"/>
  <c r="P1298" i="1"/>
  <c r="Q1298" i="1" s="1"/>
  <c r="P1299" i="1"/>
  <c r="P1300" i="1"/>
  <c r="Q1300" i="1" s="1"/>
  <c r="P1301" i="1"/>
  <c r="Q1301" i="1" s="1"/>
  <c r="P1302" i="1"/>
  <c r="P1303" i="1"/>
  <c r="Q1303" i="1" s="1"/>
  <c r="P1304" i="1"/>
  <c r="P1305" i="1"/>
  <c r="Q1305" i="1" s="1"/>
  <c r="P1306" i="1"/>
  <c r="Q1306" i="1" s="1"/>
  <c r="P1307" i="1"/>
  <c r="Q1307" i="1" s="1"/>
  <c r="P1308" i="1"/>
  <c r="Q1308" i="1" s="1"/>
  <c r="P1309" i="1"/>
  <c r="Q1309" i="1" s="1"/>
  <c r="P1310" i="1"/>
  <c r="P1311" i="1"/>
  <c r="P1312" i="1"/>
  <c r="P1313" i="1"/>
  <c r="P1314" i="1"/>
  <c r="Q1314" i="1" s="1"/>
  <c r="P1315" i="1"/>
  <c r="Q1315" i="1" s="1"/>
  <c r="P1316" i="1"/>
  <c r="P1317" i="1"/>
  <c r="Q1317" i="1" s="1"/>
  <c r="P1318" i="1"/>
  <c r="Q1318" i="1" s="1"/>
  <c r="P1319" i="1"/>
  <c r="Q1319" i="1" s="1"/>
  <c r="P1320" i="1"/>
  <c r="Q1320" i="1" s="1"/>
  <c r="P1321" i="1"/>
  <c r="P1322" i="1"/>
  <c r="Q1322" i="1" s="1"/>
  <c r="P1323" i="1"/>
  <c r="Q1323" i="1" s="1"/>
  <c r="P1324" i="1"/>
  <c r="Q1324" i="1" s="1"/>
  <c r="P1325" i="1"/>
  <c r="Q1325" i="1" s="1"/>
  <c r="P1326" i="1"/>
  <c r="P1327" i="1"/>
  <c r="Q1327" i="1" s="1"/>
  <c r="P1328" i="1"/>
  <c r="Q1328" i="1" s="1"/>
  <c r="P1329" i="1"/>
  <c r="P1330" i="1"/>
  <c r="P1331" i="1"/>
  <c r="P1332" i="1"/>
  <c r="P1333" i="1"/>
  <c r="P1334" i="1"/>
  <c r="P1335" i="1"/>
  <c r="P1336" i="1"/>
  <c r="P1337" i="1"/>
  <c r="Q1337" i="1" s="1"/>
  <c r="P1338" i="1"/>
  <c r="P1339" i="1"/>
  <c r="P1340" i="1"/>
  <c r="P1341" i="1"/>
  <c r="P1342" i="1"/>
  <c r="P1343" i="1"/>
  <c r="P1344" i="1"/>
  <c r="P1345" i="1"/>
  <c r="Q1345" i="1" s="1"/>
  <c r="P1346" i="1"/>
  <c r="Q1346" i="1" s="1"/>
  <c r="P1347" i="1"/>
  <c r="Q1347" i="1" s="1"/>
  <c r="P1348" i="1"/>
  <c r="Q1348" i="1" s="1"/>
  <c r="P1349" i="1"/>
  <c r="Q1349" i="1" s="1"/>
  <c r="P1350" i="1"/>
  <c r="P1351" i="1"/>
  <c r="P1352" i="1"/>
  <c r="Q1352" i="1" s="1"/>
  <c r="P1353" i="1"/>
  <c r="P1354" i="1"/>
  <c r="Q1354" i="1" s="1"/>
  <c r="P1355" i="1"/>
  <c r="Q1355" i="1" s="1"/>
  <c r="P1356" i="1"/>
  <c r="P1357" i="1"/>
  <c r="Q1357" i="1" s="1"/>
  <c r="P1358" i="1"/>
  <c r="P1359" i="1"/>
  <c r="P1360" i="1"/>
  <c r="Q1360" i="1" s="1"/>
  <c r="P1361" i="1"/>
  <c r="Q1361" i="1" s="1"/>
  <c r="P1362" i="1"/>
  <c r="Q1362" i="1" s="1"/>
  <c r="P1363" i="1"/>
  <c r="P1364" i="1"/>
  <c r="Q1364" i="1" s="1"/>
  <c r="P1365" i="1"/>
  <c r="P1366" i="1"/>
  <c r="P1367" i="1"/>
  <c r="P1368" i="1"/>
  <c r="P1369" i="1"/>
  <c r="Q1369" i="1" s="1"/>
  <c r="P1370" i="1"/>
  <c r="P1371" i="1"/>
  <c r="P1372" i="1"/>
  <c r="P1373" i="1"/>
  <c r="Q1373" i="1" s="1"/>
  <c r="P1374" i="1"/>
  <c r="P1375" i="1"/>
  <c r="Q1375" i="1" s="1"/>
  <c r="P1376" i="1"/>
  <c r="Q1376" i="1" s="1"/>
  <c r="P1377" i="1"/>
  <c r="Q1377" i="1" s="1"/>
  <c r="P1378" i="1"/>
  <c r="P1379" i="1"/>
  <c r="Q1379" i="1" s="1"/>
  <c r="P1380" i="1"/>
  <c r="P1381" i="1"/>
  <c r="Q1381" i="1" s="1"/>
  <c r="P1382" i="1"/>
  <c r="P1383" i="1"/>
  <c r="P1384" i="1"/>
  <c r="Q1384" i="1" s="1"/>
  <c r="P1385" i="1"/>
  <c r="P1386" i="1"/>
  <c r="P1387" i="1"/>
  <c r="P1388" i="1"/>
  <c r="Q1388" i="1" s="1"/>
  <c r="P1389" i="1"/>
  <c r="P1390" i="1"/>
  <c r="P1391" i="1"/>
  <c r="Q1391" i="1" s="1"/>
  <c r="P1392" i="1"/>
  <c r="Q1392" i="1" s="1"/>
  <c r="P1393" i="1"/>
  <c r="Q1393" i="1" s="1"/>
  <c r="P1394" i="1"/>
  <c r="P1395" i="1"/>
  <c r="P1396" i="1"/>
  <c r="P1397" i="1"/>
  <c r="P1398" i="1"/>
  <c r="P1399" i="1"/>
  <c r="P1400" i="1"/>
  <c r="Q1400" i="1" s="1"/>
  <c r="P1401" i="1"/>
  <c r="Q1401" i="1" s="1"/>
  <c r="P1402" i="1"/>
  <c r="Q1402" i="1" s="1"/>
  <c r="P1403" i="1"/>
  <c r="Q1403" i="1" s="1"/>
  <c r="P1404" i="1"/>
  <c r="P1405" i="1"/>
  <c r="Q1405" i="1" s="1"/>
  <c r="P1406" i="1"/>
  <c r="P1407" i="1"/>
  <c r="Q1407" i="1" s="1"/>
  <c r="P1408" i="1"/>
  <c r="P1409" i="1"/>
  <c r="P1410" i="1"/>
  <c r="Q1410" i="1" s="1"/>
  <c r="P1411" i="1"/>
  <c r="P1412" i="1"/>
  <c r="P1413" i="1"/>
  <c r="P1414" i="1"/>
  <c r="P1415" i="1"/>
  <c r="Q1415" i="1" s="1"/>
  <c r="P1416" i="1"/>
  <c r="P1417" i="1"/>
  <c r="P1418" i="1"/>
  <c r="Q1418" i="1" s="1"/>
  <c r="P1419" i="1"/>
  <c r="Q1419" i="1" s="1"/>
  <c r="P1420" i="1"/>
  <c r="P1421" i="1"/>
  <c r="Q1421" i="1" s="1"/>
  <c r="P1422" i="1"/>
  <c r="P1423" i="1"/>
  <c r="P1424" i="1"/>
  <c r="Q1424" i="1" s="1"/>
  <c r="P1425" i="1"/>
  <c r="Q1425" i="1" s="1"/>
  <c r="P1426" i="1"/>
  <c r="P1427" i="1"/>
  <c r="P1428" i="1"/>
  <c r="P1429" i="1"/>
  <c r="P1430" i="1"/>
  <c r="P1431" i="1"/>
  <c r="P1432" i="1"/>
  <c r="Q1432" i="1" s="1"/>
  <c r="P1433" i="1"/>
  <c r="P1434" i="1"/>
  <c r="Q1434" i="1" s="1"/>
  <c r="P1435" i="1"/>
  <c r="P1436" i="1"/>
  <c r="Q1436" i="1" s="1"/>
  <c r="P1437" i="1"/>
  <c r="Q1437" i="1" s="1"/>
  <c r="P1438" i="1"/>
  <c r="P1439" i="1"/>
  <c r="Q1439" i="1" s="1"/>
  <c r="P1440" i="1"/>
  <c r="P1441" i="1"/>
  <c r="P1442" i="1"/>
  <c r="P1443" i="1"/>
  <c r="P1444" i="1"/>
  <c r="Q1444" i="1" s="1"/>
  <c r="P1445" i="1"/>
  <c r="P1446" i="1"/>
  <c r="P1447" i="1"/>
  <c r="P1448" i="1"/>
  <c r="P1449" i="1"/>
  <c r="P1450" i="1"/>
  <c r="Q1450" i="1" s="1"/>
  <c r="P1451" i="1"/>
  <c r="Q1451" i="1" s="1"/>
  <c r="P1452" i="1"/>
  <c r="Q1452" i="1" s="1"/>
  <c r="P1453" i="1"/>
  <c r="Q1453" i="1" s="1"/>
  <c r="P1454" i="1"/>
  <c r="P1455" i="1"/>
  <c r="Q1455" i="1" s="1"/>
  <c r="P1456" i="1"/>
  <c r="P1457" i="1"/>
  <c r="Q1457" i="1" s="1"/>
  <c r="P1458" i="1"/>
  <c r="P1459" i="1"/>
  <c r="Q1459" i="1" s="1"/>
  <c r="P1460" i="1"/>
  <c r="Q1460" i="1" s="1"/>
  <c r="P1461" i="1"/>
  <c r="P1462" i="1"/>
  <c r="P1463" i="1"/>
  <c r="Q1463" i="1" s="1"/>
  <c r="P1464" i="1"/>
  <c r="Q1464" i="1" s="1"/>
  <c r="P1465" i="1"/>
  <c r="Q1465" i="1" s="1"/>
  <c r="P1466" i="1"/>
  <c r="Q1466" i="1" s="1"/>
  <c r="P1467" i="1"/>
  <c r="Q1467" i="1" s="1"/>
  <c r="P1468" i="1"/>
  <c r="Q1468" i="1" s="1"/>
  <c r="P1469" i="1"/>
  <c r="P1470" i="1"/>
  <c r="P1471" i="1"/>
  <c r="P1472" i="1"/>
  <c r="P1473" i="1"/>
  <c r="P1474" i="1"/>
  <c r="Q1474" i="1" s="1"/>
  <c r="P1475" i="1"/>
  <c r="Q1475" i="1" s="1"/>
  <c r="P1476" i="1"/>
  <c r="P1477" i="1"/>
  <c r="P1478" i="1"/>
  <c r="P1479" i="1"/>
  <c r="Q1479" i="1" s="1"/>
  <c r="P1480" i="1"/>
  <c r="P1481" i="1"/>
  <c r="P1482" i="1"/>
  <c r="P1483" i="1"/>
  <c r="P1484" i="1"/>
  <c r="Q1484" i="1" s="1"/>
  <c r="P1485" i="1"/>
  <c r="Q1485" i="1" s="1"/>
  <c r="P1486" i="1"/>
  <c r="P1487" i="1"/>
  <c r="P1488" i="1"/>
  <c r="Q1488" i="1" s="1"/>
  <c r="P1489" i="1"/>
  <c r="P1490" i="1"/>
  <c r="P1491" i="1"/>
  <c r="P1492" i="1"/>
  <c r="Q1492" i="1" s="1"/>
  <c r="P1493" i="1"/>
  <c r="Q1493" i="1" s="1"/>
  <c r="P1494" i="1"/>
  <c r="P1495" i="1"/>
  <c r="P1496" i="1"/>
  <c r="Q1496" i="1" s="1"/>
  <c r="P1497" i="1"/>
  <c r="P1498" i="1"/>
  <c r="P1499" i="1"/>
  <c r="Q1499" i="1" s="1"/>
  <c r="P1500" i="1"/>
  <c r="Q1500" i="1" s="1"/>
  <c r="P1501" i="1"/>
  <c r="Q15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26BF96-1EC2-4C96-BF7A-56ABE289BCB8}" keepAlive="1" name="ModelConnection_ExternalData_1" description="Data Model" type="5" refreshedVersion="8" minRefreshableVersion="5" saveData="1">
    <dbPr connection="Data Model Connection" command="Delivery data" commandType="3"/>
    <extLst>
      <ext xmlns:x15="http://schemas.microsoft.com/office/spreadsheetml/2010/11/main" uri="{DE250136-89BD-433C-8126-D09CA5730AF9}">
        <x15:connection id="" model="1"/>
      </ext>
    </extLst>
  </connection>
  <connection id="2" xr16:uid="{B7260CFC-E0C4-4298-94E4-A719065B2834}" name="Query - Delivery data" description="Connection to the 'Delivery data' query in the workbook." type="100" refreshedVersion="8" minRefreshableVersion="5">
    <extLst>
      <ext xmlns:x15="http://schemas.microsoft.com/office/spreadsheetml/2010/11/main" uri="{DE250136-89BD-433C-8126-D09CA5730AF9}">
        <x15:connection id="a3bad793-272c-4159-bc2a-67ba19cc75f1"/>
      </ext>
    </extLst>
  </connection>
  <connection id="3" xr16:uid="{F8378287-36A4-4DD9-8F66-FE7AB050AD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<sst xmlns="http://schemas.openxmlformats.org/spreadsheetml/2006/main" count="13567" uniqueCount="1611">
  <si>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</si>
  <si>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</si>
  <si>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</si>
  <si>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</si>
  <si>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</si>
  <si>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</si>
  <si>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</si>
  <si>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</si>
  <si>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</si>
  <si>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</si>
  <si>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</si>
  <si>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</si>
  <si>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</si>
  <si>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On Time</t>
  </si>
  <si>
    <t>Creative Positive Feedback</t>
  </si>
  <si>
    <t>718 Pine St, CityD</t>
  </si>
  <si>
    <t>In Progress</t>
  </si>
  <si>
    <t>D1</t>
  </si>
  <si>
    <t>Van A</t>
  </si>
  <si>
    <t>CityB</t>
  </si>
  <si>
    <t>Neutral</t>
  </si>
  <si>
    <t>Route5</t>
  </si>
  <si>
    <t>Zone3</t>
  </si>
  <si>
    <t>Custom Rules</t>
  </si>
  <si>
    <t>571 Main St, CityC</t>
  </si>
  <si>
    <t>Completed</t>
  </si>
  <si>
    <t>D91</t>
  </si>
  <si>
    <t>Negative</t>
  </si>
  <si>
    <t>Route4</t>
  </si>
  <si>
    <t>Zone2</t>
  </si>
  <si>
    <t>Expedited Rules</t>
  </si>
  <si>
    <t>987 Cedar St, CityA</t>
  </si>
  <si>
    <t>D53</t>
  </si>
  <si>
    <t>Route1</t>
  </si>
  <si>
    <t>145 Elm St, CityD</t>
  </si>
  <si>
    <t>Positive</t>
  </si>
  <si>
    <t>659 Elm St, CityC</t>
  </si>
  <si>
    <t>D54</t>
  </si>
  <si>
    <t>Route2</t>
  </si>
  <si>
    <t>Standard Rules</t>
  </si>
  <si>
    <t>503 Main St, CityD</t>
  </si>
  <si>
    <t>D14</t>
  </si>
  <si>
    <t>Zone1</t>
  </si>
  <si>
    <t>970 Main St, CityC</t>
  </si>
  <si>
    <t>D59</t>
  </si>
  <si>
    <t>914 Cedar St, CityE</t>
  </si>
  <si>
    <t>D15</t>
  </si>
  <si>
    <t>381 Pine St, CityA</t>
  </si>
  <si>
    <t>D89</t>
  </si>
  <si>
    <t>713 Pine St, CityB</t>
  </si>
  <si>
    <t>D69</t>
  </si>
  <si>
    <t>Route3</t>
  </si>
  <si>
    <t>112 Main St, CityD</t>
  </si>
  <si>
    <t>D41</t>
  </si>
  <si>
    <t>131 Cedar St, CityA</t>
  </si>
  <si>
    <t>44 Pine St, CityD</t>
  </si>
  <si>
    <t>D29</t>
  </si>
  <si>
    <t>801 Elm St, CityB</t>
  </si>
  <si>
    <t>D70</t>
  </si>
  <si>
    <t>422 Oak St, CityD</t>
  </si>
  <si>
    <t>D17</t>
  </si>
  <si>
    <t>324 Cedar St, CityE</t>
  </si>
  <si>
    <t>D18</t>
  </si>
  <si>
    <t>806 Main St, CityA</t>
  </si>
  <si>
    <t>D34</t>
  </si>
  <si>
    <t>644 Pine St, CityC</t>
  </si>
  <si>
    <t>D58</t>
  </si>
  <si>
    <t>398 Main St, CityC</t>
  </si>
  <si>
    <t>D79</t>
  </si>
  <si>
    <t>831 Elm St, CityA</t>
  </si>
  <si>
    <t>D4</t>
  </si>
  <si>
    <t>885 Main St, CityA</t>
  </si>
  <si>
    <t>D72</t>
  </si>
  <si>
    <t>444 Elm St, CityB</t>
  </si>
  <si>
    <t>D24</t>
  </si>
  <si>
    <t>329 Cedar St, CityB</t>
  </si>
  <si>
    <t>D48</t>
  </si>
  <si>
    <t>295 Cedar St, CityA</t>
  </si>
  <si>
    <t>D39</t>
  </si>
  <si>
    <t>454 Elm St, CityE</t>
  </si>
  <si>
    <t>D19</t>
  </si>
  <si>
    <t>997 Elm St, CityA</t>
  </si>
  <si>
    <t>353 Main St, CityE</t>
  </si>
  <si>
    <t>D7</t>
  </si>
  <si>
    <t>890 Pine St, CityD</t>
  </si>
  <si>
    <t>D20</t>
  </si>
  <si>
    <t>430 Main St, CityB</t>
  </si>
  <si>
    <t>D52</t>
  </si>
  <si>
    <t>608 Elm St, CityB</t>
  </si>
  <si>
    <t>D8</t>
  </si>
  <si>
    <t>346 Elm St, CityA</t>
  </si>
  <si>
    <t>D5</t>
  </si>
  <si>
    <t>985 Main St, CityA</t>
  </si>
  <si>
    <t>989 Oak St, CityE</t>
  </si>
  <si>
    <t>D64</t>
  </si>
  <si>
    <t>912 Main St, CityC</t>
  </si>
  <si>
    <t>D73</t>
  </si>
  <si>
    <t>373 Main St, CityD</t>
  </si>
  <si>
    <t>D25</t>
  </si>
  <si>
    <t>378 Pine St, CityB</t>
  </si>
  <si>
    <t>D66</t>
  </si>
  <si>
    <t>980 Main St, CityA</t>
  </si>
  <si>
    <t>D16</t>
  </si>
  <si>
    <t>773 Oak St, CityC</t>
  </si>
  <si>
    <t>D22</t>
  </si>
  <si>
    <t>491 Main St, CityA</t>
  </si>
  <si>
    <t>604 Main St, CityB</t>
  </si>
  <si>
    <t>921 Elm St, CityD</t>
  </si>
  <si>
    <t>D2</t>
  </si>
  <si>
    <t>761 Elm St, CityB</t>
  </si>
  <si>
    <t>D3</t>
  </si>
  <si>
    <t>632 Main St, CityA</t>
  </si>
  <si>
    <t>874 Main St, CityE</t>
  </si>
  <si>
    <t>D83</t>
  </si>
  <si>
    <t>919 Main St, CityA</t>
  </si>
  <si>
    <t>D75</t>
  </si>
  <si>
    <t>350 Cedar St, CityB</t>
  </si>
  <si>
    <t>D33</t>
  </si>
  <si>
    <t>514 Cedar St, CityA</t>
  </si>
  <si>
    <t>5 Oak St, CityE</t>
  </si>
  <si>
    <t>303 Main St, CityB</t>
  </si>
  <si>
    <t>D57</t>
  </si>
  <si>
    <t>260 Pine St, CityA</t>
  </si>
  <si>
    <t>882 Pine St, CityE</t>
  </si>
  <si>
    <t>487 Oak St, CityE</t>
  </si>
  <si>
    <t>310 Elm St, CityB</t>
  </si>
  <si>
    <t>D65</t>
  </si>
  <si>
    <t>719 Pine St, CityA</t>
  </si>
  <si>
    <t>585 Elm St, CityB</t>
  </si>
  <si>
    <t>D26</t>
  </si>
  <si>
    <t>151 Oak St, CityB</t>
  </si>
  <si>
    <t>765 Pine St, CityA</t>
  </si>
  <si>
    <t>946 Cedar St, CityE</t>
  </si>
  <si>
    <t>896 Oak St, CityE</t>
  </si>
  <si>
    <t>D97</t>
  </si>
  <si>
    <t>950 Oak St, CityB</t>
  </si>
  <si>
    <t>D81</t>
  </si>
  <si>
    <t>912 Elm St, CityC</t>
  </si>
  <si>
    <t>818 Pine St, CityE</t>
  </si>
  <si>
    <t>D87</t>
  </si>
  <si>
    <t>403 Main St, CityA</t>
  </si>
  <si>
    <t>826 Pine St, CityB</t>
  </si>
  <si>
    <t>162 Elm St, CityB</t>
  </si>
  <si>
    <t>955 Oak St, CityD</t>
  </si>
  <si>
    <t>D37</t>
  </si>
  <si>
    <t>542 Pine St, CityD</t>
  </si>
  <si>
    <t>806 Cedar St, CityE</t>
  </si>
  <si>
    <t>134 Pine St, CityA</t>
  </si>
  <si>
    <t>841 Cedar St, CityE</t>
  </si>
  <si>
    <t>683 Cedar St, CityE</t>
  </si>
  <si>
    <t>272 Pine St, CityA</t>
  </si>
  <si>
    <t>167 Cedar St, CityD</t>
  </si>
  <si>
    <t>D96</t>
  </si>
  <si>
    <t>316 Elm St, CityD</t>
  </si>
  <si>
    <t>901 Pine St, CityD</t>
  </si>
  <si>
    <t>D55</t>
  </si>
  <si>
    <t>182 Main St, CityB</t>
  </si>
  <si>
    <t>544 Pine St, CityE</t>
  </si>
  <si>
    <t>D13</t>
  </si>
  <si>
    <t>605 Cedar St, CityE</t>
  </si>
  <si>
    <t>509 Cedar St, CityB</t>
  </si>
  <si>
    <t>D80</t>
  </si>
  <si>
    <t>948 Pine St, CityE</t>
  </si>
  <si>
    <t>556 Cedar St, CityA</t>
  </si>
  <si>
    <t>117 Pine St, CityC</t>
  </si>
  <si>
    <t>D47</t>
  </si>
  <si>
    <t>808 Main St, CityC</t>
  </si>
  <si>
    <t>559 Oak St, CityA</t>
  </si>
  <si>
    <t>464 Elm St, CityA</t>
  </si>
  <si>
    <t>D95</t>
  </si>
  <si>
    <t>962 Oak St, CityB</t>
  </si>
  <si>
    <t>935 Main St, CityE</t>
  </si>
  <si>
    <t>D86</t>
  </si>
  <si>
    <t>441 Elm St, CityE</t>
  </si>
  <si>
    <t>983 Main St, CityE</t>
  </si>
  <si>
    <t>D45</t>
  </si>
  <si>
    <t>182 Pine St, CityA</t>
  </si>
  <si>
    <t>877 Cedar St, CityE</t>
  </si>
  <si>
    <t>D50</t>
  </si>
  <si>
    <t>582 Oak St, CityA</t>
  </si>
  <si>
    <t>640 Elm St, CityB</t>
  </si>
  <si>
    <t>D76</t>
  </si>
  <si>
    <t>698 Cedar St, CityD</t>
  </si>
  <si>
    <t>488 Oak St, CityE</t>
  </si>
  <si>
    <t>D98</t>
  </si>
  <si>
    <t>837 Elm St, CityD</t>
  </si>
  <si>
    <t>570 Elm St, CityA</t>
  </si>
  <si>
    <t>757 Main St, CityE</t>
  </si>
  <si>
    <t>756 Main St, CityB</t>
  </si>
  <si>
    <t>176 Oak St, CityA</t>
  </si>
  <si>
    <t>906 Cedar St, CityE</t>
  </si>
  <si>
    <t>D68</t>
  </si>
  <si>
    <t>849 Cedar St, CityE</t>
  </si>
  <si>
    <t>621 Elm St, CityA</t>
  </si>
  <si>
    <t>453 Main St, CityD</t>
  </si>
  <si>
    <t>D60</t>
  </si>
  <si>
    <t>493 Main St, CityD</t>
  </si>
  <si>
    <t>354 Oak St, CityA</t>
  </si>
  <si>
    <t>242 Pine St, CityB</t>
  </si>
  <si>
    <t>641 Oak St, CityB</t>
  </si>
  <si>
    <t>D71</t>
  </si>
  <si>
    <t>714 Pine St, CityE</t>
  </si>
  <si>
    <t>849 Cedar St, CityC</t>
  </si>
  <si>
    <t>826 Main St, CityA</t>
  </si>
  <si>
    <t>D46</t>
  </si>
  <si>
    <t>415 Oak St, CityB</t>
  </si>
  <si>
    <t>D74</t>
  </si>
  <si>
    <t>812 Oak St, CityB</t>
  </si>
  <si>
    <t>655 Cedar St, CityC</t>
  </si>
  <si>
    <t>D99</t>
  </si>
  <si>
    <t>152 Main St, CityB</t>
  </si>
  <si>
    <t>532 Main St, CityA</t>
  </si>
  <si>
    <t>D9</t>
  </si>
  <si>
    <t>329 Elm St, CityA</t>
  </si>
  <si>
    <t>D77</t>
  </si>
  <si>
    <t>725 Main St, CityC</t>
  </si>
  <si>
    <t>D30</t>
  </si>
  <si>
    <t>111 Elm St, CityB</t>
  </si>
  <si>
    <t>638 Main St, CityE</t>
  </si>
  <si>
    <t>622 Elm St, CityC</t>
  </si>
  <si>
    <t>803 Cedar St, CityD</t>
  </si>
  <si>
    <t>247 Cedar St, CityC</t>
  </si>
  <si>
    <t>D44</t>
  </si>
  <si>
    <t>788 Oak St, CityA</t>
  </si>
  <si>
    <t>55 Elm St, CityD</t>
  </si>
  <si>
    <t>D40</t>
  </si>
  <si>
    <t>737 Pine St, CityD</t>
  </si>
  <si>
    <t>D43</t>
  </si>
  <si>
    <t>792 Oak St, CityB</t>
  </si>
  <si>
    <t>889 Main St, CityB</t>
  </si>
  <si>
    <t>D88</t>
  </si>
  <si>
    <t>469 Main St, CityD</t>
  </si>
  <si>
    <t>884 Main St, CityE</t>
  </si>
  <si>
    <t>CityE</t>
  </si>
  <si>
    <t>255 Cedar St, CityB</t>
  </si>
  <si>
    <t>537 Oak St, CityA</t>
  </si>
  <si>
    <t>901 Cedar St, CityA</t>
  </si>
  <si>
    <t>198 Cedar St, CityB</t>
  </si>
  <si>
    <t>577 Cedar St, CityE</t>
  </si>
  <si>
    <t>253 Cedar St, CityC</t>
  </si>
  <si>
    <t>D85</t>
  </si>
  <si>
    <t>292 Cedar St, CityC</t>
  </si>
  <si>
    <t>189 Elm St, CityC</t>
  </si>
  <si>
    <t>682 Pine St, CityB</t>
  </si>
  <si>
    <t>426 Main St, CityE</t>
  </si>
  <si>
    <t>D93</t>
  </si>
  <si>
    <t>182 Elm St, CityE</t>
  </si>
  <si>
    <t>665 Elm St, CityC</t>
  </si>
  <si>
    <t>D100</t>
  </si>
  <si>
    <t>376 Cedar St, CityD</t>
  </si>
  <si>
    <t>628 Main St, CityA</t>
  </si>
  <si>
    <t>321 Cedar St, CityB</t>
  </si>
  <si>
    <t>D49</t>
  </si>
  <si>
    <t>234 Cedar St, CityB</t>
  </si>
  <si>
    <t>D28</t>
  </si>
  <si>
    <t>946 Pine St, CityD</t>
  </si>
  <si>
    <t>311 Cedar St, CityC</t>
  </si>
  <si>
    <t>993 Main St, CityC</t>
  </si>
  <si>
    <t>D51</t>
  </si>
  <si>
    <t>968 Oak St, CityB</t>
  </si>
  <si>
    <t>D78</t>
  </si>
  <si>
    <t>932 Oak St, CityD</t>
  </si>
  <si>
    <t>923 Oak St, CityA</t>
  </si>
  <si>
    <t>497 Oak St, CityE</t>
  </si>
  <si>
    <t>246 Main St, CityE</t>
  </si>
  <si>
    <t>25 Main St, CityB</t>
  </si>
  <si>
    <t>991 Cedar St, CityD</t>
  </si>
  <si>
    <t>D94</t>
  </si>
  <si>
    <t>469 Pine St, CityE</t>
  </si>
  <si>
    <t>456 Pine St, CityE</t>
  </si>
  <si>
    <t>760 Oak St, CityA</t>
  </si>
  <si>
    <t>D61</t>
  </si>
  <si>
    <t>822 Oak St, CityA</t>
  </si>
  <si>
    <t>89 Cedar St, CityC</t>
  </si>
  <si>
    <t>D90</t>
  </si>
  <si>
    <t>947 Oak St, CityD</t>
  </si>
  <si>
    <t>654 Main St, CityB</t>
  </si>
  <si>
    <t>191 Main St, CityA</t>
  </si>
  <si>
    <t>651 Cedar St, CityE</t>
  </si>
  <si>
    <t>D63</t>
  </si>
  <si>
    <t>95 Main St, CityB</t>
  </si>
  <si>
    <t>714 Cedar St, CityD</t>
  </si>
  <si>
    <t>715 Cedar St, CityD</t>
  </si>
  <si>
    <t>298 Cedar St, CityC</t>
  </si>
  <si>
    <t>D35</t>
  </si>
  <si>
    <t>41 Elm St, CityB</t>
  </si>
  <si>
    <t>544 Main St, CityC</t>
  </si>
  <si>
    <t>D27</t>
  </si>
  <si>
    <t>892 Oak St, CityD</t>
  </si>
  <si>
    <t>677 Cedar St, CityB</t>
  </si>
  <si>
    <t>252 Pine St, CityD</t>
  </si>
  <si>
    <t>24 Cedar St, CityE</t>
  </si>
  <si>
    <t>D32</t>
  </si>
  <si>
    <t>875 Cedar St, CityE</t>
  </si>
  <si>
    <t>631 Cedar St, CityA</t>
  </si>
  <si>
    <t>892 Elm St, CityB</t>
  </si>
  <si>
    <t>157 Cedar St, CityB</t>
  </si>
  <si>
    <t>252 Pine St, CityB</t>
  </si>
  <si>
    <t>516 Pine St, CityB</t>
  </si>
  <si>
    <t>25 Oak St, CityD</t>
  </si>
  <si>
    <t>956 Pine St, CityC</t>
  </si>
  <si>
    <t>561 Cedar St, CityC</t>
  </si>
  <si>
    <t>632 Oak St, CityD</t>
  </si>
  <si>
    <t>495 Oak St, CityC</t>
  </si>
  <si>
    <t>852 Cedar St, CityC</t>
  </si>
  <si>
    <t>621 Oak St, CityB</t>
  </si>
  <si>
    <t>659 Cedar St, CityA</t>
  </si>
  <si>
    <t>594 Elm St, CityD</t>
  </si>
  <si>
    <t>461 Elm St, CityC</t>
  </si>
  <si>
    <t>526 Cedar St, CityD</t>
  </si>
  <si>
    <t>40 Main St, CityC</t>
  </si>
  <si>
    <t>237 Oak St, CityE</t>
  </si>
  <si>
    <t>209 Elm St, CityC</t>
  </si>
  <si>
    <t>874 Main St, CityB</t>
  </si>
  <si>
    <t>D82</t>
  </si>
  <si>
    <t>805 Main St, CityC</t>
  </si>
  <si>
    <t>922 Main St, CityA</t>
  </si>
  <si>
    <t>681 Oak St, CityC</t>
  </si>
  <si>
    <t>713 Oak St, CityD</t>
  </si>
  <si>
    <t>157 Oak St, CityC</t>
  </si>
  <si>
    <t>D21</t>
  </si>
  <si>
    <t>326 Main St, CityB</t>
  </si>
  <si>
    <t>320 Pine St, CityA</t>
  </si>
  <si>
    <t>44 Pine St, CityC</t>
  </si>
  <si>
    <t>262 Cedar St, CityD</t>
  </si>
  <si>
    <t>D36</t>
  </si>
  <si>
    <t>2 Main St, CityD</t>
  </si>
  <si>
    <t>989 Elm St, CityC</t>
  </si>
  <si>
    <t>63 Main St, CityD</t>
  </si>
  <si>
    <t>165 Pine St, CityB</t>
  </si>
  <si>
    <t>394 Elm St, CityE</t>
  </si>
  <si>
    <t>236 Cedar St, CityA</t>
  </si>
  <si>
    <t>535 Main St, CityB</t>
  </si>
  <si>
    <t>817 Oak St, CityE</t>
  </si>
  <si>
    <t>247 Pine St, CityE</t>
  </si>
  <si>
    <t>912 Cedar St, CityE</t>
  </si>
  <si>
    <t>690 Main St, CityB</t>
  </si>
  <si>
    <t>874 Oak St, CityB</t>
  </si>
  <si>
    <t>97 Cedar St, CityD</t>
  </si>
  <si>
    <t>1000 Elm St, CityB</t>
  </si>
  <si>
    <t>904 Cedar St, CityB</t>
  </si>
  <si>
    <t>586 Main St, CityD</t>
  </si>
  <si>
    <t>D6</t>
  </si>
  <si>
    <t>306 Elm St, CityD</t>
  </si>
  <si>
    <t>218 Elm St, CityC</t>
  </si>
  <si>
    <t>778 Cedar St, CityD</t>
  </si>
  <si>
    <t>D12</t>
  </si>
  <si>
    <t>255 Elm St, CityC</t>
  </si>
  <si>
    <t>857 Oak St, CityA</t>
  </si>
  <si>
    <t>7 Cedar St, CityD</t>
  </si>
  <si>
    <t>476 Main St, CityB</t>
  </si>
  <si>
    <t>225 Pine St, CityB</t>
  </si>
  <si>
    <t>D62</t>
  </si>
  <si>
    <t>111 Elm St, CityD</t>
  </si>
  <si>
    <t>175 Elm St, CityA</t>
  </si>
  <si>
    <t>587 Cedar St, CityC</t>
  </si>
  <si>
    <t>D42</t>
  </si>
  <si>
    <t>403 Oak St, CityA</t>
  </si>
  <si>
    <t>459 Pine St, CityD</t>
  </si>
  <si>
    <t>394 Cedar St, CityB</t>
  </si>
  <si>
    <t>D56</t>
  </si>
  <si>
    <t>314 Main St, CityE</t>
  </si>
  <si>
    <t>CityD</t>
  </si>
  <si>
    <t>187 Cedar St, CityB</t>
  </si>
  <si>
    <t>827 Oak St, CityC</t>
  </si>
  <si>
    <t>446 Pine St, CityA</t>
  </si>
  <si>
    <t>988 Cedar St, CityA</t>
  </si>
  <si>
    <t>75 Elm St, CityD</t>
  </si>
  <si>
    <t>16 Main St, CityD</t>
  </si>
  <si>
    <t>172 Oak St, CityD</t>
  </si>
  <si>
    <t>583 Main St, CityB</t>
  </si>
  <si>
    <t>542 Oak St, CityE</t>
  </si>
  <si>
    <t>380 Main St, CityB</t>
  </si>
  <si>
    <t>148 Oak St, CityB</t>
  </si>
  <si>
    <t>825 Oak St, CityB</t>
  </si>
  <si>
    <t>373 Pine St, CityE</t>
  </si>
  <si>
    <t>252 Elm St, CityD</t>
  </si>
  <si>
    <t>707 Elm St, CityA</t>
  </si>
  <si>
    <t>680 Elm St, CityD</t>
  </si>
  <si>
    <t>100 Main St, CityB</t>
  </si>
  <si>
    <t>310 Pine St, CityB</t>
  </si>
  <si>
    <t>811 Elm St, CityB</t>
  </si>
  <si>
    <t>625 Elm St, CityB</t>
  </si>
  <si>
    <t>54 Oak St, CityE</t>
  </si>
  <si>
    <t>323 Pine St, CityE</t>
  </si>
  <si>
    <t>406 Elm St, CityC</t>
  </si>
  <si>
    <t>712 Elm St, CityE</t>
  </si>
  <si>
    <t>475 Main St, CityB</t>
  </si>
  <si>
    <t>524 Main St, CityC</t>
  </si>
  <si>
    <t>512 Pine St, CityC</t>
  </si>
  <si>
    <t>179 Cedar St, CityD</t>
  </si>
  <si>
    <t>673 Pine St, CityB</t>
  </si>
  <si>
    <t>25 Main St, CityA</t>
  </si>
  <si>
    <t>706 Cedar St, CityE</t>
  </si>
  <si>
    <t>986 Pine St, CityA</t>
  </si>
  <si>
    <t>6 Pine St, CityB</t>
  </si>
  <si>
    <t>401 Pine St, CityE</t>
  </si>
  <si>
    <t>857 Elm St, CityB</t>
  </si>
  <si>
    <t>87 Elm St, CityA</t>
  </si>
  <si>
    <t>742 Oak St, CityB</t>
  </si>
  <si>
    <t>74 Oak St, CityA</t>
  </si>
  <si>
    <t>111 Cedar St, CityE</t>
  </si>
  <si>
    <t>275 Elm St, CityA</t>
  </si>
  <si>
    <t>227 Elm St, CityD</t>
  </si>
  <si>
    <t>69 Pine St, CityB</t>
  </si>
  <si>
    <t>385 Oak St, CityC</t>
  </si>
  <si>
    <t>923 Elm St, CityD</t>
  </si>
  <si>
    <t>259 Pine St, CityD</t>
  </si>
  <si>
    <t>252 Elm St, CityA</t>
  </si>
  <si>
    <t>224 Cedar St, CityC</t>
  </si>
  <si>
    <t>292 Oak St, CityA</t>
  </si>
  <si>
    <t>821 Cedar St, CityE</t>
  </si>
  <si>
    <t>519 Main St, CityB</t>
  </si>
  <si>
    <t>948 Pine St, CityA</t>
  </si>
  <si>
    <t>835 Main St, CityD</t>
  </si>
  <si>
    <t>963 Cedar St, CityC</t>
  </si>
  <si>
    <t>D11</t>
  </si>
  <si>
    <t>229 Elm St, CityB</t>
  </si>
  <si>
    <t>441 Elm St, CityC</t>
  </si>
  <si>
    <t>250 Cedar St, CityB</t>
  </si>
  <si>
    <t>154 Cedar St, CityD</t>
  </si>
  <si>
    <t>339 Main St, CityA</t>
  </si>
  <si>
    <t>142 Main St, CityD</t>
  </si>
  <si>
    <t>683 Oak St, CityB</t>
  </si>
  <si>
    <t>981 Oak St, CityB</t>
  </si>
  <si>
    <t>729 Oak St, CityE</t>
  </si>
  <si>
    <t>382 Oak St, CityA</t>
  </si>
  <si>
    <t>207 Elm St, CityB</t>
  </si>
  <si>
    <t>549 Cedar St, CityD</t>
  </si>
  <si>
    <t>559 Elm St, CityA</t>
  </si>
  <si>
    <t>897 Oak St, CityE</t>
  </si>
  <si>
    <t>850 Main St, CityD</t>
  </si>
  <si>
    <t>485 Cedar St, CityA</t>
  </si>
  <si>
    <t>261 Main St, CityC</t>
  </si>
  <si>
    <t>65 Cedar St, CityA</t>
  </si>
  <si>
    <t>158 Main St, CityB</t>
  </si>
  <si>
    <t>112 Main St, CityB</t>
  </si>
  <si>
    <t>737 Elm St, CityC</t>
  </si>
  <si>
    <t>908 Elm St, CityD</t>
  </si>
  <si>
    <t>806 Main St, CityE</t>
  </si>
  <si>
    <t>798 Cedar St, CityB</t>
  </si>
  <si>
    <t>129 Main St, CityA</t>
  </si>
  <si>
    <t>887 Pine St, CityC</t>
  </si>
  <si>
    <t>199 Pine St, CityB</t>
  </si>
  <si>
    <t>841 Main St, CityA</t>
  </si>
  <si>
    <t>533 Cedar St, CityD</t>
  </si>
  <si>
    <t>884 Cedar St, CityE</t>
  </si>
  <si>
    <t>D92</t>
  </si>
  <si>
    <t>92 Cedar St, CityC</t>
  </si>
  <si>
    <t>579 Main St, CityC</t>
  </si>
  <si>
    <t>909 Main St, CityB</t>
  </si>
  <si>
    <t>16 Cedar St, CityD</t>
  </si>
  <si>
    <t>343 Main St, CityA</t>
  </si>
  <si>
    <t>653 Oak St, CityC</t>
  </si>
  <si>
    <t>688 Elm St, CityE</t>
  </si>
  <si>
    <t>579 Cedar St, CityA</t>
  </si>
  <si>
    <t>978 Oak St, CityC</t>
  </si>
  <si>
    <t>81 Cedar St, CityB</t>
  </si>
  <si>
    <t>249 Main St, CityE</t>
  </si>
  <si>
    <t>983 Main St, CityD</t>
  </si>
  <si>
    <t>799 Elm St, CityA</t>
  </si>
  <si>
    <t>567 Main St, CityA</t>
  </si>
  <si>
    <t>267 Pine St, CityB</t>
  </si>
  <si>
    <t>CityA</t>
  </si>
  <si>
    <t>348 Pine St, CityA</t>
  </si>
  <si>
    <t>577 Oak St, CityA</t>
  </si>
  <si>
    <t>384 Cedar St, CityB</t>
  </si>
  <si>
    <t>111 Oak St, CityB</t>
  </si>
  <si>
    <t>367 Main St, CityD</t>
  </si>
  <si>
    <t>914 Elm St, CityC</t>
  </si>
  <si>
    <t>728 Oak St, CityB</t>
  </si>
  <si>
    <t>924 Main St, CityD</t>
  </si>
  <si>
    <t>674 Pine St, CityA</t>
  </si>
  <si>
    <t>893 Pine St, CityA</t>
  </si>
  <si>
    <t>165 Elm St, CityE</t>
  </si>
  <si>
    <t>577 Main St, CityD</t>
  </si>
  <si>
    <t>373 Oak St, CityC</t>
  </si>
  <si>
    <t>163 Cedar St, CityE</t>
  </si>
  <si>
    <t>533 Main St, CityD</t>
  </si>
  <si>
    <t>249 Main St, CityB</t>
  </si>
  <si>
    <t>941 Main St, CityB</t>
  </si>
  <si>
    <t>192 Oak St, CityB</t>
  </si>
  <si>
    <t>8 Oak St, CityC</t>
  </si>
  <si>
    <t>976 Oak St, CityD</t>
  </si>
  <si>
    <t>503 Main St, CityC</t>
  </si>
  <si>
    <t>716 Elm St, CityB</t>
  </si>
  <si>
    <t>524 Main St, CityD</t>
  </si>
  <si>
    <t>347 Main St, CityD</t>
  </si>
  <si>
    <t>855 Elm St, CityE</t>
  </si>
  <si>
    <t>210 Elm St, CityA</t>
  </si>
  <si>
    <t>856 Pine St, CityE</t>
  </si>
  <si>
    <t>786 Oak St, CityB</t>
  </si>
  <si>
    <t>681 Elm St, CityB</t>
  </si>
  <si>
    <t>104 Elm St, CityB</t>
  </si>
  <si>
    <t>491 Cedar St, CityE</t>
  </si>
  <si>
    <t>379 Oak St, CityD</t>
  </si>
  <si>
    <t>730 Pine St, CityD</t>
  </si>
  <si>
    <t>211 Oak St, CityB</t>
  </si>
  <si>
    <t>250 Main St, CityD</t>
  </si>
  <si>
    <t>139 Elm St, CityA</t>
  </si>
  <si>
    <t>825 Main St, CityB</t>
  </si>
  <si>
    <t>76 Cedar St, CityC</t>
  </si>
  <si>
    <t>677 Pine St, CityC</t>
  </si>
  <si>
    <t>603 Elm St, CityD</t>
  </si>
  <si>
    <t>505 Main St, CityB</t>
  </si>
  <si>
    <t>844 Pine St, CityA</t>
  </si>
  <si>
    <t>827 Elm St, CityC</t>
  </si>
  <si>
    <t>466 Cedar St, CityE</t>
  </si>
  <si>
    <t>643 Main St, CityD</t>
  </si>
  <si>
    <t>544 Elm St, CityA</t>
  </si>
  <si>
    <t>22 Main St, CityB</t>
  </si>
  <si>
    <t>D38</t>
  </si>
  <si>
    <t>181 Pine St, CityB</t>
  </si>
  <si>
    <t>491 Oak St, CityA</t>
  </si>
  <si>
    <t>585 Oak St, CityA</t>
  </si>
  <si>
    <t>605 Elm St, CityC</t>
  </si>
  <si>
    <t>189 Cedar St, CityA</t>
  </si>
  <si>
    <t>206 Oak St, CityD</t>
  </si>
  <si>
    <t>819 Cedar St, CityB</t>
  </si>
  <si>
    <t>99 Pine St, CityD</t>
  </si>
  <si>
    <t>419 Main St, CityC</t>
  </si>
  <si>
    <t>349 Elm St, CityE</t>
  </si>
  <si>
    <t>235 Cedar St, CityC</t>
  </si>
  <si>
    <t>958 Oak St, CityD</t>
  </si>
  <si>
    <t>486 Pine St, CityA</t>
  </si>
  <si>
    <t>426 Main St, CityD</t>
  </si>
  <si>
    <t>977 Pine St, CityD</t>
  </si>
  <si>
    <t>180 Oak St, CityE</t>
  </si>
  <si>
    <t>543 Elm St, CityD</t>
  </si>
  <si>
    <t>749 Main St, CityC</t>
  </si>
  <si>
    <t>602 Oak St, CityA</t>
  </si>
  <si>
    <t>509 Oak St, CityD</t>
  </si>
  <si>
    <t>98 Pine St, CityE</t>
  </si>
  <si>
    <t>91 Main St, CityD</t>
  </si>
  <si>
    <t>564 Elm St, CityD</t>
  </si>
  <si>
    <t>105 Oak St, CityD</t>
  </si>
  <si>
    <t>587 Pine St, CityC</t>
  </si>
  <si>
    <t>414 Cedar St, CityE</t>
  </si>
  <si>
    <t>687 Cedar St, CityC</t>
  </si>
  <si>
    <t>445 Oak St, CityA</t>
  </si>
  <si>
    <t>563 Elm St, CityD</t>
  </si>
  <si>
    <t>D10</t>
  </si>
  <si>
    <t>258 Elm St, CityC</t>
  </si>
  <si>
    <t>871 Cedar St, CityC</t>
  </si>
  <si>
    <t>65 Main St, CityA</t>
  </si>
  <si>
    <t>732 Pine St, CityB</t>
  </si>
  <si>
    <t>204 Elm St, CityD</t>
  </si>
  <si>
    <t>238 Main St, CityB</t>
  </si>
  <si>
    <t>870 Elm St, CityA</t>
  </si>
  <si>
    <t>331 Main St, CityB</t>
  </si>
  <si>
    <t>753 Pine St, CityE</t>
  </si>
  <si>
    <t>449 Elm St, CityD</t>
  </si>
  <si>
    <t>922 Pine St, CityE</t>
  </si>
  <si>
    <t>691 Elm St, CityA</t>
  </si>
  <si>
    <t>585 Elm St, CityC</t>
  </si>
  <si>
    <t>571 Cedar St, CityE</t>
  </si>
  <si>
    <t>868 Oak St, CityB</t>
  </si>
  <si>
    <t>CityC</t>
  </si>
  <si>
    <t>512 Main St, CityB</t>
  </si>
  <si>
    <t>D67</t>
  </si>
  <si>
    <t>685 Cedar St, CityA</t>
  </si>
  <si>
    <t>347 Elm St, CityC</t>
  </si>
  <si>
    <t>963 Oak St, CityD</t>
  </si>
  <si>
    <t>707 Main St, CityD</t>
  </si>
  <si>
    <t>7 Pine St, CityA</t>
  </si>
  <si>
    <t>389 Pine St, CityB</t>
  </si>
  <si>
    <t>970 Cedar St, CityC</t>
  </si>
  <si>
    <t>907 Oak St, CityA</t>
  </si>
  <si>
    <t>637 Cedar St, CityD</t>
  </si>
  <si>
    <t>346 Main St, CityC</t>
  </si>
  <si>
    <t>753 Cedar St, CityA</t>
  </si>
  <si>
    <t>586 Elm St, CityA</t>
  </si>
  <si>
    <t>720 Main St, CityB</t>
  </si>
  <si>
    <t>823 Elm St, CityD</t>
  </si>
  <si>
    <t>289 Oak St, CityC</t>
  </si>
  <si>
    <t>461 Pine St, CityB</t>
  </si>
  <si>
    <t>905 Cedar St, CityB</t>
  </si>
  <si>
    <t>601 Elm St, CityC</t>
  </si>
  <si>
    <t>628 Main St, CityC</t>
  </si>
  <si>
    <t>328 Oak St, CityD</t>
  </si>
  <si>
    <t>524 Pine St, CityB</t>
  </si>
  <si>
    <t>492 Cedar St, CityE</t>
  </si>
  <si>
    <t>382 Pine St, CityC</t>
  </si>
  <si>
    <t>872 Cedar St, CityB</t>
  </si>
  <si>
    <t>712 Oak St, CityB</t>
  </si>
  <si>
    <t>774 Pine St, CityC</t>
  </si>
  <si>
    <t>352 Pine St, CityC</t>
  </si>
  <si>
    <t>512 Oak St, CityC</t>
  </si>
  <si>
    <t>295 Pine St, CityA</t>
  </si>
  <si>
    <t>776 Cedar St, CityE</t>
  </si>
  <si>
    <t>481 Oak St, CityA</t>
  </si>
  <si>
    <t>471 Cedar St, CityC</t>
  </si>
  <si>
    <t>273 Main St, CityD</t>
  </si>
  <si>
    <t>585 Cedar St, CityC</t>
  </si>
  <si>
    <t>520 Cedar St, CityD</t>
  </si>
  <si>
    <t>389 Cedar St, CityD</t>
  </si>
  <si>
    <t>984 Main St, CityE</t>
  </si>
  <si>
    <t>447 Pine St, CityD</t>
  </si>
  <si>
    <t>D31</t>
  </si>
  <si>
    <t>376 Oak St, CityD</t>
  </si>
  <si>
    <t>792 Main St, CityC</t>
  </si>
  <si>
    <t>876 Elm St, CityC</t>
  </si>
  <si>
    <t>248 Cedar St, CityC</t>
  </si>
  <si>
    <t>986 Cedar St, CityC</t>
  </si>
  <si>
    <t>446 Elm St, CityD</t>
  </si>
  <si>
    <t>356 Cedar St, CityC</t>
  </si>
  <si>
    <t>844 Elm St, CityE</t>
  </si>
  <si>
    <t>799 Main St, CityB</t>
  </si>
  <si>
    <t>100 Oak St, CityC</t>
  </si>
  <si>
    <t>68 Oak St, CityB</t>
  </si>
  <si>
    <t>65 Elm St, CityB</t>
  </si>
  <si>
    <t>871 Pine St, CityA</t>
  </si>
  <si>
    <t>862 Cedar St, CityE</t>
  </si>
  <si>
    <t>5 Main St, CityD</t>
  </si>
  <si>
    <t>333 Pine St, CityD</t>
  </si>
  <si>
    <t>424 Main St, CityC</t>
  </si>
  <si>
    <t>234 Pine St, CityE</t>
  </si>
  <si>
    <t>17 Main St, CityA</t>
  </si>
  <si>
    <t>756 Elm St, CityB</t>
  </si>
  <si>
    <t>122 Main St, CityC</t>
  </si>
  <si>
    <t>177 Elm St, CityB</t>
  </si>
  <si>
    <t>908 Pine St, CityB</t>
  </si>
  <si>
    <t>932 Cedar St, CityB</t>
  </si>
  <si>
    <t>169 Oak St, CityC</t>
  </si>
  <si>
    <t>489 Oak St, CityD</t>
  </si>
  <si>
    <t>389 Pine St, CityA</t>
  </si>
  <si>
    <t>27 Main St, CityE</t>
  </si>
  <si>
    <t>387 Cedar St, CityA</t>
  </si>
  <si>
    <t>518 Main St, CityB</t>
  </si>
  <si>
    <t>738 Cedar St, CityA</t>
  </si>
  <si>
    <t>705 Pine St, CityC</t>
  </si>
  <si>
    <t>859 Main St, CityE</t>
  </si>
  <si>
    <t>967 Elm St, CityA</t>
  </si>
  <si>
    <t>708 Main St, CityE</t>
  </si>
  <si>
    <t>302 Elm St, CityD</t>
  </si>
  <si>
    <t>984 Main St, CityD</t>
  </si>
  <si>
    <t>919 Oak St, CityD</t>
  </si>
  <si>
    <t>853 Elm St, CityD</t>
  </si>
  <si>
    <t>893 Cedar St, CityD</t>
  </si>
  <si>
    <t>744 Pine St, CityD</t>
  </si>
  <si>
    <t>270 Main St, CityB</t>
  </si>
  <si>
    <t>51 Elm St, CityE</t>
  </si>
  <si>
    <t>15 Elm St, CityA</t>
  </si>
  <si>
    <t>230 Oak St, CityC</t>
  </si>
  <si>
    <t>751 Main St, CityE</t>
  </si>
  <si>
    <t>652 Cedar St, CityD</t>
  </si>
  <si>
    <t>Bike C</t>
  </si>
  <si>
    <t>913 Pine St, CityB</t>
  </si>
  <si>
    <t>193 Pine St, CityA</t>
  </si>
  <si>
    <t>869 Cedar St, CityA</t>
  </si>
  <si>
    <t>107 Oak St, CityE</t>
  </si>
  <si>
    <t>212 Cedar St, CityE</t>
  </si>
  <si>
    <t>260 Cedar St, CityA</t>
  </si>
  <si>
    <t>D23</t>
  </si>
  <si>
    <t>569 Pine St, CityB</t>
  </si>
  <si>
    <t>481 Pine St, CityA</t>
  </si>
  <si>
    <t>115 Elm St, CityA</t>
  </si>
  <si>
    <t>612 Main St, CityE</t>
  </si>
  <si>
    <t>878 Elm St, CityA</t>
  </si>
  <si>
    <t>703 Cedar St, CityD</t>
  </si>
  <si>
    <t>942 Elm St, CityD</t>
  </si>
  <si>
    <t>660 Oak St, CityB</t>
  </si>
  <si>
    <t>308 Cedar St, CityD</t>
  </si>
  <si>
    <t>443 Elm St, CityD</t>
  </si>
  <si>
    <t>340 Main St, CityC</t>
  </si>
  <si>
    <t>315 Main St, CityC</t>
  </si>
  <si>
    <t>D84</t>
  </si>
  <si>
    <t>164 Elm St, CityB</t>
  </si>
  <si>
    <t>459 Main St, CityD</t>
  </si>
  <si>
    <t>197 Cedar St, CityC</t>
  </si>
  <si>
    <t>134 Cedar St, CityA</t>
  </si>
  <si>
    <t>289 Oak St, CityA</t>
  </si>
  <si>
    <t>936 Pine St, CityA</t>
  </si>
  <si>
    <t>918 Main St, CityA</t>
  </si>
  <si>
    <t>367 Pine St, CityC</t>
  </si>
  <si>
    <t>510 Pine St, CityB</t>
  </si>
  <si>
    <t>614 Elm St, CityE</t>
  </si>
  <si>
    <t>19 Pine St, CityC</t>
  </si>
  <si>
    <t>995 Elm St, CityE</t>
  </si>
  <si>
    <t>495 Cedar St, CityB</t>
  </si>
  <si>
    <t>537 Cedar St, CityC</t>
  </si>
  <si>
    <t>304 Main St, CityA</t>
  </si>
  <si>
    <t>741 Elm St, CityD</t>
  </si>
  <si>
    <t>168 Elm St, CityA</t>
  </si>
  <si>
    <t>352 Main St, CityD</t>
  </si>
  <si>
    <t>782 Oak St, CityB</t>
  </si>
  <si>
    <t>775 Pine St, CityA</t>
  </si>
  <si>
    <t>70 Main St, CityB</t>
  </si>
  <si>
    <t>8 Cedar St, CityC</t>
  </si>
  <si>
    <t>273 Cedar St, CityC</t>
  </si>
  <si>
    <t>778 Cedar St, CityC</t>
  </si>
  <si>
    <t>853 Elm St, CityE</t>
  </si>
  <si>
    <t>13 Elm St, CityB</t>
  </si>
  <si>
    <t>662 Elm St, CityD</t>
  </si>
  <si>
    <t>310 Elm St, CityC</t>
  </si>
  <si>
    <t>31 Main St, CityD</t>
  </si>
  <si>
    <t>753 Oak St, CityD</t>
  </si>
  <si>
    <t>907 Elm St, CityC</t>
  </si>
  <si>
    <t>462 Cedar St, CityB</t>
  </si>
  <si>
    <t>701 Oak St, CityD</t>
  </si>
  <si>
    <t>656 Pine St, CityB</t>
  </si>
  <si>
    <t>508 Elm St, CityA</t>
  </si>
  <si>
    <t>433 Oak St, CityD</t>
  </si>
  <si>
    <t>186 Pine St, CityC</t>
  </si>
  <si>
    <t>792 Pine St, CityA</t>
  </si>
  <si>
    <t>651 Cedar St, CityA</t>
  </si>
  <si>
    <t>429 Pine St, CityA</t>
  </si>
  <si>
    <t>457 Cedar St, CityC</t>
  </si>
  <si>
    <t>571 Oak St, CityD</t>
  </si>
  <si>
    <t>538 Oak St, CityE</t>
  </si>
  <si>
    <t>680 Pine St, CityD</t>
  </si>
  <si>
    <t>649 Cedar St, CityA</t>
  </si>
  <si>
    <t>428 Main St, CityE</t>
  </si>
  <si>
    <t>526 Elm St, CityC</t>
  </si>
  <si>
    <t>195 Oak St, CityE</t>
  </si>
  <si>
    <t>644 Pine St, CityE</t>
  </si>
  <si>
    <t>555 Cedar St, CityA</t>
  </si>
  <si>
    <t>829 Pine St, CityA</t>
  </si>
  <si>
    <t>903 Pine St, CityD</t>
  </si>
  <si>
    <t>330 Main St, CityD</t>
  </si>
  <si>
    <t>721 Main St, CityE</t>
  </si>
  <si>
    <t>224 Oak St, CityC</t>
  </si>
  <si>
    <t>54 Cedar St, CityB</t>
  </si>
  <si>
    <t>481 Elm St, CityB</t>
  </si>
  <si>
    <t>537 Pine St, CityB</t>
  </si>
  <si>
    <t>204 Main St, CityB</t>
  </si>
  <si>
    <t>886 Cedar St, CityB</t>
  </si>
  <si>
    <t>359 Pine St, CityD</t>
  </si>
  <si>
    <t>70 Oak St, CityC</t>
  </si>
  <si>
    <t>25 Pine St, CityD</t>
  </si>
  <si>
    <t>444 Cedar St, CityA</t>
  </si>
  <si>
    <t>428 Elm St, CityD</t>
  </si>
  <si>
    <t>949 Main St, CityD</t>
  </si>
  <si>
    <t>416 Pine St, CityB</t>
  </si>
  <si>
    <t>953 Cedar St, CityE</t>
  </si>
  <si>
    <t>33 Oak St, CityD</t>
  </si>
  <si>
    <t>685 Cedar St, CityC</t>
  </si>
  <si>
    <t>407 Main St, CityD</t>
  </si>
  <si>
    <t>788 Cedar St, CityA</t>
  </si>
  <si>
    <t>337 Elm St, CityD</t>
  </si>
  <si>
    <t>79 Elm St, CityA</t>
  </si>
  <si>
    <t>125 Cedar St, CityE</t>
  </si>
  <si>
    <t>933 Cedar St, CityA</t>
  </si>
  <si>
    <t>138 Main St, CityE</t>
  </si>
  <si>
    <t>77 Pine St, CityC</t>
  </si>
  <si>
    <t>305 Cedar St, CityC</t>
  </si>
  <si>
    <t>103 Pine St, CityA</t>
  </si>
  <si>
    <t>674 Oak St, CityC</t>
  </si>
  <si>
    <t>646 Main St, CityD</t>
  </si>
  <si>
    <t>756 Cedar St, CityB</t>
  </si>
  <si>
    <t>877 Main St, CityD</t>
  </si>
  <si>
    <t>708 Elm St, CityE</t>
  </si>
  <si>
    <t>701 Pine St, CityB</t>
  </si>
  <si>
    <t>742 Main St, CityC</t>
  </si>
  <si>
    <t>522 Elm St, CityA</t>
  </si>
  <si>
    <t>579 Elm St, CityB</t>
  </si>
  <si>
    <t>91 Cedar St, CityE</t>
  </si>
  <si>
    <t>247 Main St, CityE</t>
  </si>
  <si>
    <t>678 Main St, CityC</t>
  </si>
  <si>
    <t>732 Main St, CityD</t>
  </si>
  <si>
    <t>275 Elm St, CityB</t>
  </si>
  <si>
    <t>695 Oak St, CityB</t>
  </si>
  <si>
    <t>740 Cedar St, CityD</t>
  </si>
  <si>
    <t>299 Pine St, CityB</t>
  </si>
  <si>
    <t>994 Oak St, CityB</t>
  </si>
  <si>
    <t>41 Pine St, CityA</t>
  </si>
  <si>
    <t>11 Elm St, CityB</t>
  </si>
  <si>
    <t>798 Pine St, CityA</t>
  </si>
  <si>
    <t>828 Main St, CityE</t>
  </si>
  <si>
    <t>175 Elm St, CityB</t>
  </si>
  <si>
    <t>533 Elm St, CityC</t>
  </si>
  <si>
    <t>261 Oak St, CityC</t>
  </si>
  <si>
    <t>852 Oak St, CityC</t>
  </si>
  <si>
    <t>248 Oak St, CityE</t>
  </si>
  <si>
    <t>262 Cedar St, CityB</t>
  </si>
  <si>
    <t>22 Cedar St, CityC</t>
  </si>
  <si>
    <t>689 Elm St, CityB</t>
  </si>
  <si>
    <t>586 Oak St, CityA</t>
  </si>
  <si>
    <t>771 Elm St, CityA</t>
  </si>
  <si>
    <t>685 Elm St, CityE</t>
  </si>
  <si>
    <t>465 Pine St, CityB</t>
  </si>
  <si>
    <t>658 Pine St, CityB</t>
  </si>
  <si>
    <t>454 Cedar St, CityC</t>
  </si>
  <si>
    <t>743 Pine St, CityD</t>
  </si>
  <si>
    <t>946 Main St, CityB</t>
  </si>
  <si>
    <t>885 Pine St, CityC</t>
  </si>
  <si>
    <t>523 Main St, CityA</t>
  </si>
  <si>
    <t>442 Oak St, CityC</t>
  </si>
  <si>
    <t>408 Pine St, CityE</t>
  </si>
  <si>
    <t>532 Pine St, CityB</t>
  </si>
  <si>
    <t>698 Main St, CityD</t>
  </si>
  <si>
    <t>415 Cedar St, CityB</t>
  </si>
  <si>
    <t>582 Pine St, CityD</t>
  </si>
  <si>
    <t>818 Main St, CityE</t>
  </si>
  <si>
    <t>867 Cedar St, CityE</t>
  </si>
  <si>
    <t>201 Cedar St, CityB</t>
  </si>
  <si>
    <t>878 Cedar St, CityE</t>
  </si>
  <si>
    <t>748 Elm St, CityB</t>
  </si>
  <si>
    <t>340 Main St, CityA</t>
  </si>
  <si>
    <t>969 Pine St, CityE</t>
  </si>
  <si>
    <t>182 Pine St, CityC</t>
  </si>
  <si>
    <t>1000 Oak St, CityA</t>
  </si>
  <si>
    <t>922 Main St, CityD</t>
  </si>
  <si>
    <t>951 Cedar St, CityD</t>
  </si>
  <si>
    <t>496 Cedar St, CityD</t>
  </si>
  <si>
    <t>5 Elm St, CityC</t>
  </si>
  <si>
    <t>285 Elm St, CityD</t>
  </si>
  <si>
    <t>743 Oak St, CityA</t>
  </si>
  <si>
    <t>21 Pine St, CityE</t>
  </si>
  <si>
    <t>214 Pine St, CityD</t>
  </si>
  <si>
    <t>905 Pine St, CityD</t>
  </si>
  <si>
    <t>764 Cedar St, CityB</t>
  </si>
  <si>
    <t>599 Cedar St, CityB</t>
  </si>
  <si>
    <t>308 Pine St, CityB</t>
  </si>
  <si>
    <t>300 Main St, CityC</t>
  </si>
  <si>
    <t>270 Pine St, CityD</t>
  </si>
  <si>
    <t>341 Cedar St, CityA</t>
  </si>
  <si>
    <t>160 Cedar St, CityD</t>
  </si>
  <si>
    <t>519 Oak St, CityB</t>
  </si>
  <si>
    <t>437 Oak St, CityC</t>
  </si>
  <si>
    <t>603 Oak St, CityE</t>
  </si>
  <si>
    <t>623 Oak St, CityB</t>
  </si>
  <si>
    <t>241 Cedar St, CityD</t>
  </si>
  <si>
    <t>647 Elm St, CityC</t>
  </si>
  <si>
    <t>803 Oak St, CityC</t>
  </si>
  <si>
    <t>489 Oak St, CityB</t>
  </si>
  <si>
    <t>66 Main St, CityB</t>
  </si>
  <si>
    <t>225 Elm St, CityB</t>
  </si>
  <si>
    <t>8 Oak St, CityA</t>
  </si>
  <si>
    <t>838 Oak St, CityC</t>
  </si>
  <si>
    <t>89 Elm St, CityD</t>
  </si>
  <si>
    <t>373 Main St, CityE</t>
  </si>
  <si>
    <t>834 Pine St, CityE</t>
  </si>
  <si>
    <t>32 Oak St, CityD</t>
  </si>
  <si>
    <t>902 Oak St, CityD</t>
  </si>
  <si>
    <t>331 Oak St, CityE</t>
  </si>
  <si>
    <t>821 Cedar St, CityA</t>
  </si>
  <si>
    <t>726 Cedar St, CityC</t>
  </si>
  <si>
    <t>67 Main St, CityC</t>
  </si>
  <si>
    <t>25 Elm St, CityA</t>
  </si>
  <si>
    <t>381 Main St, CityE</t>
  </si>
  <si>
    <t>943 Elm St, CityD</t>
  </si>
  <si>
    <t>177 Pine St, CityE</t>
  </si>
  <si>
    <t>149 Main St, CityD</t>
  </si>
  <si>
    <t>29 Elm St, CityC</t>
  </si>
  <si>
    <t>647 Main St, CityC</t>
  </si>
  <si>
    <t>533 Elm St, CityA</t>
  </si>
  <si>
    <t>188 Pine St, CityC</t>
  </si>
  <si>
    <t>735 Oak St, CityE</t>
  </si>
  <si>
    <t>841 Oak St, CityE</t>
  </si>
  <si>
    <t>582 Pine St, CityB</t>
  </si>
  <si>
    <t>397 Oak St, CityA</t>
  </si>
  <si>
    <t>441 Elm St, CityB</t>
  </si>
  <si>
    <t>940 Elm St, CityC</t>
  </si>
  <si>
    <t>110 Main St, CityB</t>
  </si>
  <si>
    <t>688 Oak St, CityD</t>
  </si>
  <si>
    <t>594 Cedar St, CityD</t>
  </si>
  <si>
    <t>154 Pine St, CityE</t>
  </si>
  <si>
    <t>858 Pine St, CityB</t>
  </si>
  <si>
    <t>733 Oak St, CityB</t>
  </si>
  <si>
    <t>614 Cedar St, CityB</t>
  </si>
  <si>
    <t>880 Pine St, CityC</t>
  </si>
  <si>
    <t>893 Main St, CityE</t>
  </si>
  <si>
    <t>242 Main St, CityB</t>
  </si>
  <si>
    <t>1 Oak St, CityD</t>
  </si>
  <si>
    <t>911 Cedar St, CityD</t>
  </si>
  <si>
    <t>863 Oak St, CityA</t>
  </si>
  <si>
    <t>619 Pine St, CityD</t>
  </si>
  <si>
    <t>343 Cedar St, CityD</t>
  </si>
  <si>
    <t>43 Main St, CityC</t>
  </si>
  <si>
    <t>699 Oak St, CityE</t>
  </si>
  <si>
    <t>715 Cedar St, CityE</t>
  </si>
  <si>
    <t>972 Main St, CityC</t>
  </si>
  <si>
    <t>683 Cedar St, CityA</t>
  </si>
  <si>
    <t>42 Elm St, CityC</t>
  </si>
  <si>
    <t>706 Oak St, CityA</t>
  </si>
  <si>
    <t>712 Pine St, CityD</t>
  </si>
  <si>
    <t>368 Cedar St, CityC</t>
  </si>
  <si>
    <t>301 Pine St, CityD</t>
  </si>
  <si>
    <t>789 Oak St, CityC</t>
  </si>
  <si>
    <t>672 Main St, CityC</t>
  </si>
  <si>
    <t>19 Pine St, CityE</t>
  </si>
  <si>
    <t>17 Cedar St, CityC</t>
  </si>
  <si>
    <t>547 Cedar St, CityC</t>
  </si>
  <si>
    <t>351 Elm St, CityE</t>
  </si>
  <si>
    <t>766 Main St, CityB</t>
  </si>
  <si>
    <t>855 Pine St, CityE</t>
  </si>
  <si>
    <t>330 Oak St, CityB</t>
  </si>
  <si>
    <t>744 Oak St, CityA</t>
  </si>
  <si>
    <t>71 Main St, CityE</t>
  </si>
  <si>
    <t>190 Cedar St, CityA</t>
  </si>
  <si>
    <t>683 Pine St, CityB</t>
  </si>
  <si>
    <t>353 Elm St, CityD</t>
  </si>
  <si>
    <t>256 Main St, CityA</t>
  </si>
  <si>
    <t>458 Elm St, CityB</t>
  </si>
  <si>
    <t>193 Elm St, CityD</t>
  </si>
  <si>
    <t>501 Oak St, CityD</t>
  </si>
  <si>
    <t>51 Oak St, CityA</t>
  </si>
  <si>
    <t>444 Pine St, CityB</t>
  </si>
  <si>
    <t>275 Oak St, CityE</t>
  </si>
  <si>
    <t>205 Pine St, CityE</t>
  </si>
  <si>
    <t>757 Main St, CityA</t>
  </si>
  <si>
    <t>736 Elm St, CityB</t>
  </si>
  <si>
    <t>659 Cedar St, CityD</t>
  </si>
  <si>
    <t>765 Elm St, CityA</t>
  </si>
  <si>
    <t>22 Oak St, CityB</t>
  </si>
  <si>
    <t>121 Elm St, CityC</t>
  </si>
  <si>
    <t>217 Main St, CityB</t>
  </si>
  <si>
    <t>235 Elm St, CityC</t>
  </si>
  <si>
    <t>286 Oak St, CityC</t>
  </si>
  <si>
    <t>55 Cedar St, CityB</t>
  </si>
  <si>
    <t>341 Cedar St, CityB</t>
  </si>
  <si>
    <t>531 Elm St, CityE</t>
  </si>
  <si>
    <t>739 Cedar St, CityA</t>
  </si>
  <si>
    <t>84 Main St, CityB</t>
  </si>
  <si>
    <t>164 Main St, CityE</t>
  </si>
  <si>
    <t>833 Elm St, CityE</t>
  </si>
  <si>
    <t>520 Pine St, CityD</t>
  </si>
  <si>
    <t>51 Main St, CityC</t>
  </si>
  <si>
    <t>757 Main St, CityC</t>
  </si>
  <si>
    <t>474 Main St, CityD</t>
  </si>
  <si>
    <t>364 Oak St, CityC</t>
  </si>
  <si>
    <t>301 Elm St, CityA</t>
  </si>
  <si>
    <t>685 Main St, CityD</t>
  </si>
  <si>
    <t>387 Oak St, CityD</t>
  </si>
  <si>
    <t>625 Main St, CityC</t>
  </si>
  <si>
    <t>741 Main St, CityA</t>
  </si>
  <si>
    <t>537 Main St, CityB</t>
  </si>
  <si>
    <t>484 Pine St, CityC</t>
  </si>
  <si>
    <t>402 Oak St, CityE</t>
  </si>
  <si>
    <t>319 Cedar St, CityA</t>
  </si>
  <si>
    <t>543 Pine St, CityC</t>
  </si>
  <si>
    <t>143 Pine St, CityB</t>
  </si>
  <si>
    <t>95 Oak St, CityA</t>
  </si>
  <si>
    <t>439 Pine St, CityA</t>
  </si>
  <si>
    <t>158 Pine St, CityA</t>
  </si>
  <si>
    <t>768 Main St, CityA</t>
  </si>
  <si>
    <t>639 Pine St, CityE</t>
  </si>
  <si>
    <t>594 Pine St, CityE</t>
  </si>
  <si>
    <t>768 Elm St, CityC</t>
  </si>
  <si>
    <t>605 Oak St, CityE</t>
  </si>
  <si>
    <t>693 Elm St, CityD</t>
  </si>
  <si>
    <t>541 Main St, CityE</t>
  </si>
  <si>
    <t>664 Oak St, CityA</t>
  </si>
  <si>
    <t>301 Cedar St, CityA</t>
  </si>
  <si>
    <t>884 Cedar St, CityB</t>
  </si>
  <si>
    <t>845 Cedar St, CityC</t>
  </si>
  <si>
    <t>560 Cedar St, CityC</t>
  </si>
  <si>
    <t>913 Cedar St, CityC</t>
  </si>
  <si>
    <t>235 Cedar St, CityD</t>
  </si>
  <si>
    <t>441 Cedar St, CityE</t>
  </si>
  <si>
    <t>555 Oak St, CityE</t>
  </si>
  <si>
    <t>709 Elm St, CityE</t>
  </si>
  <si>
    <t>306 Cedar St, CityC</t>
  </si>
  <si>
    <t>282 Pine St, CityA</t>
  </si>
  <si>
    <t>894 Elm St, CityE</t>
  </si>
  <si>
    <t>520 Elm St, CityD</t>
  </si>
  <si>
    <t>32 Cedar St, CityA</t>
  </si>
  <si>
    <t>803 Pine St, CityA</t>
  </si>
  <si>
    <t>967 Pine St, CityD</t>
  </si>
  <si>
    <t>314 Pine St, CityC</t>
  </si>
  <si>
    <t>852 Main St, CityB</t>
  </si>
  <si>
    <t>29 Main St, CityC</t>
  </si>
  <si>
    <t>182 Pine St, CityB</t>
  </si>
  <si>
    <t>653 Main St, CityA</t>
  </si>
  <si>
    <t>86 Main St, CityB</t>
  </si>
  <si>
    <t>786 Elm St, CityB</t>
  </si>
  <si>
    <t>864 Elm St, CityE</t>
  </si>
  <si>
    <t>115 Main St, CityD</t>
  </si>
  <si>
    <t>634 Elm St, CityC</t>
  </si>
  <si>
    <t>661 Pine St, CityC</t>
  </si>
  <si>
    <t>628 Oak St, CityC</t>
  </si>
  <si>
    <t>987 Pine St, CityC</t>
  </si>
  <si>
    <t>728 Cedar St, CityB</t>
  </si>
  <si>
    <t>412 Elm St, CityC</t>
  </si>
  <si>
    <t>976 Pine St, CityD</t>
  </si>
  <si>
    <t>403 Elm St, CityD</t>
  </si>
  <si>
    <t>25 Elm St, CityD</t>
  </si>
  <si>
    <t>657 Pine St, CityE</t>
  </si>
  <si>
    <t>544 Main St, CityA</t>
  </si>
  <si>
    <t>954 Oak St, CityB</t>
  </si>
  <si>
    <t>311 Main St, CityE</t>
  </si>
  <si>
    <t>114 Elm St, CityC</t>
  </si>
  <si>
    <t>618 Pine St, CityA</t>
  </si>
  <si>
    <t>647 Oak St, CityA</t>
  </si>
  <si>
    <t>167 Pine St, CityE</t>
  </si>
  <si>
    <t>763 Main St, CityC</t>
  </si>
  <si>
    <t>512 Oak St, CityD</t>
  </si>
  <si>
    <t>646 Oak St, CityE</t>
  </si>
  <si>
    <t>579 Pine St, CityA</t>
  </si>
  <si>
    <t>428 Elm St, CityB</t>
  </si>
  <si>
    <t>806 Oak St, CityE</t>
  </si>
  <si>
    <t>330 Main St, CityE</t>
  </si>
  <si>
    <t>336 Oak St, CityE</t>
  </si>
  <si>
    <t>620 Main St, CityC</t>
  </si>
  <si>
    <t>777 Oak St, CityA</t>
  </si>
  <si>
    <t>465 Oak St, CityB</t>
  </si>
  <si>
    <t>332 Cedar St, CityE</t>
  </si>
  <si>
    <t>156 Main St, CityE</t>
  </si>
  <si>
    <t>538 Pine St, CityD</t>
  </si>
  <si>
    <t>843 Main St, CityB</t>
  </si>
  <si>
    <t>335 Oak St, CityD</t>
  </si>
  <si>
    <t>468 Elm St, CityA</t>
  </si>
  <si>
    <t>891 Cedar St, CityE</t>
  </si>
  <si>
    <t>180 Main St, CityE</t>
  </si>
  <si>
    <t>558 Elm St, CityC</t>
  </si>
  <si>
    <t>418 Oak St, CityD</t>
  </si>
  <si>
    <t>836 Elm St, CityD</t>
  </si>
  <si>
    <t>120 Oak St, CityC</t>
  </si>
  <si>
    <t>562 Pine St, CityE</t>
  </si>
  <si>
    <t>855 Elm St, CityA</t>
  </si>
  <si>
    <t>635 Cedar St, CityD</t>
  </si>
  <si>
    <t>389 Oak St, CityB</t>
  </si>
  <si>
    <t>629 Pine St, CityA</t>
  </si>
  <si>
    <t>456 Main St, CityE</t>
  </si>
  <si>
    <t>179 Pine St, CityC</t>
  </si>
  <si>
    <t>494 Pine St, CityB</t>
  </si>
  <si>
    <t>349 Cedar St, CityD</t>
  </si>
  <si>
    <t>136 Cedar St, CityE</t>
  </si>
  <si>
    <t>286 Pine St, CityE</t>
  </si>
  <si>
    <t>899 Oak St, CityD</t>
  </si>
  <si>
    <t>808 Main St, CityA</t>
  </si>
  <si>
    <t>821 Elm St, CityB</t>
  </si>
  <si>
    <t>150 Elm St, CityE</t>
  </si>
  <si>
    <t>848 Oak St, CityD</t>
  </si>
  <si>
    <t>62 Pine St, CityA</t>
  </si>
  <si>
    <t>288 Pine St, CityC</t>
  </si>
  <si>
    <t>311 Cedar St, CityE</t>
  </si>
  <si>
    <t>567 Oak St, CityB</t>
  </si>
  <si>
    <t>150 Oak St, CityE</t>
  </si>
  <si>
    <t>990 Pine St, CityE</t>
  </si>
  <si>
    <t>640 Oak St, CityC</t>
  </si>
  <si>
    <t>226 Cedar St, CityE</t>
  </si>
  <si>
    <t>585 Oak St, CityE</t>
  </si>
  <si>
    <t>98 Elm St, CityD</t>
  </si>
  <si>
    <t>103 Main St, CityD</t>
  </si>
  <si>
    <t>867 Main St, CityD</t>
  </si>
  <si>
    <t>93 Elm St, CityA</t>
  </si>
  <si>
    <t>257 Main St, CityE</t>
  </si>
  <si>
    <t>420 Oak St, CityB</t>
  </si>
  <si>
    <t>534 Main St, CityB</t>
  </si>
  <si>
    <t>837 Elm St, CityE</t>
  </si>
  <si>
    <t>588 Oak St, CityD</t>
  </si>
  <si>
    <t>166 Cedar St, CityA</t>
  </si>
  <si>
    <t>564 Cedar St, CityD</t>
  </si>
  <si>
    <t>150 Cedar St, CityC</t>
  </si>
  <si>
    <t>127 Pine St, CityD</t>
  </si>
  <si>
    <t>68 Elm St, CityA</t>
  </si>
  <si>
    <t>82 Pine St, CityC</t>
  </si>
  <si>
    <t>979 Oak St, CityE</t>
  </si>
  <si>
    <t>342 Oak St, CityA</t>
  </si>
  <si>
    <t>345 Elm St, CityE</t>
  </si>
  <si>
    <t>335 Cedar St, CityD</t>
  </si>
  <si>
    <t>247 Pine St, CityB</t>
  </si>
  <si>
    <t>111 Pine St, CityB</t>
  </si>
  <si>
    <t>161 Pine St, CityB</t>
  </si>
  <si>
    <t>764 Pine St, CityC</t>
  </si>
  <si>
    <t>8 Elm St, CityC</t>
  </si>
  <si>
    <t>108 Pine St, CityE</t>
  </si>
  <si>
    <t>202 Pine St, CityA</t>
  </si>
  <si>
    <t>298 Cedar St, CityD</t>
  </si>
  <si>
    <t>850 Pine St, CityD</t>
  </si>
  <si>
    <t>405 Oak St, CityA</t>
  </si>
  <si>
    <t>744 Oak St, CityB</t>
  </si>
  <si>
    <t>702 Pine St, CityA</t>
  </si>
  <si>
    <t>477 Cedar St, CityA</t>
  </si>
  <si>
    <t>349 Pine St, CityD</t>
  </si>
  <si>
    <t>636 Pine St, CityE</t>
  </si>
  <si>
    <t>252 Oak St, CityE</t>
  </si>
  <si>
    <t>40 Main St, CityA</t>
  </si>
  <si>
    <t>999 Cedar St, CityC</t>
  </si>
  <si>
    <t>891 Elm St, CityE</t>
  </si>
  <si>
    <t>618 Cedar St, CityA</t>
  </si>
  <si>
    <t>416 Cedar St, CityA</t>
  </si>
  <si>
    <t>84 Oak St, CityB</t>
  </si>
  <si>
    <t>561 Elm St, CityA</t>
  </si>
  <si>
    <t>998 Cedar St, CityD</t>
  </si>
  <si>
    <t>933 Cedar St, CityC</t>
  </si>
  <si>
    <t>991 Elm St, CityB</t>
  </si>
  <si>
    <t>800 Elm St, CityD</t>
  </si>
  <si>
    <t>643 Pine St, CityE</t>
  </si>
  <si>
    <t>336 Cedar St, CityD</t>
  </si>
  <si>
    <t>366 Pine St, CityB</t>
  </si>
  <si>
    <t>1 Pine St, CityC</t>
  </si>
  <si>
    <t>201 Elm St, CityB</t>
  </si>
  <si>
    <t>136 Oak St, CityD</t>
  </si>
  <si>
    <t>201 Pine St, CityC</t>
  </si>
  <si>
    <t>385 Cedar St, CityD</t>
  </si>
  <si>
    <t>348 Cedar St, CityE</t>
  </si>
  <si>
    <t>144 Elm St, CityA</t>
  </si>
  <si>
    <t>756 Oak St, CityD</t>
  </si>
  <si>
    <t>331 Elm St, CityE</t>
  </si>
  <si>
    <t>803 Cedar St, CityC</t>
  </si>
  <si>
    <t>385 Main St, CityE</t>
  </si>
  <si>
    <t>55 Pine St, CityB</t>
  </si>
  <si>
    <t>561 Pine St, CityD</t>
  </si>
  <si>
    <t>542 Main St, CityD</t>
  </si>
  <si>
    <t>535 Cedar St, CityC</t>
  </si>
  <si>
    <t>888 Main St, CityB</t>
  </si>
  <si>
    <t>413 Elm St, CityC</t>
  </si>
  <si>
    <t>340 Elm St, CityD</t>
  </si>
  <si>
    <t>39 Oak St, CityA</t>
  </si>
  <si>
    <t>558 Main St, CityE</t>
  </si>
  <si>
    <t>608 Main St, CityB</t>
  </si>
  <si>
    <t>601 Main St, CityC</t>
  </si>
  <si>
    <t>463 Oak St, CityC</t>
  </si>
  <si>
    <t>765 Elm St, CityD</t>
  </si>
  <si>
    <t>800 Main St, CityA</t>
  </si>
  <si>
    <t>400 Pine St, CityE</t>
  </si>
  <si>
    <t>976 Elm St, CityB</t>
  </si>
  <si>
    <t>637 Elm St, CityE</t>
  </si>
  <si>
    <t>413 Cedar St, CityE</t>
  </si>
  <si>
    <t>851 Cedar St, CityE</t>
  </si>
  <si>
    <t>584 Cedar St, CityB</t>
  </si>
  <si>
    <t>485 Elm St, CityD</t>
  </si>
  <si>
    <t>924 Cedar St, CityE</t>
  </si>
  <si>
    <t>409 Cedar St, CityB</t>
  </si>
  <si>
    <t>854 Pine St, CityE</t>
  </si>
  <si>
    <t>52 Oak St, CityB</t>
  </si>
  <si>
    <t>141 Oak St, CityA</t>
  </si>
  <si>
    <t>569 Main St, CityD</t>
  </si>
  <si>
    <t>759 Pine St, CityE</t>
  </si>
  <si>
    <t>882 Pine St, CityB</t>
  </si>
  <si>
    <t>774 Cedar St, CityA</t>
  </si>
  <si>
    <t>391 Pine St, CityB</t>
  </si>
  <si>
    <t>Truck B</t>
  </si>
  <si>
    <t>233 Oak St, CityA</t>
  </si>
  <si>
    <t>958 Cedar St, CityA</t>
  </si>
  <si>
    <t>535 Pine St, CityE</t>
  </si>
  <si>
    <t>329 Elm St, CityD</t>
  </si>
  <si>
    <t>163 Pine St, CityA</t>
  </si>
  <si>
    <t>447 Cedar St, CityC</t>
  </si>
  <si>
    <t>390 Elm St, CityC</t>
  </si>
  <si>
    <t>461 Elm St, CityD</t>
  </si>
  <si>
    <t>550 Oak St, CityB</t>
  </si>
  <si>
    <t>758 Main St, CityD</t>
  </si>
  <si>
    <t>346 Cedar St, CityB</t>
  </si>
  <si>
    <t>22 Main St, CityA</t>
  </si>
  <si>
    <t>966 Oak St, CityC</t>
  </si>
  <si>
    <t>566 Elm St, CityD</t>
  </si>
  <si>
    <t>304 Cedar St, CityD</t>
  </si>
  <si>
    <t>754 Elm St, CityE</t>
  </si>
  <si>
    <t>622 Pine St, CityD</t>
  </si>
  <si>
    <t>349 Cedar St, CityC</t>
  </si>
  <si>
    <t>503 Pine St, CityE</t>
  </si>
  <si>
    <t>253 Elm St, CityA</t>
  </si>
  <si>
    <t>668 Pine St, CityA</t>
  </si>
  <si>
    <t>41 Cedar St, CityA</t>
  </si>
  <si>
    <t>978 Elm St, CityE</t>
  </si>
  <si>
    <t>523 Oak St, CityD</t>
  </si>
  <si>
    <t>218 Elm St, CityE</t>
  </si>
  <si>
    <t>43 Pine St, CityA</t>
  </si>
  <si>
    <t>287 Pine St, CityA</t>
  </si>
  <si>
    <t>280 Oak St, CityA</t>
  </si>
  <si>
    <t>67 Pine St, CityD</t>
  </si>
  <si>
    <t>983 Oak St, CityC</t>
  </si>
  <si>
    <t>241 Pine St, CityA</t>
  </si>
  <si>
    <t>519 Elm St, CityE</t>
  </si>
  <si>
    <t>705 Main St, CityB</t>
  </si>
  <si>
    <t>11 Cedar St, CityC</t>
  </si>
  <si>
    <t>789 Main St, CityD</t>
  </si>
  <si>
    <t>796 Pine St, CityB</t>
  </si>
  <si>
    <t>491 Elm St, CityA</t>
  </si>
  <si>
    <t>526 Main St, CityE</t>
  </si>
  <si>
    <t>645 Oak St, CityC</t>
  </si>
  <si>
    <t>996 Oak St, CityB</t>
  </si>
  <si>
    <t>693 Pine St, CityC</t>
  </si>
  <si>
    <t>271 Cedar St, CityD</t>
  </si>
  <si>
    <t>948 Pine St, CityB</t>
  </si>
  <si>
    <t>325 Elm St, CityB</t>
  </si>
  <si>
    <t>807 Pine St, CityB</t>
  </si>
  <si>
    <t>586 Oak St, CityC</t>
  </si>
  <si>
    <t>92 Pine St, CityC</t>
  </si>
  <si>
    <t>357 Elm St, CityC</t>
  </si>
  <si>
    <t>780 Oak St, CityB</t>
  </si>
  <si>
    <t>517 Main St, CityD</t>
  </si>
  <si>
    <t>613 Oak St, CityC</t>
  </si>
  <si>
    <t>199 Oak St, CityE</t>
  </si>
  <si>
    <t>939 Elm St, CityA</t>
  </si>
  <si>
    <t>572 Cedar St, CityC</t>
  </si>
  <si>
    <t>160 Cedar St, CityE</t>
  </si>
  <si>
    <t>430 Cedar St, CityC</t>
  </si>
  <si>
    <t>85 Main St, CityA</t>
  </si>
  <si>
    <t>630 Main St, CityB</t>
  </si>
  <si>
    <t>809 Elm St, CityD</t>
  </si>
  <si>
    <t>403 Oak St, CityB</t>
  </si>
  <si>
    <t>82 Main St, CityE</t>
  </si>
  <si>
    <t>310 Elm St, CityD</t>
  </si>
  <si>
    <t>354 Main St, CityA</t>
  </si>
  <si>
    <t>675 Pine St, CityC</t>
  </si>
  <si>
    <t>982 Cedar St, CityB</t>
  </si>
  <si>
    <t>107 Cedar St, CityD</t>
  </si>
  <si>
    <t>790 Pine St, CityD</t>
  </si>
  <si>
    <t>534 Cedar St, CityA</t>
  </si>
  <si>
    <t>842 Pine St, CityC</t>
  </si>
  <si>
    <t>757 Oak St, CityD</t>
  </si>
  <si>
    <t>336 Elm St, CityA</t>
  </si>
  <si>
    <t>999 Oak St, CityC</t>
  </si>
  <si>
    <t>958 Cedar St, CityE</t>
  </si>
  <si>
    <t>418 Main St, CityE</t>
  </si>
  <si>
    <t>3 Elm St, CityA</t>
  </si>
  <si>
    <t>112 Oak St, CityD</t>
  </si>
  <si>
    <t>333 Main St, CityC</t>
  </si>
  <si>
    <t>263 Main St, CityE</t>
  </si>
  <si>
    <t>811 Cedar St, CityE</t>
  </si>
  <si>
    <t>63 Pine St, CityB</t>
  </si>
  <si>
    <t>643 Oak St, CityD</t>
  </si>
  <si>
    <t>574 Pine St, CityD</t>
  </si>
  <si>
    <t>552 Cedar St, CityA</t>
  </si>
  <si>
    <t>31 Main St, CityA</t>
  </si>
  <si>
    <t>799 Main St, CityA</t>
  </si>
  <si>
    <t>814 Cedar St, CityC</t>
  </si>
  <si>
    <t>685 Cedar St, CityE</t>
  </si>
  <si>
    <t>371 Cedar St, CityC</t>
  </si>
  <si>
    <t>855 Cedar St, CityA</t>
  </si>
  <si>
    <t>220 Main St, CityC</t>
  </si>
  <si>
    <t>879 Pine St, CityE</t>
  </si>
  <si>
    <t>123 Pine St, CityA</t>
  </si>
  <si>
    <t>622 Cedar St, CityE</t>
  </si>
  <si>
    <t>244 Pine St, CityD</t>
  </si>
  <si>
    <t>6 Cedar St, CityD</t>
  </si>
  <si>
    <t>378 Cedar St, CityE</t>
  </si>
  <si>
    <t>977 Elm St, CityB</t>
  </si>
  <si>
    <t>656 Main St, CityD</t>
  </si>
  <si>
    <t>142 Cedar St, CityA</t>
  </si>
  <si>
    <t>642 Main St, CityA</t>
  </si>
  <si>
    <t>207 Main St, CityA</t>
  </si>
  <si>
    <t>18 Pine St, CityD</t>
  </si>
  <si>
    <t>354 Pine St, CityA</t>
  </si>
  <si>
    <t>130 Main St, CityC</t>
  </si>
  <si>
    <t>444 Cedar St, CityC</t>
  </si>
  <si>
    <t>856 Elm St, CityA</t>
  </si>
  <si>
    <t>99 Oak St, CityC</t>
  </si>
  <si>
    <t>979 Elm St, CityB</t>
  </si>
  <si>
    <t>605 Cedar St, CityB</t>
  </si>
  <si>
    <t>642 Pine St, CityA</t>
  </si>
  <si>
    <t>578 Cedar St, CityA</t>
  </si>
  <si>
    <t>904 Elm St, CityC</t>
  </si>
  <si>
    <t>752 Pine St, CityD</t>
  </si>
  <si>
    <t>705 Oak St, CityD</t>
  </si>
  <si>
    <t>768 Pine St, CityA</t>
  </si>
  <si>
    <t>383 Main St, CityB</t>
  </si>
  <si>
    <t>892 Cedar St, CityA</t>
  </si>
  <si>
    <t>620 Elm St, CityD</t>
  </si>
  <si>
    <t>998 Elm St, CityC</t>
  </si>
  <si>
    <t>695 Main St, CityE</t>
  </si>
  <si>
    <t>269 Oak St, CityD</t>
  </si>
  <si>
    <t>255 Pine St, CityD</t>
  </si>
  <si>
    <t>283 Elm St, CityE</t>
  </si>
  <si>
    <t>25 Pine St, CityE</t>
  </si>
  <si>
    <t>882 Oak St, CityB</t>
  </si>
  <si>
    <t>942 Main St, CityD</t>
  </si>
  <si>
    <t>666 Main St, CityE</t>
  </si>
  <si>
    <t>975 Pine St, CityB</t>
  </si>
  <si>
    <t>846 Elm St, CityE</t>
  </si>
  <si>
    <t>214 Oak St, CityD</t>
  </si>
  <si>
    <t>992 Main St, CityB</t>
  </si>
  <si>
    <t>376 Pine St, CityA</t>
  </si>
  <si>
    <t>424 Main St, CityE</t>
  </si>
  <si>
    <t>211 Cedar St, CityC</t>
  </si>
  <si>
    <t>111 Pine St, CityD</t>
  </si>
  <si>
    <t>371 Main St, CityA</t>
  </si>
  <si>
    <t>391 Main St, CityD</t>
  </si>
  <si>
    <t>489 Main St, CityD</t>
  </si>
  <si>
    <t>148 Elm St, CityB</t>
  </si>
  <si>
    <t>283 Pine St, CityB</t>
  </si>
  <si>
    <t>425 Pine St, CityA</t>
  </si>
  <si>
    <t>874 Main St, CityA</t>
  </si>
  <si>
    <t>597 Main St, CityA</t>
  </si>
  <si>
    <t>883 Pine St, CityA</t>
  </si>
  <si>
    <t>608 Elm St, CityD</t>
  </si>
  <si>
    <t>591 Elm St, CityE</t>
  </si>
  <si>
    <t>820 Main St, CityB</t>
  </si>
  <si>
    <t>963 Cedar St, CityB</t>
  </si>
  <si>
    <t>537 Oak St, CityB</t>
  </si>
  <si>
    <t>145 Oak St, CityC</t>
  </si>
  <si>
    <t>883 Cedar St, CityC</t>
  </si>
  <si>
    <t>248 Oak St, CityC</t>
  </si>
  <si>
    <t>830 Elm St, CityE</t>
  </si>
  <si>
    <t>848 Elm St, CityA</t>
  </si>
  <si>
    <t>59 Cedar St, CityA</t>
  </si>
  <si>
    <t>234 Oak St, CityC</t>
  </si>
  <si>
    <t>984 Oak St, CityA</t>
  </si>
  <si>
    <t>349 Cedar St, CityB</t>
  </si>
  <si>
    <t>941 Cedar St, CityE</t>
  </si>
  <si>
    <t>563 Elm St, CityE</t>
  </si>
  <si>
    <t>713 Oak St, CityB</t>
  </si>
  <si>
    <t>642 Pine St, CityD</t>
  </si>
  <si>
    <t>630 Main St, CityA</t>
  </si>
  <si>
    <t>842 Main St, CityE</t>
  </si>
  <si>
    <t>293 Cedar St, CityB</t>
  </si>
  <si>
    <t>827 Cedar St, CityC</t>
  </si>
  <si>
    <t>315 Oak St, CityE</t>
  </si>
  <si>
    <t>182 Cedar St, CityC</t>
  </si>
  <si>
    <t>626 Cedar St, CityD</t>
  </si>
  <si>
    <t>665 Pine St, CityA</t>
  </si>
  <si>
    <t>680 Oak St, CityE</t>
  </si>
  <si>
    <t>790 Main St, CityE</t>
  </si>
  <si>
    <t>395 Elm St, CityC</t>
  </si>
  <si>
    <t>844 Pine St, CityE</t>
  </si>
  <si>
    <t>537 Elm St, CityE</t>
  </si>
  <si>
    <t>211 Main St, CityC</t>
  </si>
  <si>
    <t>160 Elm St, CityE</t>
  </si>
  <si>
    <t>904 Pine St, CityE</t>
  </si>
  <si>
    <t>854 Pine St, CityB</t>
  </si>
  <si>
    <t>350 Oak St, CityB</t>
  </si>
  <si>
    <t>988 Oak St, CityA</t>
  </si>
  <si>
    <t>652 Pine St, CityD</t>
  </si>
  <si>
    <t>53 Elm St, CityB</t>
  </si>
  <si>
    <t>676 Pine St, CityE</t>
  </si>
  <si>
    <t>762 Elm St, CityB</t>
  </si>
  <si>
    <t>927 Pine St, CityD</t>
  </si>
  <si>
    <t>786 Main St, CityE</t>
  </si>
  <si>
    <t>714 Pine St, CityC</t>
  </si>
  <si>
    <t>741 Main St, CityC</t>
  </si>
  <si>
    <t>722 Elm St, CityB</t>
  </si>
  <si>
    <t>7 Main St, CityB</t>
  </si>
  <si>
    <t>774 Pine St, CityA</t>
  </si>
  <si>
    <t>691 Pine St, CityA</t>
  </si>
  <si>
    <t>477 Pine St, CityC</t>
  </si>
  <si>
    <t>98 Main St, CityD</t>
  </si>
  <si>
    <t>234 Elm St, CityD</t>
  </si>
  <si>
    <t>440 Cedar St, CityA</t>
  </si>
  <si>
    <t>501 Cedar St, CityD</t>
  </si>
  <si>
    <t>769 Elm St, CityE</t>
  </si>
  <si>
    <t>752 Main St, CityB</t>
  </si>
  <si>
    <t>718 Main St, CityC</t>
  </si>
  <si>
    <t>161 Cedar St, CityD</t>
  </si>
  <si>
    <t>960 Oak St, CityD</t>
  </si>
  <si>
    <t>27 Pine St, CityC</t>
  </si>
  <si>
    <t>460 Elm St, CityA</t>
  </si>
  <si>
    <t>123 Oak St, CityD</t>
  </si>
  <si>
    <t>30 Pine St, CityE</t>
  </si>
  <si>
    <t>581 Oak St, CityB</t>
  </si>
  <si>
    <t>772 Elm St, CityD</t>
  </si>
  <si>
    <t>55 Oak St, CityB</t>
  </si>
  <si>
    <t>305 Main St, CityA</t>
  </si>
  <si>
    <t>179 Main St, CityA</t>
  </si>
  <si>
    <t>443 Pine St, CityD</t>
  </si>
  <si>
    <t>737 Pine St, CityB</t>
  </si>
  <si>
    <t>688 Oak St, CityB</t>
  </si>
  <si>
    <t>733 Main St, CityC</t>
  </si>
  <si>
    <t>675 Oak St, CityE</t>
  </si>
  <si>
    <t>28 Pine St, CityA</t>
  </si>
  <si>
    <t>742 Main St, CityD</t>
  </si>
  <si>
    <t>11 Elm St, CityE</t>
  </si>
  <si>
    <t>929 Elm St, CityA</t>
  </si>
  <si>
    <t>69 Elm St, CityE</t>
  </si>
  <si>
    <t>860 Oak St, CityB</t>
  </si>
  <si>
    <t>911 Pine St, CityB</t>
  </si>
  <si>
    <t>248 Cedar St, CityE</t>
  </si>
  <si>
    <t>580 Elm St, CityC</t>
  </si>
  <si>
    <t>194 Oak St, CityD</t>
  </si>
  <si>
    <t>363 Elm St, CityB</t>
  </si>
  <si>
    <t>457 Elm St, CityB</t>
  </si>
  <si>
    <t>769 Pine St, CityA</t>
  </si>
  <si>
    <t>555 Oak St, CityB</t>
  </si>
  <si>
    <t>859 Pine St, CityE</t>
  </si>
  <si>
    <t>296 Cedar St, CityD</t>
  </si>
  <si>
    <t>965 Pine St, CityB</t>
  </si>
  <si>
    <t>128 Pine St, CityE</t>
  </si>
  <si>
    <t>736 Pine St, CityC</t>
  </si>
  <si>
    <t>665 Oak St, CityD</t>
  </si>
  <si>
    <t>478 Pine St, CityC</t>
  </si>
  <si>
    <t>909 Pine St, CityA</t>
  </si>
  <si>
    <t>170 Main St, CityA</t>
  </si>
  <si>
    <t>62 Main St, CityE</t>
  </si>
  <si>
    <t>821 Oak St, CityA</t>
  </si>
  <si>
    <t>53 Main St, CityD</t>
  </si>
  <si>
    <t>274 Cedar St, CityC</t>
  </si>
  <si>
    <t>192 Pine St, CityD</t>
  </si>
  <si>
    <t>44 Elm St, CityB</t>
  </si>
  <si>
    <t>937 Cedar St, CityE</t>
  </si>
  <si>
    <t>229 Pine St, CityC</t>
  </si>
  <si>
    <t>228 Pine St, CityB</t>
  </si>
  <si>
    <t>426 Elm St, CityD</t>
  </si>
  <si>
    <t>835 Cedar St, CityB</t>
  </si>
  <si>
    <t>218 Elm St, CityB</t>
  </si>
  <si>
    <t>507 Cedar St, CityE</t>
  </si>
  <si>
    <t>51 Oak St, CityC</t>
  </si>
  <si>
    <t>271 Elm St, CityE</t>
  </si>
  <si>
    <t>224 Elm St, CityB</t>
  </si>
  <si>
    <t>814 Elm St, CityD</t>
  </si>
  <si>
    <t>110 Oak St, CityB</t>
  </si>
  <si>
    <t>311 Elm St, CityD</t>
  </si>
  <si>
    <t>4 Elm St, CityA</t>
  </si>
  <si>
    <t>258 Oak St, CityE</t>
  </si>
  <si>
    <t>579 Cedar St, CityC</t>
  </si>
  <si>
    <t>546 Oak St, CityD</t>
  </si>
  <si>
    <t>421 Main St, CityB</t>
  </si>
  <si>
    <t>479 Pine St, CityE</t>
  </si>
  <si>
    <t>172 Main St, CityD</t>
  </si>
  <si>
    <t>909 Oak St, CityA</t>
  </si>
  <si>
    <t>634 Elm St, CityA</t>
  </si>
  <si>
    <t>546 Elm St, CityD</t>
  </si>
  <si>
    <t>921 Cedar St, CityC</t>
  </si>
  <si>
    <t>950 Main St, CityE</t>
  </si>
  <si>
    <t>119 Elm St, CityA</t>
  </si>
  <si>
    <t>96 Oak St, CityC</t>
  </si>
  <si>
    <t>438 Pine St, CityB</t>
  </si>
  <si>
    <t>884 Main St, CityA</t>
  </si>
  <si>
    <t>321 Pine St, CityA</t>
  </si>
  <si>
    <t>775 Elm St, CityC</t>
  </si>
  <si>
    <t>812 Oak St, CityC</t>
  </si>
  <si>
    <t>210 Elm St, CityB</t>
  </si>
  <si>
    <t>539 Pine St, CityA</t>
  </si>
  <si>
    <t>505 Elm St, CityB</t>
  </si>
  <si>
    <t>908 Main St, CityA</t>
  </si>
  <si>
    <t>112 Cedar St, CityC</t>
  </si>
  <si>
    <t>232 Elm St, CityD</t>
  </si>
  <si>
    <t>346 Pine St, CityA</t>
  </si>
  <si>
    <t>646 Main St, CityC</t>
  </si>
  <si>
    <t>54 Pine St, CityE</t>
  </si>
  <si>
    <t>140 Pine St, CityA</t>
  </si>
  <si>
    <t>958 Main St, CityD</t>
  </si>
  <si>
    <t>677 Oak St, CityA</t>
  </si>
  <si>
    <t>417 Main St, CityB</t>
  </si>
  <si>
    <t>615 Pine St, CityD</t>
  </si>
  <si>
    <t>879 Oak St, CityA</t>
  </si>
  <si>
    <t>401 Elm St, CityA</t>
  </si>
  <si>
    <t>479 Cedar St, CityA</t>
  </si>
  <si>
    <t>1 Pine St, CityA</t>
  </si>
  <si>
    <t>136 Pine St, CityD</t>
  </si>
  <si>
    <t>644 Elm St, CityC</t>
  </si>
  <si>
    <t>888 Elm St, CityE</t>
  </si>
  <si>
    <t>459 Main St, CityC</t>
  </si>
  <si>
    <t>520 Oak St, CityB</t>
  </si>
  <si>
    <t>291 Oak St, CityD</t>
  </si>
  <si>
    <t>642 Cedar St, CityE</t>
  </si>
  <si>
    <t>510 Elm St, CityB</t>
  </si>
  <si>
    <t>55 Oak St, CityE</t>
  </si>
  <si>
    <t>66 Cedar St, CityD</t>
  </si>
  <si>
    <t>98 Elm St, CityA</t>
  </si>
  <si>
    <t>831 Cedar St, CityA</t>
  </si>
  <si>
    <t>102 Pine St, CityB</t>
  </si>
  <si>
    <t>844 Pine St, CityD</t>
  </si>
  <si>
    <t>188 Cedar St, CityC</t>
  </si>
  <si>
    <t>843 Elm St, CityA</t>
  </si>
  <si>
    <t>359 Pine St, CityB</t>
  </si>
  <si>
    <t>531 Cedar St, CityA</t>
  </si>
  <si>
    <t>741 Cedar St, CityB</t>
  </si>
  <si>
    <t>583 Elm St, CityE</t>
  </si>
  <si>
    <t>884 Pine St, CityC</t>
  </si>
  <si>
    <t>582 Elm St, CityC</t>
  </si>
  <si>
    <t>908 Oak St, CityA</t>
  </si>
  <si>
    <t>174 Oak St, CityC</t>
  </si>
  <si>
    <t>417 Oak St, CityB</t>
  </si>
  <si>
    <t>825 Oak St, CityE</t>
  </si>
  <si>
    <t>94 Main St, CityA</t>
  </si>
  <si>
    <t>52 Main St, CityD</t>
  </si>
  <si>
    <t>488 Elm St, CityD</t>
  </si>
  <si>
    <t>148 Cedar St, CityE</t>
  </si>
  <si>
    <t>773 Elm St, CityA</t>
  </si>
  <si>
    <t>64 Main St, CityD</t>
  </si>
  <si>
    <t>44 Oak St, CityD</t>
  </si>
  <si>
    <t>157 Elm St, CityD</t>
  </si>
  <si>
    <t>808 Oak St, CityD</t>
  </si>
  <si>
    <t>375 Main St, CityD</t>
  </si>
  <si>
    <t>811 Oak St, CityB</t>
  </si>
  <si>
    <t>268 Elm St, CityB</t>
  </si>
  <si>
    <t>458 Pine St, CityE</t>
  </si>
  <si>
    <t>411 Cedar St, CityA</t>
  </si>
  <si>
    <t>236 Cedar St, CityD</t>
  </si>
  <si>
    <t>596 Oak St, CityE</t>
  </si>
  <si>
    <t>263 Oak St, CityB</t>
  </si>
  <si>
    <t>293 Elm St, CityA</t>
  </si>
  <si>
    <t>953 Main St, CityC</t>
  </si>
  <si>
    <t>985 Elm St, CityA</t>
  </si>
  <si>
    <t>720 Cedar St, CityD</t>
  </si>
  <si>
    <t>377 Pine St, CityD</t>
  </si>
  <si>
    <t>84 Pine St, CityA</t>
  </si>
  <si>
    <t>533 Main St, CityE</t>
  </si>
  <si>
    <t>591 Oak St, CityD</t>
  </si>
  <si>
    <t>915 Cedar St, CityA</t>
  </si>
  <si>
    <t>875 Elm St, CityA</t>
  </si>
  <si>
    <t>437 Main St, CityB</t>
  </si>
  <si>
    <t>235 Pine St, CityA</t>
  </si>
  <si>
    <t>902 Elm St, CityC</t>
  </si>
  <si>
    <t>524 Pine St, CityD</t>
  </si>
  <si>
    <t>546 Cedar St, CityE</t>
  </si>
  <si>
    <t>846 Oak St, CityE</t>
  </si>
  <si>
    <t>686 Elm St, CityE</t>
  </si>
  <si>
    <t>868 Main St, CityC</t>
  </si>
  <si>
    <t>11 Main St, CityC</t>
  </si>
  <si>
    <t>978 Elm St, CityA</t>
  </si>
  <si>
    <t>809 Cedar St, CityC</t>
  </si>
  <si>
    <t>731 Main St, CityD</t>
  </si>
  <si>
    <t>153 Oak St, CityB</t>
  </si>
  <si>
    <t>252 Main St, CityC</t>
  </si>
  <si>
    <t>728 Main St, CityB</t>
  </si>
  <si>
    <t>904 Elm St, CityD</t>
  </si>
  <si>
    <t>303 Oak St, CityA</t>
  </si>
  <si>
    <t>96 Cedar St, CityD</t>
  </si>
  <si>
    <t>429 Cedar St, CityB</t>
  </si>
  <si>
    <t>647 Oak St, CityE</t>
  </si>
  <si>
    <t>797 Elm St, CityB</t>
  </si>
  <si>
    <t>511 Pine St, CityA</t>
  </si>
  <si>
    <t>975 Cedar St, CityC</t>
  </si>
  <si>
    <t>476 Elm St, CityA</t>
  </si>
  <si>
    <t>372 Pine St, CityD</t>
  </si>
  <si>
    <t>299 Oak St, CityC</t>
  </si>
  <si>
    <t>721 Elm St, CityA</t>
  </si>
  <si>
    <t>897 Main St, CityB</t>
  </si>
  <si>
    <t>153 Main St, CityC</t>
  </si>
  <si>
    <t>897 Oak St, CityB</t>
  </si>
  <si>
    <t>739 Elm St, CityD</t>
  </si>
  <si>
    <t>341 Cedar St, CityC</t>
  </si>
  <si>
    <t>46 Oak St, CityC</t>
  </si>
  <si>
    <t>308 Main St, CityB</t>
  </si>
  <si>
    <t>49 Main St, CityC</t>
  </si>
  <si>
    <t>493 Cedar St, CityC</t>
  </si>
  <si>
    <t>640 Main St, CityC</t>
  </si>
  <si>
    <t>24 Main St, CityC</t>
  </si>
  <si>
    <t>372 Main St, CityA</t>
  </si>
  <si>
    <t>759 Main St, CityB</t>
  </si>
  <si>
    <t>729 Main St, CityB</t>
  </si>
  <si>
    <t>676 Cedar St, CityC</t>
  </si>
  <si>
    <t>455 Elm St, CityB</t>
  </si>
  <si>
    <t>212 Pine St, CityC</t>
  </si>
  <si>
    <t>601 Pine St, CityC</t>
  </si>
  <si>
    <t>493 Elm St, CityB</t>
  </si>
  <si>
    <t>380 Main St, CityA</t>
  </si>
  <si>
    <t>915 Elm St, CityA</t>
  </si>
  <si>
    <t>731 Cedar St, CityE</t>
  </si>
  <si>
    <t>177 Cedar St, CityD</t>
  </si>
  <si>
    <t>879 Cedar St, CityE</t>
  </si>
  <si>
    <t>637 Main St, CityC</t>
  </si>
  <si>
    <t>318 Elm St, CityE</t>
  </si>
  <si>
    <t>275 Main St, CityA</t>
  </si>
  <si>
    <t>902 Elm St, CityE</t>
  </si>
  <si>
    <t>418 Oak St, CityB</t>
  </si>
  <si>
    <t>526 Cedar St, CityE</t>
  </si>
  <si>
    <t>405 Elm St, CityB</t>
  </si>
  <si>
    <t>747 Oak St, CityE</t>
  </si>
  <si>
    <t>783 Pine St, CityA</t>
  </si>
  <si>
    <t>576 Elm St, CityE</t>
  </si>
  <si>
    <t>666 Elm St, CityE</t>
  </si>
  <si>
    <t>969 Main St, CityD</t>
  </si>
  <si>
    <t>224 Pine St, CityA</t>
  </si>
  <si>
    <t>210 Oak St, CityA</t>
  </si>
  <si>
    <t>900 Pine St, CityE</t>
  </si>
  <si>
    <t>550 Elm St, CityA</t>
  </si>
  <si>
    <t>805 Cedar St, CityE</t>
  </si>
  <si>
    <t>490 Main St, CityD</t>
  </si>
  <si>
    <t>554 Elm St, CityA</t>
  </si>
  <si>
    <t>675 Elm St, CityB</t>
  </si>
  <si>
    <t>94 Oak St, CityB</t>
  </si>
  <si>
    <t>938 Pine St, CityE</t>
  </si>
  <si>
    <t>123 Main St, CityE</t>
  </si>
  <si>
    <t>5 Oak St, CityD</t>
  </si>
  <si>
    <t>628 Oak St, CityD</t>
  </si>
  <si>
    <t>782 Elm St, CityC</t>
  </si>
  <si>
    <t>556 Elm St, CityC</t>
  </si>
  <si>
    <t>679 Elm St, CityA</t>
  </si>
  <si>
    <t>924 Main St, CityB</t>
  </si>
  <si>
    <t>252 Elm St, CityB</t>
  </si>
  <si>
    <t>112 Cedar St, CityD</t>
  </si>
  <si>
    <t>639 Oak St, CityE</t>
  </si>
  <si>
    <t>933 Cedar St, CityD</t>
  </si>
  <si>
    <t>902 Pine St, CityD</t>
  </si>
  <si>
    <t>327 Elm St, CityA</t>
  </si>
  <si>
    <t>892 Elm St, CityD</t>
  </si>
  <si>
    <t>484 Elm St, CityC</t>
  </si>
  <si>
    <t>52 Main St, CityC</t>
  </si>
  <si>
    <t>554 Elm St, CityC</t>
  </si>
  <si>
    <t>619 Pine St, CityA</t>
  </si>
  <si>
    <t>411 Cedar St, CityB</t>
  </si>
  <si>
    <t>169 Elm St, CityD</t>
  </si>
  <si>
    <t>709 Pine St, CityC</t>
  </si>
  <si>
    <t>374 Main St, CityB</t>
  </si>
  <si>
    <t>618 Main St, CityA</t>
  </si>
  <si>
    <t>251 Elm St, CityA</t>
  </si>
  <si>
    <t>307 Main St, CityB</t>
  </si>
  <si>
    <t>426 Main St, CityC</t>
  </si>
  <si>
    <t>276 Elm St, CityE</t>
  </si>
  <si>
    <t>449 Elm St, CityA</t>
  </si>
  <si>
    <t>552 Elm St, CityB</t>
  </si>
  <si>
    <t>906 Main St, CityB</t>
  </si>
  <si>
    <t>771 Oak St, CityC</t>
  </si>
  <si>
    <t>472 Cedar St, CityC</t>
  </si>
  <si>
    <t>22 Elm St, CityD</t>
  </si>
  <si>
    <t>532 Elm St, CityC</t>
  </si>
  <si>
    <t>964 Main St, CityC</t>
  </si>
  <si>
    <t>782 Cedar St, CityB</t>
  </si>
  <si>
    <t>799 Elm St, CityC</t>
  </si>
  <si>
    <t>149 Cedar St, CityC</t>
  </si>
  <si>
    <t>407 Cedar St, CityE</t>
  </si>
  <si>
    <t>733 Elm St, CityB</t>
  </si>
  <si>
    <t>386 Main St, CityB</t>
  </si>
  <si>
    <t>374 Main St, CityD</t>
  </si>
  <si>
    <t>796 Oak St, CityE</t>
  </si>
  <si>
    <t>667 Elm St, CityA</t>
  </si>
  <si>
    <t>27 Cedar St, CityD</t>
  </si>
  <si>
    <t>Count of Order ID</t>
  </si>
  <si>
    <t>Total Orders</t>
  </si>
  <si>
    <t>Avg Delivery (min)</t>
  </si>
  <si>
    <t>Avg Delays (min)</t>
  </si>
  <si>
    <t>On_Time %</t>
  </si>
  <si>
    <t>Positive FB %</t>
  </si>
  <si>
    <t>Row Labels</t>
  </si>
  <si>
    <t>Grand Total</t>
  </si>
  <si>
    <t>Avg Delivery Time (min)</t>
  </si>
  <si>
    <t>Feedback Distribution</t>
  </si>
  <si>
    <t>Order Date</t>
  </si>
  <si>
    <t>Orders Over Time</t>
  </si>
  <si>
    <t>Backlog Age (days)</t>
  </si>
  <si>
    <t>(All)</t>
  </si>
  <si>
    <t>Average of Backlog Age (days)</t>
  </si>
  <si>
    <t>Late helper</t>
  </si>
  <si>
    <t>Average of On Time</t>
  </si>
  <si>
    <t>Average of Late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</si>
</sst>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0"/>
  </numFmts>
  <fonts count="2" x14ac:knownFonts="1">
    <font>
      <sz val="11"/>
      <color theme="1"/>
      <name val="Aptos Narrow"/>
      <family val="2"/>
      <scheme val="minor"/>
    </font>
    <font>
      <sz val="11"/>
      <color theme="1"/>
      <name val="Georgia Pro"/>
      <family val="1"/>
    </font>
  </fonts>
  <fills count="3">
    <fill>
      <patternFill patternType="none"/>
    </fill>
    <fill>
      <patternFill patternType="gray125"/>
    </fill>
    <fill>
      <patternFill patternType="solid">
        <fgColor rgb="FFD1E1FB"/>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9" fontId="0" fillId="0" borderId="0" xfId="0" applyNumberFormat="1"/>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xf>
    <xf numFmtId="0" fontId="0" fillId="2" borderId="0" xfId="0" applyFill="1"/>
    <xf numFmtId="0" fontId="1" fillId="2" borderId="0" xfId="0" applyFont="1" applyFill="1"/>
    <xf numFmtId="10" fontId="0" fillId="0" borderId="0" xfId="0" applyNumberFormat="1"/>
  </cellXfs>
  <cellStyles count="1">
    <cellStyle name="Normal" xfId="0" builtinId="0"/>
  </cellStyles>
  <dxfs count="35">
    <dxf>
      <numFmt numFmtId="165" formatCode="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64" formatCode="0.0%"/>
    </dxf>
    <dxf>
      <numFmt numFmtId="2" formatCode="0.0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font>
        <b/>
        <i val="0"/>
        <sz val="8"/>
        <color rgb="FFE36414"/>
        <name val="Georgia"/>
        <family val="1"/>
        <scheme val="none"/>
      </font>
      <fill>
        <patternFill>
          <fgColor rgb="FFE36414"/>
          <bgColor rgb="FF0B3D91"/>
        </patternFill>
      </fill>
      <border diagonalUp="0" diagonalDown="0">
        <left style="thin">
          <color auto="1"/>
        </left>
        <right style="thin">
          <color auto="1"/>
        </right>
        <top style="thin">
          <color auto="1"/>
        </top>
        <bottom style="thin">
          <color auto="1"/>
        </bottom>
        <vertical/>
        <horizontal/>
      </border>
    </dxf>
    <dxf>
      <font>
        <b/>
        <i val="0"/>
        <sz val="8"/>
        <color rgb="FFE36414"/>
        <name val="Georgia"/>
        <family val="1"/>
        <scheme val="none"/>
      </font>
      <fill>
        <patternFill>
          <bgColor rgb="FF0B3D91"/>
        </patternFill>
      </fill>
      <border>
        <left style="thin">
          <color auto="1"/>
        </left>
        <right style="thin">
          <color auto="1"/>
        </right>
        <top style="thin">
          <color auto="1"/>
        </top>
        <bottom style="thin">
          <color auto="1"/>
        </bottom>
      </border>
    </dxf>
    <dxf>
      <font>
        <b/>
        <i val="0"/>
        <sz val="8"/>
        <color rgb="FFE36414"/>
        <name val="Georgia"/>
        <family val="1"/>
        <scheme val="none"/>
      </font>
      <fill>
        <patternFill>
          <bgColor rgb="FF0B3D91"/>
        </patternFill>
      </fill>
    </dxf>
    <dxf>
      <font>
        <b/>
        <i val="0"/>
        <sz val="9"/>
        <color rgb="FFE36414"/>
        <name val="Georgia"/>
        <family val="1"/>
      </font>
      <fill>
        <patternFill>
          <bgColor rgb="FF0B3D91"/>
        </patternFill>
      </fill>
      <border>
        <left style="thin">
          <color auto="1"/>
        </left>
        <right style="thin">
          <color auto="1"/>
        </right>
        <top style="thin">
          <color auto="1"/>
        </top>
        <bottom style="thin">
          <color auto="1"/>
        </bottom>
      </border>
    </dxf>
    <dxf>
      <font>
        <b/>
        <i val="0"/>
        <sz val="8"/>
        <color rgb="FFE36414"/>
        <name val="Georgia"/>
        <family val="1"/>
      </font>
      <fill>
        <patternFill patternType="solid">
          <bgColor rgb="FFD1E1FB"/>
        </patternFill>
      </fill>
      <border>
        <left style="thin">
          <color rgb="FF0B3D91"/>
        </left>
        <right style="thin">
          <color rgb="FF0B3D91"/>
        </right>
        <top style="thin">
          <color rgb="FF0B3D91"/>
        </top>
        <bottom style="thin">
          <color rgb="FF0B3D91"/>
        </bottom>
      </border>
    </dxf>
  </dxfs>
  <tableStyles count="3" defaultTableStyle="TableStyleMedium2" defaultPivotStyle="PivotStyleLight16">
    <tableStyle name="Navy Orange Style" pivot="0" table="0" count="5" xr9:uid="{BDDFA1A9-9788-4327-8C08-30FDFF6F73EB}">
      <tableStyleElement type="wholeTable" dxfId="34"/>
      <tableStyleElement type="headerRow" dxfId="33"/>
    </tableStyle>
    <tableStyle name="Slicer Style 1" pivot="0" table="0" count="2" xr9:uid="{4F73B051-FBD1-4E20-8F2F-1D35DBB57A41}">
      <tableStyleElement type="wholeTable" dxfId="32"/>
      <tableStyleElement type="headerRow" dxfId="31"/>
    </tableStyle>
    <tableStyle name="Slicer Style 2" pivot="0" table="0" count="1" xr9:uid="{0A9CD9B2-5CCB-47D0-B5E9-A1588F4B21D1}">
      <tableStyleElement type="headerRow" dxfId="30"/>
    </tableStyle>
  </tableStyles>
  <colors>
    <mruColors>
      <color rgb="FF0B3D91"/>
      <color rgb="FFD1E1FB"/>
      <color rgb="FFE36414"/>
      <color rgb="FFE67E22"/>
    </mruColors>
  </colors>
  <extLst>
    <ext xmlns:x14="http://schemas.microsoft.com/office/spreadsheetml/2009/9/main" uri="{46F421CA-312F-682f-3DD2-61675219B42D}">
      <x14:dxfs count="3">
        <dxf>
          <font>
            <b/>
            <i val="0"/>
            <sz val="8"/>
            <color rgb="FF0B3D91"/>
            <name val="Georgia"/>
            <family val="1"/>
          </font>
          <fill>
            <patternFill>
              <bgColor rgb="FFE36414"/>
            </patternFill>
          </fill>
        </dxf>
        <dxf>
          <fill>
            <patternFill>
              <bgColor theme="3" tint="0.749961851863155"/>
            </patternFill>
          </fill>
        </dxf>
        <dxf>
          <font>
            <b/>
            <i val="0"/>
            <sz val="8"/>
            <color rgb="FF0B3D91"/>
            <name val="Georgia"/>
            <family val="1"/>
          </font>
          <fill>
            <patternFill>
              <bgColor theme="3" tint="0.749961851863155"/>
            </patternFill>
          </fill>
        </dxf>
      </x14:dxfs>
    </ext>
    <ext xmlns:x14="http://schemas.microsoft.com/office/spreadsheetml/2009/9/main" uri="{EB79DEF2-80B8-43e5-95BD-54CBDDF9020C}">
      <x14:slicerStyles defaultSlicerStyle="SlicerStyleLight1">
        <x14:slicerStyle name="Navy Orange Style">
          <x14:slicerStyleElements>
            <x14:slicerStyleElement type="unselectedItemWithData" dxfId="2"/>
            <x14:slicerStyleElement type="unselectedItemWithNoData" dxfId="1"/>
            <x14:slicerStyleElement type="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Data.xlsx]Pivots!PivotTable10</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000" b="1">
                <a:solidFill>
                  <a:srgbClr val="E36414"/>
                </a:solidFill>
                <a:latin typeface="Georgia" panose="02040502050405020303" pitchFamily="18" charset="0"/>
              </a:rPr>
              <a:t>Customer Feedback</a:t>
            </a:r>
          </a:p>
        </c:rich>
      </c:tx>
      <c:layout>
        <c:manualLayout>
          <c:xMode val="edge"/>
          <c:yMode val="edge"/>
          <c:x val="0.23343818798468832"/>
          <c:y val="3.1872509960159362E-2"/>
        </c:manualLayout>
      </c:layout>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D1E1FB"/>
            </a:solidFill>
            <a:ln>
              <a:solidFill>
                <a:srgbClr val="E36414"/>
              </a:solidFill>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1"/>
            </a:solidFill>
          </a:ln>
          <a:effectLst/>
        </c:spPr>
        <c:dLbl>
          <c:idx val="0"/>
          <c:layout>
            <c:manualLayout>
              <c:x val="0.15165116325194858"/>
              <c:y val="-6.8965084543714901E-3"/>
            </c:manualLayout>
          </c:layout>
          <c:spPr>
            <a:solidFill>
              <a:srgbClr val="D1E1FB"/>
            </a:solidFill>
            <a:ln>
              <a:solidFill>
                <a:srgbClr val="E36414"/>
              </a:solidFill>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rgbClr val="E36414"/>
            </a:solidFill>
          </a:ln>
          <a:effectLst/>
        </c:spPr>
        <c:dLbl>
          <c:idx val="0"/>
          <c:layout>
            <c:manualLayout>
              <c:x val="0.29241793768222291"/>
              <c:y val="5.8248894187029939E-3"/>
            </c:manualLayout>
          </c:layout>
          <c:spPr>
            <a:solidFill>
              <a:srgbClr val="D1E1FB"/>
            </a:solidFill>
            <a:ln w="9525" cap="flat" cmpd="sng" algn="ctr">
              <a:solidFill>
                <a:srgbClr val="E36414"/>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9649"/>
                    <a:gd name="adj2" fmla="val 1"/>
                  </a:avLst>
                </a:prstGeom>
                <a:noFill/>
                <a:ln>
                  <a:noFill/>
                </a:ln>
              </c15:spPr>
            </c:ext>
          </c:extLst>
        </c:dLbl>
      </c:pivotFmt>
      <c:pivotFmt>
        <c:idx val="8"/>
        <c:spPr>
          <a:solidFill>
            <a:srgbClr val="0B3D91"/>
          </a:solidFill>
          <a:ln w="19050">
            <a:solidFill>
              <a:srgbClr val="0B3D91"/>
            </a:solidFill>
          </a:ln>
          <a:effectLst/>
        </c:spPr>
        <c:dLbl>
          <c:idx val="0"/>
          <c:layout>
            <c:manualLayout>
              <c:x val="-0.13653781312600408"/>
              <c:y val="-4.1379050726228946E-2"/>
            </c:manualLayout>
          </c:layout>
          <c:spPr>
            <a:solidFill>
              <a:srgbClr val="D1E1FB"/>
            </a:solidFill>
            <a:ln>
              <a:solidFill>
                <a:srgbClr val="E36414"/>
              </a:solidFill>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644691362187867"/>
          <c:y val="0.20195058376323646"/>
          <c:w val="0.46282385472693865"/>
          <c:h val="0.74530600054303564"/>
        </c:manualLayout>
      </c:layout>
      <c:doughnutChart>
        <c:varyColors val="1"/>
        <c:ser>
          <c:idx val="0"/>
          <c:order val="0"/>
          <c:tx>
            <c:strRef>
              <c:f>Pivots!$E$3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53FE-4DCA-A13B-7D13C9C3F90F}"/>
              </c:ext>
            </c:extLst>
          </c:dPt>
          <c:dPt>
            <c:idx val="1"/>
            <c:bubble3D val="0"/>
            <c:spPr>
              <a:solidFill>
                <a:schemeClr val="accent2"/>
              </a:solidFill>
              <a:ln w="19050">
                <a:solidFill>
                  <a:srgbClr val="E36414"/>
                </a:solidFill>
              </a:ln>
              <a:effectLst/>
            </c:spPr>
            <c:extLst>
              <c:ext xmlns:c16="http://schemas.microsoft.com/office/drawing/2014/chart" uri="{C3380CC4-5D6E-409C-BE32-E72D297353CC}">
                <c16:uniqueId val="{00000003-53FE-4DCA-A13B-7D13C9C3F90F}"/>
              </c:ext>
            </c:extLst>
          </c:dPt>
          <c:dPt>
            <c:idx val="2"/>
            <c:bubble3D val="0"/>
            <c:spPr>
              <a:solidFill>
                <a:srgbClr val="0B3D91"/>
              </a:solidFill>
              <a:ln w="19050">
                <a:solidFill>
                  <a:srgbClr val="0B3D91"/>
                </a:solidFill>
              </a:ln>
              <a:effectLst/>
            </c:spPr>
            <c:extLst>
              <c:ext xmlns:c16="http://schemas.microsoft.com/office/drawing/2014/chart" uri="{C3380CC4-5D6E-409C-BE32-E72D297353CC}">
                <c16:uniqueId val="{00000005-53FE-4DCA-A13B-7D13C9C3F90F}"/>
              </c:ext>
            </c:extLst>
          </c:dPt>
          <c:dLbls>
            <c:dLbl>
              <c:idx val="0"/>
              <c:layout>
                <c:manualLayout>
                  <c:x val="0.15165116325194858"/>
                  <c:y val="-6.896508454371490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FE-4DCA-A13B-7D13C9C3F90F}"/>
                </c:ext>
              </c:extLst>
            </c:dLbl>
            <c:dLbl>
              <c:idx val="1"/>
              <c:layout>
                <c:manualLayout>
                  <c:x val="0.29241793768222291"/>
                  <c:y val="5.8248894187029939E-3"/>
                </c:manualLayout>
              </c:layout>
              <c:spPr>
                <a:solidFill>
                  <a:srgbClr val="D1E1FB"/>
                </a:solidFill>
                <a:ln w="9525" cap="flat" cmpd="sng" algn="ctr">
                  <a:solidFill>
                    <a:srgbClr val="E36414"/>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9649"/>
                        <a:gd name="adj2" fmla="val 1"/>
                      </a:avLst>
                    </a:prstGeom>
                    <a:noFill/>
                    <a:ln>
                      <a:noFill/>
                    </a:ln>
                  </c15:spPr>
                </c:ext>
                <c:ext xmlns:c16="http://schemas.microsoft.com/office/drawing/2014/chart" uri="{C3380CC4-5D6E-409C-BE32-E72D297353CC}">
                  <c16:uniqueId val="{00000003-53FE-4DCA-A13B-7D13C9C3F90F}"/>
                </c:ext>
              </c:extLst>
            </c:dLbl>
            <c:dLbl>
              <c:idx val="2"/>
              <c:layout>
                <c:manualLayout>
                  <c:x val="-0.13653781312600408"/>
                  <c:y val="-4.13790507262289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FE-4DCA-A13B-7D13C9C3F90F}"/>
                </c:ext>
              </c:extLst>
            </c:dLbl>
            <c:spPr>
              <a:solidFill>
                <a:srgbClr val="D1E1FB"/>
              </a:solidFill>
              <a:ln>
                <a:solidFill>
                  <a:srgbClr val="E36414"/>
                </a:solidFill>
              </a:ln>
              <a:effectLst/>
            </c:spPr>
            <c:txPr>
              <a:bodyPr rot="0" spcFirstLastPara="1" vertOverflow="clip" horzOverflow="clip" vert="horz" wrap="square" lIns="36576" tIns="18288" rIns="36576" bIns="18288" anchor="ctr" anchorCtr="1">
                <a:spAutoFit/>
              </a:bodyPr>
              <a:lstStyle/>
              <a:p>
                <a:pPr>
                  <a:defRPr lang="en-US" sz="600" b="1" i="0" u="none" strike="noStrike" kern="1200" baseline="0">
                    <a:solidFill>
                      <a:srgbClr val="0B3D91"/>
                    </a:solidFill>
                    <a:latin typeface="Georgia" panose="02040502050405020303" pitchFamily="18"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Pivots!$D$4:$D$7</c:f>
              <c:strCache>
                <c:ptCount val="3"/>
                <c:pt idx="0">
                  <c:v>Negative</c:v>
                </c:pt>
                <c:pt idx="1">
                  <c:v>Neutral</c:v>
                </c:pt>
                <c:pt idx="2">
                  <c:v>Positive</c:v>
                </c:pt>
              </c:strCache>
            </c:strRef>
          </c:cat>
          <c:val>
            <c:numRef>
              <c:f>Pivots!$E$4:$E$7</c:f>
              <c:numCache>
                <c:formatCode>General</c:formatCode>
                <c:ptCount val="3"/>
                <c:pt idx="0">
                  <c:v>529</c:v>
                </c:pt>
                <c:pt idx="1">
                  <c:v>490</c:v>
                </c:pt>
                <c:pt idx="2">
                  <c:v>481</c:v>
                </c:pt>
              </c:numCache>
            </c:numRef>
          </c:val>
          <c:extLst>
            <c:ext xmlns:c16="http://schemas.microsoft.com/office/drawing/2014/chart" uri="{C3380CC4-5D6E-409C-BE32-E72D297353CC}">
              <c16:uniqueId val="{00000006-53FE-4DCA-A13B-7D13C9C3F90F}"/>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E36414"/>
                </a:solidFill>
                <a:latin typeface="Segoe UI" panose="020B0502040204020203" pitchFamily="34" charset="0"/>
                <a:cs typeface="Segoe UI" panose="020B0502040204020203" pitchFamily="34" charset="0"/>
              </a:rPr>
              <a:t>Avg Delivery Time (min)</a:t>
            </a:r>
          </a:p>
        </c:rich>
      </c:tx>
      <c:layout>
        <c:manualLayout>
          <c:xMode val="edge"/>
          <c:yMode val="edge"/>
          <c:x val="0.21629902990664451"/>
          <c:y val="3.2000000000000001E-2"/>
        </c:manualLayout>
      </c:layout>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36414"/>
          </a:solidFill>
          <a:ln>
            <a:solidFill>
              <a:srgbClr val="E3641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B3D9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9033925863674E-2"/>
          <c:y val="0.26640000000000003"/>
          <c:w val="0.8865655772146811"/>
          <c:h val="0.55573291338582675"/>
        </c:manualLayout>
      </c:layout>
      <c:barChart>
        <c:barDir val="col"/>
        <c:grouping val="clustered"/>
        <c:varyColors val="0"/>
        <c:ser>
          <c:idx val="0"/>
          <c:order val="0"/>
          <c:tx>
            <c:strRef>
              <c:f>Pivots!$B$3</c:f>
              <c:strCache>
                <c:ptCount val="1"/>
                <c:pt idx="0">
                  <c:v>Total</c:v>
                </c:pt>
              </c:strCache>
            </c:strRef>
          </c:tx>
          <c:spPr>
            <a:solidFill>
              <a:srgbClr val="E36414"/>
            </a:solidFill>
            <a:ln>
              <a:solidFill>
                <a:srgbClr val="E3641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B3D9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3"/>
                <c:pt idx="0">
                  <c:v>Zone1</c:v>
                </c:pt>
                <c:pt idx="1">
                  <c:v>Zone2</c:v>
                </c:pt>
                <c:pt idx="2">
                  <c:v>Zone3</c:v>
                </c:pt>
              </c:strCache>
            </c:strRef>
          </c:cat>
          <c:val>
            <c:numRef>
              <c:f>Pivots!$B$4:$B$7</c:f>
              <c:numCache>
                <c:formatCode>0.00</c:formatCode>
                <c:ptCount val="3"/>
                <c:pt idx="0">
                  <c:v>152.44701348747591</c:v>
                </c:pt>
                <c:pt idx="1">
                  <c:v>150.8918918918919</c:v>
                </c:pt>
                <c:pt idx="2">
                  <c:v>151.99352051835854</c:v>
                </c:pt>
              </c:numCache>
            </c:numRef>
          </c:val>
          <c:extLst>
            <c:ext xmlns:c16="http://schemas.microsoft.com/office/drawing/2014/chart" uri="{C3380CC4-5D6E-409C-BE32-E72D297353CC}">
              <c16:uniqueId val="{00000000-B025-4721-821B-0602E35855BC}"/>
            </c:ext>
          </c:extLst>
        </c:ser>
        <c:dLbls>
          <c:dLblPos val="outEnd"/>
          <c:showLegendKey val="0"/>
          <c:showVal val="1"/>
          <c:showCatName val="0"/>
          <c:showSerName val="0"/>
          <c:showPercent val="0"/>
          <c:showBubbleSize val="0"/>
        </c:dLbls>
        <c:gapWidth val="219"/>
        <c:overlap val="-27"/>
        <c:axId val="1772773040"/>
        <c:axId val="1772773520"/>
      </c:barChart>
      <c:catAx>
        <c:axId val="1772773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B3D91"/>
                </a:solidFill>
                <a:latin typeface="Georgia" panose="02040502050405020303" pitchFamily="18" charset="0"/>
                <a:ea typeface="+mn-ea"/>
                <a:cs typeface="+mn-cs"/>
              </a:defRPr>
            </a:pPr>
            <a:endParaRPr lang="en-US"/>
          </a:p>
        </c:txPr>
        <c:crossAx val="1772773520"/>
        <c:crosses val="autoZero"/>
        <c:auto val="1"/>
        <c:lblAlgn val="ctr"/>
        <c:lblOffset val="100"/>
        <c:noMultiLvlLbl val="0"/>
      </c:catAx>
      <c:valAx>
        <c:axId val="1772773520"/>
        <c:scaling>
          <c:orientation val="minMax"/>
        </c:scaling>
        <c:delete val="1"/>
        <c:axPos val="l"/>
        <c:numFmt formatCode="0.00" sourceLinked="1"/>
        <c:majorTickMark val="out"/>
        <c:minorTickMark val="none"/>
        <c:tickLblPos val="nextTo"/>
        <c:crossAx val="177277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E36414"/>
                </a:solidFill>
                <a:latin typeface="Georgia" panose="02040502050405020303" pitchFamily="18" charset="0"/>
                <a:cs typeface="Segoe UI" panose="020B0502040204020203" pitchFamily="34" charset="0"/>
              </a:rPr>
              <a:t>Avg of Delay (min)</a:t>
            </a:r>
          </a:p>
        </c:rich>
      </c:tx>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364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36414"/>
          </a:solidFill>
          <a:ln>
            <a:noFill/>
          </a:ln>
          <a:effectLst/>
        </c:spPr>
      </c:pivotFmt>
      <c:pivotFmt>
        <c:idx val="4"/>
        <c:spPr>
          <a:solidFill>
            <a:srgbClr val="E36414"/>
          </a:solidFill>
          <a:ln>
            <a:noFill/>
          </a:ln>
          <a:effectLst/>
        </c:spPr>
      </c:pivotFmt>
      <c:pivotFmt>
        <c:idx val="5"/>
        <c:spPr>
          <a:solidFill>
            <a:srgbClr val="E36414"/>
          </a:solidFill>
          <a:ln>
            <a:noFill/>
          </a:ln>
          <a:effectLst/>
        </c:spPr>
      </c:pivotFmt>
      <c:pivotFmt>
        <c:idx val="6"/>
        <c:spPr>
          <a:solidFill>
            <a:srgbClr val="E36414"/>
          </a:solidFill>
          <a:ln>
            <a:noFill/>
          </a:ln>
          <a:effectLst/>
        </c:spPr>
      </c:pivotFmt>
    </c:pivotFmts>
    <c:plotArea>
      <c:layout/>
      <c:barChart>
        <c:barDir val="bar"/>
        <c:grouping val="stacked"/>
        <c:varyColors val="0"/>
        <c:ser>
          <c:idx val="0"/>
          <c:order val="0"/>
          <c:tx>
            <c:strRef>
              <c:f>Pivots!$B$10</c:f>
              <c:strCache>
                <c:ptCount val="1"/>
                <c:pt idx="0">
                  <c:v>Total</c:v>
                </c:pt>
              </c:strCache>
            </c:strRef>
          </c:tx>
          <c:spPr>
            <a:solidFill>
              <a:srgbClr val="E36414"/>
            </a:solidFill>
            <a:ln>
              <a:noFill/>
            </a:ln>
            <a:effectLst/>
          </c:spPr>
          <c:invertIfNegative val="0"/>
          <c:cat>
            <c:strRef>
              <c:f>Pivots!$A$11:$A$21</c:f>
              <c:strCache>
                <c:ptCount val="10"/>
                <c:pt idx="0">
                  <c:v>D29</c:v>
                </c:pt>
                <c:pt idx="1">
                  <c:v>D39</c:v>
                </c:pt>
                <c:pt idx="2">
                  <c:v>D44</c:v>
                </c:pt>
                <c:pt idx="3">
                  <c:v>D52</c:v>
                </c:pt>
                <c:pt idx="4">
                  <c:v>D58</c:v>
                </c:pt>
                <c:pt idx="5">
                  <c:v>D64</c:v>
                </c:pt>
                <c:pt idx="6">
                  <c:v>D66</c:v>
                </c:pt>
                <c:pt idx="7">
                  <c:v>D73</c:v>
                </c:pt>
                <c:pt idx="8">
                  <c:v>D86</c:v>
                </c:pt>
                <c:pt idx="9">
                  <c:v>D91</c:v>
                </c:pt>
              </c:strCache>
            </c:strRef>
          </c:cat>
          <c:val>
            <c:numRef>
              <c:f>Pivots!$B$11:$B$21</c:f>
              <c:numCache>
                <c:formatCode>General</c:formatCode>
                <c:ptCount val="10"/>
                <c:pt idx="0">
                  <c:v>18.928571428571427</c:v>
                </c:pt>
                <c:pt idx="1">
                  <c:v>18.785714285714285</c:v>
                </c:pt>
                <c:pt idx="2">
                  <c:v>19.333333333333332</c:v>
                </c:pt>
                <c:pt idx="3">
                  <c:v>18.0625</c:v>
                </c:pt>
                <c:pt idx="4">
                  <c:v>18.4375</c:v>
                </c:pt>
                <c:pt idx="5">
                  <c:v>18.470588235294116</c:v>
                </c:pt>
                <c:pt idx="6">
                  <c:v>18.214285714285715</c:v>
                </c:pt>
                <c:pt idx="7">
                  <c:v>18.357142857142858</c:v>
                </c:pt>
                <c:pt idx="8">
                  <c:v>20.733333333333334</c:v>
                </c:pt>
                <c:pt idx="9">
                  <c:v>18.23076923076923</c:v>
                </c:pt>
              </c:numCache>
            </c:numRef>
          </c:val>
          <c:extLst>
            <c:ext xmlns:c16="http://schemas.microsoft.com/office/drawing/2014/chart" uri="{C3380CC4-5D6E-409C-BE32-E72D297353CC}">
              <c16:uniqueId val="{00000000-0977-43D7-9360-8CCA7233C53B}"/>
            </c:ext>
          </c:extLst>
        </c:ser>
        <c:dLbls>
          <c:showLegendKey val="0"/>
          <c:showVal val="0"/>
          <c:showCatName val="0"/>
          <c:showSerName val="0"/>
          <c:showPercent val="0"/>
          <c:showBubbleSize val="0"/>
        </c:dLbls>
        <c:gapWidth val="150"/>
        <c:overlap val="100"/>
        <c:axId val="286382127"/>
        <c:axId val="286386447"/>
      </c:barChart>
      <c:catAx>
        <c:axId val="28638212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crossAx val="286386447"/>
        <c:crosses val="autoZero"/>
        <c:auto val="1"/>
        <c:lblAlgn val="ctr"/>
        <c:lblOffset val="100"/>
        <c:noMultiLvlLbl val="0"/>
      </c:catAx>
      <c:valAx>
        <c:axId val="2863864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Segoe UI" panose="020B0502040204020203" pitchFamily="34" charset="0"/>
              </a:defRPr>
            </a:pPr>
            <a:endParaRPr lang="en-US"/>
          </a:p>
        </c:txPr>
        <c:crossAx val="28638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rgbClr val="E36414"/>
                </a:solidFill>
                <a:latin typeface="Georgia" panose="02040502050405020303" pitchFamily="18" charset="0"/>
              </a:rPr>
              <a:t>Orders Over Time</a:t>
            </a:r>
            <a:endParaRPr lang="en-US" sz="1000" b="1">
              <a:solidFill>
                <a:srgbClr val="E36414"/>
              </a:solidFill>
              <a:latin typeface="Georgia" panose="02040502050405020303" pitchFamily="18" charset="0"/>
            </a:endParaRPr>
          </a:p>
        </c:rich>
      </c:tx>
      <c:layout>
        <c:manualLayout>
          <c:xMode val="edge"/>
          <c:yMode val="edge"/>
          <c:x val="0.36025785479743905"/>
          <c:y val="2.8985507246376812E-2"/>
        </c:manualLayout>
      </c:layout>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36414"/>
            </a:solidFill>
            <a:round/>
          </a:ln>
          <a:effectLst/>
        </c:spPr>
        <c:marker>
          <c:symbol val="circle"/>
          <c:size val="5"/>
          <c:spPr>
            <a:solidFill>
              <a:srgbClr val="C00000"/>
            </a:solidFill>
            <a:ln w="9525">
              <a:solidFill>
                <a:srgbClr val="E3641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D91"/>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83403068340307E-2"/>
          <c:y val="0.30695652173913046"/>
          <c:w val="0.93863319386331934"/>
          <c:h val="0.54463768115942024"/>
        </c:manualLayout>
      </c:layout>
      <c:lineChart>
        <c:grouping val="standard"/>
        <c:varyColors val="0"/>
        <c:ser>
          <c:idx val="0"/>
          <c:order val="0"/>
          <c:tx>
            <c:strRef>
              <c:f>Pivots!$E$10</c:f>
              <c:strCache>
                <c:ptCount val="1"/>
                <c:pt idx="0">
                  <c:v>Total</c:v>
                </c:pt>
              </c:strCache>
            </c:strRef>
          </c:tx>
          <c:spPr>
            <a:ln w="28575" cap="rnd">
              <a:solidFill>
                <a:srgbClr val="E36414"/>
              </a:solidFill>
              <a:round/>
            </a:ln>
            <a:effectLst/>
          </c:spPr>
          <c:marker>
            <c:symbol val="circle"/>
            <c:size val="5"/>
            <c:spPr>
              <a:solidFill>
                <a:srgbClr val="C00000"/>
              </a:solidFill>
              <a:ln w="9525">
                <a:solidFill>
                  <a:srgbClr val="E3641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D91"/>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Pivots!$D$11:$D$19</c:f>
              <c:strCache>
                <c:ptCount val="8"/>
                <c:pt idx="0">
                  <c:v>9/1/2023</c:v>
                </c:pt>
                <c:pt idx="1">
                  <c:v>9/2/2023</c:v>
                </c:pt>
                <c:pt idx="2">
                  <c:v>9/3/2023</c:v>
                </c:pt>
                <c:pt idx="3">
                  <c:v>9/4/2023</c:v>
                </c:pt>
                <c:pt idx="4">
                  <c:v>9/5/2023</c:v>
                </c:pt>
                <c:pt idx="5">
                  <c:v>9/6/2023</c:v>
                </c:pt>
                <c:pt idx="6">
                  <c:v>9/7/2023</c:v>
                </c:pt>
                <c:pt idx="7">
                  <c:v>9/8/2023</c:v>
                </c:pt>
              </c:strCache>
            </c:strRef>
          </c:cat>
          <c:val>
            <c:numRef>
              <c:f>Pivots!$E$11:$E$19</c:f>
              <c:numCache>
                <c:formatCode>General</c:formatCode>
                <c:ptCount val="8"/>
                <c:pt idx="0">
                  <c:v>194</c:v>
                </c:pt>
                <c:pt idx="1">
                  <c:v>195</c:v>
                </c:pt>
                <c:pt idx="2">
                  <c:v>210</c:v>
                </c:pt>
                <c:pt idx="3">
                  <c:v>177</c:v>
                </c:pt>
                <c:pt idx="4">
                  <c:v>178</c:v>
                </c:pt>
                <c:pt idx="5">
                  <c:v>194</c:v>
                </c:pt>
                <c:pt idx="6">
                  <c:v>184</c:v>
                </c:pt>
                <c:pt idx="7">
                  <c:v>168</c:v>
                </c:pt>
              </c:numCache>
            </c:numRef>
          </c:val>
          <c:smooth val="0"/>
          <c:extLst>
            <c:ext xmlns:c16="http://schemas.microsoft.com/office/drawing/2014/chart" uri="{C3380CC4-5D6E-409C-BE32-E72D297353CC}">
              <c16:uniqueId val="{00000000-2581-4172-8208-C680AE2F9ED3}"/>
            </c:ext>
          </c:extLst>
        </c:ser>
        <c:dLbls>
          <c:dLblPos val="t"/>
          <c:showLegendKey val="0"/>
          <c:showVal val="1"/>
          <c:showCatName val="0"/>
          <c:showSerName val="0"/>
          <c:showPercent val="0"/>
          <c:showBubbleSize val="0"/>
        </c:dLbls>
        <c:marker val="1"/>
        <c:smooth val="0"/>
        <c:axId val="294188255"/>
        <c:axId val="294188735"/>
      </c:lineChart>
      <c:catAx>
        <c:axId val="2941882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crossAx val="294188735"/>
        <c:crosses val="autoZero"/>
        <c:auto val="1"/>
        <c:lblAlgn val="ctr"/>
        <c:lblOffset val="100"/>
        <c:noMultiLvlLbl val="0"/>
      </c:catAx>
      <c:valAx>
        <c:axId val="294188735"/>
        <c:scaling>
          <c:orientation val="minMax"/>
        </c:scaling>
        <c:delete val="1"/>
        <c:axPos val="l"/>
        <c:numFmt formatCode="General" sourceLinked="1"/>
        <c:majorTickMark val="none"/>
        <c:minorTickMark val="none"/>
        <c:tickLblPos val="nextTo"/>
        <c:crossAx val="29418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1000" b="1">
                <a:solidFill>
                  <a:srgbClr val="E36414"/>
                </a:solidFill>
              </a:rPr>
              <a:t>On-Time vs Late by Zone (%)</a:t>
            </a:r>
          </a:p>
        </c:rich>
      </c:tx>
      <c:layout>
        <c:manualLayout>
          <c:xMode val="edge"/>
          <c:yMode val="edge"/>
          <c:x val="0.14868965517241381"/>
          <c:y val="3.2000000000000001E-2"/>
        </c:manualLayout>
      </c:layout>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3D9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rgbClr val="E36414"/>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9548725764119"/>
          <c:y val="0.15740740740740741"/>
          <c:w val="0.84970451274235881"/>
          <c:h val="0.73205963837853605"/>
        </c:manualLayout>
      </c:layout>
      <c:barChart>
        <c:barDir val="bar"/>
        <c:grouping val="stacked"/>
        <c:varyColors val="0"/>
        <c:ser>
          <c:idx val="0"/>
          <c:order val="0"/>
          <c:tx>
            <c:strRef>
              <c:f>Pivots!$H$10</c:f>
              <c:strCache>
                <c:ptCount val="1"/>
                <c:pt idx="0">
                  <c:v>Average of On Time</c:v>
                </c:pt>
              </c:strCache>
            </c:strRef>
          </c:tx>
          <c:spPr>
            <a:solidFill>
              <a:srgbClr val="0B3D91"/>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rgbClr val="E36414"/>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Pivots!$G$11:$G$14</c:f>
              <c:strCache>
                <c:ptCount val="3"/>
                <c:pt idx="0">
                  <c:v>Zone1</c:v>
                </c:pt>
                <c:pt idx="1">
                  <c:v>Zone2</c:v>
                </c:pt>
                <c:pt idx="2">
                  <c:v>Zone3</c:v>
                </c:pt>
              </c:strCache>
            </c:strRef>
          </c:cat>
          <c:val>
            <c:numRef>
              <c:f>Pivots!$H$11:$H$14</c:f>
              <c:numCache>
                <c:formatCode>0.00%</c:formatCode>
                <c:ptCount val="3"/>
                <c:pt idx="0">
                  <c:v>1.0052777079668258</c:v>
                </c:pt>
                <c:pt idx="1">
                  <c:v>0.94426724861507483</c:v>
                </c:pt>
                <c:pt idx="2">
                  <c:v>1.0564372241525029</c:v>
                </c:pt>
              </c:numCache>
            </c:numRef>
          </c:val>
          <c:extLst>
            <c:ext xmlns:c16="http://schemas.microsoft.com/office/drawing/2014/chart" uri="{C3380CC4-5D6E-409C-BE32-E72D297353CC}">
              <c16:uniqueId val="{00000000-7A6D-4AE2-A200-11380956036E}"/>
            </c:ext>
          </c:extLst>
        </c:ser>
        <c:ser>
          <c:idx val="1"/>
          <c:order val="1"/>
          <c:tx>
            <c:strRef>
              <c:f>Pivots!$I$10</c:f>
              <c:strCache>
                <c:ptCount val="1"/>
                <c:pt idx="0">
                  <c:v>Average of Late helper</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Pivots!$G$11:$G$14</c:f>
              <c:strCache>
                <c:ptCount val="3"/>
                <c:pt idx="0">
                  <c:v>Zone1</c:v>
                </c:pt>
                <c:pt idx="1">
                  <c:v>Zone2</c:v>
                </c:pt>
                <c:pt idx="2">
                  <c:v>Zone3</c:v>
                </c:pt>
              </c:strCache>
            </c:strRef>
          </c:cat>
          <c:val>
            <c:numRef>
              <c:f>Pivots!$I$11:$I$14</c:f>
              <c:numCache>
                <c:formatCode>0.00%</c:formatCode>
                <c:ptCount val="3"/>
                <c:pt idx="0">
                  <c:v>0.99983302987175104</c:v>
                </c:pt>
                <c:pt idx="1">
                  <c:v>1.001763209466098</c:v>
                </c:pt>
                <c:pt idx="2">
                  <c:v>0.99821450322488647</c:v>
                </c:pt>
              </c:numCache>
            </c:numRef>
          </c:val>
          <c:extLst>
            <c:ext xmlns:c16="http://schemas.microsoft.com/office/drawing/2014/chart" uri="{C3380CC4-5D6E-409C-BE32-E72D297353CC}">
              <c16:uniqueId val="{00000001-7A6D-4AE2-A200-11380956036E}"/>
            </c:ext>
          </c:extLst>
        </c:ser>
        <c:dLbls>
          <c:dLblPos val="ctr"/>
          <c:showLegendKey val="0"/>
          <c:showVal val="1"/>
          <c:showCatName val="0"/>
          <c:showSerName val="0"/>
          <c:showPercent val="0"/>
          <c:showBubbleSize val="0"/>
        </c:dLbls>
        <c:gapWidth val="150"/>
        <c:overlap val="100"/>
        <c:axId val="403369087"/>
        <c:axId val="403369567"/>
      </c:barChart>
      <c:catAx>
        <c:axId val="4033690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crossAx val="403369567"/>
        <c:crosses val="autoZero"/>
        <c:auto val="1"/>
        <c:lblAlgn val="ctr"/>
        <c:lblOffset val="100"/>
        <c:noMultiLvlLbl val="0"/>
      </c:catAx>
      <c:valAx>
        <c:axId val="403369567"/>
        <c:scaling>
          <c:orientation val="minMax"/>
        </c:scaling>
        <c:delete val="1"/>
        <c:axPos val="b"/>
        <c:numFmt formatCode="0.00%" sourceLinked="1"/>
        <c:majorTickMark val="none"/>
        <c:minorTickMark val="none"/>
        <c:tickLblPos val="nextTo"/>
        <c:crossAx val="40336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Data.xlsx]Pivots!PivotTable12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Georgia" panose="02040502050405020303" pitchFamily="18" charset="0"/>
                <a:ea typeface="+mn-ea"/>
                <a:cs typeface="+mn-cs"/>
              </a:defRPr>
            </a:pPr>
            <a:r>
              <a:rPr lang="en-US" sz="1000">
                <a:solidFill>
                  <a:srgbClr val="E36414"/>
                </a:solidFill>
              </a:rPr>
              <a:t>Backlog by Zone (Count &amp; Age)</a:t>
            </a:r>
          </a:p>
        </c:rich>
      </c:tx>
      <c:layout>
        <c:manualLayout>
          <c:xMode val="edge"/>
          <c:yMode val="edge"/>
          <c:x val="0.19921375001799363"/>
          <c:y val="2.9411764705882353E-2"/>
        </c:manualLayout>
      </c:layout>
      <c:overlay val="0"/>
      <c:spPr>
        <a:solidFill>
          <a:srgbClr val="0B3D91"/>
        </a:solidFill>
        <a:ln>
          <a:noFill/>
        </a:ln>
        <a:effectLst>
          <a:innerShdw blurRad="114300">
            <a:prstClr val="black"/>
          </a:inn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3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5740740740740741"/>
          <c:w val="0.89030796150481195"/>
          <c:h val="0.64817876932050156"/>
        </c:manualLayout>
      </c:layout>
      <c:barChart>
        <c:barDir val="col"/>
        <c:grouping val="clustered"/>
        <c:varyColors val="0"/>
        <c:ser>
          <c:idx val="0"/>
          <c:order val="0"/>
          <c:tx>
            <c:strRef>
              <c:f>Pivots!$H$3</c:f>
              <c:strCache>
                <c:ptCount val="1"/>
                <c:pt idx="0">
                  <c:v>Count of Order ID</c:v>
                </c:pt>
              </c:strCache>
            </c:strRef>
          </c:tx>
          <c:spPr>
            <a:solidFill>
              <a:srgbClr val="0B3D91"/>
            </a:solidFill>
            <a:ln>
              <a:noFill/>
            </a:ln>
            <a:effectLst/>
          </c:spPr>
          <c:invertIfNegative val="0"/>
          <c:cat>
            <c:strRef>
              <c:f>Pivots!$G$4:$G$7</c:f>
              <c:strCache>
                <c:ptCount val="3"/>
                <c:pt idx="0">
                  <c:v>Zone1</c:v>
                </c:pt>
                <c:pt idx="1">
                  <c:v>Zone2</c:v>
                </c:pt>
                <c:pt idx="2">
                  <c:v>Zone3</c:v>
                </c:pt>
              </c:strCache>
            </c:strRef>
          </c:cat>
          <c:val>
            <c:numRef>
              <c:f>Pivots!$H$4:$H$7</c:f>
              <c:numCache>
                <c:formatCode>General</c:formatCode>
                <c:ptCount val="3"/>
                <c:pt idx="0">
                  <c:v>519</c:v>
                </c:pt>
                <c:pt idx="1">
                  <c:v>518</c:v>
                </c:pt>
                <c:pt idx="2">
                  <c:v>463</c:v>
                </c:pt>
              </c:numCache>
            </c:numRef>
          </c:val>
          <c:extLst>
            <c:ext xmlns:c16="http://schemas.microsoft.com/office/drawing/2014/chart" uri="{C3380CC4-5D6E-409C-BE32-E72D297353CC}">
              <c16:uniqueId val="{00000000-A53A-4076-9807-4BF5C893BCF9}"/>
            </c:ext>
          </c:extLst>
        </c:ser>
        <c:ser>
          <c:idx val="1"/>
          <c:order val="1"/>
          <c:tx>
            <c:strRef>
              <c:f>Pivots!$I$3</c:f>
              <c:strCache>
                <c:ptCount val="1"/>
                <c:pt idx="0">
                  <c:v>Average of Backlog Age (days)</c:v>
                </c:pt>
              </c:strCache>
            </c:strRef>
          </c:tx>
          <c:spPr>
            <a:solidFill>
              <a:schemeClr val="accent2"/>
            </a:solidFill>
            <a:ln>
              <a:noFill/>
            </a:ln>
            <a:effectLst/>
          </c:spPr>
          <c:invertIfNegative val="0"/>
          <c:cat>
            <c:strRef>
              <c:f>Pivots!$G$4:$G$7</c:f>
              <c:strCache>
                <c:ptCount val="3"/>
                <c:pt idx="0">
                  <c:v>Zone1</c:v>
                </c:pt>
                <c:pt idx="1">
                  <c:v>Zone2</c:v>
                </c:pt>
                <c:pt idx="2">
                  <c:v>Zone3</c:v>
                </c:pt>
              </c:strCache>
            </c:strRef>
          </c:cat>
          <c:val>
            <c:numRef>
              <c:f>Pivots!$I$4:$I$7</c:f>
              <c:numCache>
                <c:formatCode>General</c:formatCode>
                <c:ptCount val="3"/>
                <c:pt idx="0">
                  <c:v>808.62452107279694</c:v>
                </c:pt>
                <c:pt idx="1">
                  <c:v>808.65949820788535</c:v>
                </c:pt>
                <c:pt idx="2">
                  <c:v>808.61233480176213</c:v>
                </c:pt>
              </c:numCache>
            </c:numRef>
          </c:val>
          <c:extLst>
            <c:ext xmlns:c16="http://schemas.microsoft.com/office/drawing/2014/chart" uri="{C3380CC4-5D6E-409C-BE32-E72D297353CC}">
              <c16:uniqueId val="{00000001-A53A-4076-9807-4BF5C893BCF9}"/>
            </c:ext>
          </c:extLst>
        </c:ser>
        <c:dLbls>
          <c:showLegendKey val="0"/>
          <c:showVal val="0"/>
          <c:showCatName val="0"/>
          <c:showSerName val="0"/>
          <c:showPercent val="0"/>
          <c:showBubbleSize val="0"/>
        </c:dLbls>
        <c:gapWidth val="219"/>
        <c:overlap val="-27"/>
        <c:axId val="590898464"/>
        <c:axId val="590906624"/>
      </c:barChart>
      <c:catAx>
        <c:axId val="590898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crossAx val="590906624"/>
        <c:crosses val="autoZero"/>
        <c:auto val="1"/>
        <c:lblAlgn val="ctr"/>
        <c:lblOffset val="100"/>
        <c:noMultiLvlLbl val="0"/>
      </c:catAx>
      <c:valAx>
        <c:axId val="59090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crossAx val="590898464"/>
        <c:crosses val="autoZero"/>
        <c:crossBetween val="between"/>
      </c:valAx>
      <c:spPr>
        <a:noFill/>
        <a:ln>
          <a:noFill/>
        </a:ln>
        <a:effectLst/>
      </c:spPr>
    </c:plotArea>
    <c:legend>
      <c:legendPos val="b"/>
      <c:layout>
        <c:manualLayout>
          <c:xMode val="edge"/>
          <c:yMode val="edge"/>
          <c:x val="0"/>
          <c:y val="0.92215049277780692"/>
          <c:w val="0.78776978417266186"/>
          <c:h val="7.1226990665901865E-2"/>
        </c:manualLayout>
      </c:layout>
      <c:overlay val="0"/>
      <c:spPr>
        <a:noFill/>
        <a:ln>
          <a:noFill/>
        </a:ln>
        <a:effectLst/>
      </c:spPr>
      <c:txPr>
        <a:bodyPr rot="0" spcFirstLastPara="1" vertOverflow="ellipsis" vert="horz" wrap="square" anchor="ctr" anchorCtr="1"/>
        <a:lstStyle/>
        <a:p>
          <a:pPr>
            <a:defRPr sz="800" b="1" i="0" u="none" strike="noStrike" kern="1200" baseline="0">
              <a:solidFill>
                <a:srgbClr val="0B3D9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E1FB"/>
    </a:solidFill>
    <a:ln w="9525" cap="flat" cmpd="sng" algn="ctr">
      <a:solidFill>
        <a:schemeClr val="tx1">
          <a:lumMod val="15000"/>
          <a:lumOff val="85000"/>
        </a:schemeClr>
      </a:solidFill>
      <a:round/>
    </a:ln>
    <a:effectLst>
      <a:innerShdw blurRad="114300">
        <a:prstClr val="black"/>
      </a:innerShdw>
    </a:effectLst>
  </c:spPr>
  <c:txPr>
    <a:bodyPr/>
    <a:lstStyle/>
    <a:p>
      <a:pPr>
        <a:defRPr b="1">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www.linkedin.com/in/emmanuella-odinukwe" TargetMode="Externa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0</xdr:rowOff>
    </xdr:from>
    <xdr:to>
      <xdr:col>18</xdr:col>
      <xdr:colOff>603250</xdr:colOff>
      <xdr:row>24</xdr:row>
      <xdr:rowOff>57150</xdr:rowOff>
    </xdr:to>
    <xdr:sp macro="" textlink="">
      <xdr:nvSpPr>
        <xdr:cNvPr id="30" name="Rectangle: Rounded Corners 29">
          <a:extLst>
            <a:ext uri="{FF2B5EF4-FFF2-40B4-BE49-F238E27FC236}">
              <a16:creationId xmlns:a16="http://schemas.microsoft.com/office/drawing/2014/main" id="{162B7604-2F02-48D3-97A4-003BF075992A}"/>
            </a:ext>
          </a:extLst>
        </xdr:cNvPr>
        <xdr:cNvSpPr/>
      </xdr:nvSpPr>
      <xdr:spPr>
        <a:xfrm>
          <a:off x="12700" y="0"/>
          <a:ext cx="11563350" cy="4476750"/>
        </a:xfrm>
        <a:prstGeom prst="roundRect">
          <a:avLst>
            <a:gd name="adj" fmla="val 3334"/>
          </a:avLst>
        </a:prstGeom>
        <a:solidFill>
          <a:srgbClr val="D1E1FB"/>
        </a:solidFill>
        <a:ln>
          <a:solidFill>
            <a:srgbClr val="0B3D9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247650</xdr:colOff>
      <xdr:row>0</xdr:row>
      <xdr:rowOff>38100</xdr:rowOff>
    </xdr:from>
    <xdr:to>
      <xdr:col>15</xdr:col>
      <xdr:colOff>330200</xdr:colOff>
      <xdr:row>1</xdr:row>
      <xdr:rowOff>177800</xdr:rowOff>
    </xdr:to>
    <xdr:sp macro="" textlink="">
      <xdr:nvSpPr>
        <xdr:cNvPr id="2" name="Rectangle: Rounded Corners 1">
          <a:extLst>
            <a:ext uri="{FF2B5EF4-FFF2-40B4-BE49-F238E27FC236}">
              <a16:creationId xmlns:a16="http://schemas.microsoft.com/office/drawing/2014/main" id="{A21C0312-A753-2E83-DC1F-EE04815CAFFE}"/>
            </a:ext>
          </a:extLst>
        </xdr:cNvPr>
        <xdr:cNvSpPr/>
      </xdr:nvSpPr>
      <xdr:spPr>
        <a:xfrm>
          <a:off x="2076450" y="38100"/>
          <a:ext cx="7397750" cy="323850"/>
        </a:xfrm>
        <a:prstGeom prst="roundRect">
          <a:avLst/>
        </a:prstGeom>
        <a:solidFill>
          <a:srgbClr val="0B3D9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330200</xdr:colOff>
      <xdr:row>0</xdr:row>
      <xdr:rowOff>31750</xdr:rowOff>
    </xdr:from>
    <xdr:to>
      <xdr:col>14</xdr:col>
      <xdr:colOff>387350</xdr:colOff>
      <xdr:row>1</xdr:row>
      <xdr:rowOff>146050</xdr:rowOff>
    </xdr:to>
    <xdr:sp macro="" textlink="">
      <xdr:nvSpPr>
        <xdr:cNvPr id="3" name="TextBox 2">
          <a:extLst>
            <a:ext uri="{FF2B5EF4-FFF2-40B4-BE49-F238E27FC236}">
              <a16:creationId xmlns:a16="http://schemas.microsoft.com/office/drawing/2014/main" id="{24D399C5-652B-8EA1-0044-EA25CB14424C}"/>
            </a:ext>
          </a:extLst>
        </xdr:cNvPr>
        <xdr:cNvSpPr txBox="1"/>
      </xdr:nvSpPr>
      <xdr:spPr>
        <a:xfrm>
          <a:off x="3378200" y="31750"/>
          <a:ext cx="55435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solidFill>
                <a:schemeClr val="tx2">
                  <a:lumMod val="10000"/>
                  <a:lumOff val="90000"/>
                </a:schemeClr>
              </a:solidFill>
              <a:effectLst/>
              <a:latin typeface="Georgia" panose="02040502050405020303" pitchFamily="18" charset="0"/>
              <a:ea typeface="+mn-ea"/>
              <a:cs typeface="+mn-cs"/>
            </a:rPr>
            <a:t>Real Time Order Optimization</a:t>
          </a:r>
          <a:endParaRPr lang="en-US" sz="1800" b="1" i="0">
            <a:solidFill>
              <a:schemeClr val="tx2">
                <a:lumMod val="10000"/>
                <a:lumOff val="90000"/>
              </a:schemeClr>
            </a:solidFill>
            <a:latin typeface="Georgia" panose="02040502050405020303" pitchFamily="18" charset="0"/>
          </a:endParaRPr>
        </a:p>
      </xdr:txBody>
    </xdr:sp>
    <xdr:clientData/>
  </xdr:twoCellAnchor>
  <xdr:twoCellAnchor>
    <xdr:from>
      <xdr:col>3</xdr:col>
      <xdr:colOff>298450</xdr:colOff>
      <xdr:row>2</xdr:row>
      <xdr:rowOff>44450</xdr:rowOff>
    </xdr:from>
    <xdr:to>
      <xdr:col>5</xdr:col>
      <xdr:colOff>374650</xdr:colOff>
      <xdr:row>5</xdr:row>
      <xdr:rowOff>107950</xdr:rowOff>
    </xdr:to>
    <xdr:sp macro="" textlink="'KPI Summary'!B8">
      <xdr:nvSpPr>
        <xdr:cNvPr id="4" name="Rectangle: Rounded Corners 3">
          <a:extLst>
            <a:ext uri="{FF2B5EF4-FFF2-40B4-BE49-F238E27FC236}">
              <a16:creationId xmlns:a16="http://schemas.microsoft.com/office/drawing/2014/main" id="{0CBAA4D7-92E7-4C00-A1E2-19FE8394FD2A}"/>
            </a:ext>
          </a:extLst>
        </xdr:cNvPr>
        <xdr:cNvSpPr/>
      </xdr:nvSpPr>
      <xdr:spPr>
        <a:xfrm>
          <a:off x="2127250" y="412750"/>
          <a:ext cx="1295400" cy="615950"/>
        </a:xfrm>
        <a:prstGeom prst="roundRect">
          <a:avLst/>
        </a:prstGeom>
        <a:solidFill>
          <a:srgbClr val="D1E1F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A294738-6A7F-45F1-89E0-12BB490D2B07}" type="TxLink">
            <a:rPr lang="en-US" sz="1400" b="1" i="0" u="none" strike="noStrike">
              <a:solidFill>
                <a:srgbClr val="E36414"/>
              </a:solidFill>
              <a:latin typeface="Georgia" panose="02040502050405020303" pitchFamily="18" charset="0"/>
            </a:rPr>
            <a:pPr algn="ctr"/>
            <a:t>1500</a:t>
          </a:fld>
          <a:endParaRPr lang="en-US" sz="1400" b="1">
            <a:solidFill>
              <a:srgbClr val="E36414"/>
            </a:solidFill>
            <a:latin typeface="Georgia" panose="02040502050405020303" pitchFamily="18" charset="0"/>
          </a:endParaRPr>
        </a:p>
      </xdr:txBody>
    </xdr:sp>
    <xdr:clientData/>
  </xdr:twoCellAnchor>
  <xdr:twoCellAnchor>
    <xdr:from>
      <xdr:col>5</xdr:col>
      <xdr:colOff>584200</xdr:colOff>
      <xdr:row>2</xdr:row>
      <xdr:rowOff>50800</xdr:rowOff>
    </xdr:from>
    <xdr:to>
      <xdr:col>8</xdr:col>
      <xdr:colOff>50800</xdr:colOff>
      <xdr:row>5</xdr:row>
      <xdr:rowOff>114300</xdr:rowOff>
    </xdr:to>
    <xdr:sp macro="" textlink="'KPI Summary'!B12">
      <xdr:nvSpPr>
        <xdr:cNvPr id="6" name="Rectangle: Rounded Corners 5">
          <a:extLst>
            <a:ext uri="{FF2B5EF4-FFF2-40B4-BE49-F238E27FC236}">
              <a16:creationId xmlns:a16="http://schemas.microsoft.com/office/drawing/2014/main" id="{2F5F281D-0202-25F9-B157-FD9BBBC9C58C}"/>
            </a:ext>
          </a:extLst>
        </xdr:cNvPr>
        <xdr:cNvSpPr/>
      </xdr:nvSpPr>
      <xdr:spPr>
        <a:xfrm>
          <a:off x="3632200" y="419100"/>
          <a:ext cx="1295400" cy="615950"/>
        </a:xfrm>
        <a:prstGeom prst="roundRect">
          <a:avLst/>
        </a:prstGeom>
        <a:solidFill>
          <a:srgbClr val="D1E1F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2B9BCCF0-0A99-4D77-824C-5B8A02B40CDD}" type="TxLink">
            <a:rPr lang="en-US" sz="1400" b="1" i="0" u="none" strike="noStrike">
              <a:solidFill>
                <a:srgbClr val="E36414"/>
              </a:solidFill>
              <a:latin typeface="Georgia" panose="02040502050405020303" pitchFamily="18" charset="0"/>
              <a:ea typeface="+mn-ea"/>
              <a:cs typeface="+mn-cs"/>
            </a:rPr>
            <a:pPr marL="0" indent="0" algn="ctr"/>
            <a:t>151.77</a:t>
          </a:fld>
          <a:endParaRPr lang="en-US" sz="1400" b="1" i="0" u="none" strike="noStrike">
            <a:solidFill>
              <a:srgbClr val="E36414"/>
            </a:solidFill>
            <a:latin typeface="Georgia" panose="02040502050405020303" pitchFamily="18" charset="0"/>
            <a:ea typeface="+mn-ea"/>
            <a:cs typeface="+mn-cs"/>
          </a:endParaRPr>
        </a:p>
      </xdr:txBody>
    </xdr:sp>
    <xdr:clientData/>
  </xdr:twoCellAnchor>
  <xdr:twoCellAnchor>
    <xdr:from>
      <xdr:col>8</xdr:col>
      <xdr:colOff>247650</xdr:colOff>
      <xdr:row>2</xdr:row>
      <xdr:rowOff>38100</xdr:rowOff>
    </xdr:from>
    <xdr:to>
      <xdr:col>10</xdr:col>
      <xdr:colOff>323850</xdr:colOff>
      <xdr:row>5</xdr:row>
      <xdr:rowOff>127000</xdr:rowOff>
    </xdr:to>
    <xdr:sp macro="" textlink="'KPI Summary'!B16">
      <xdr:nvSpPr>
        <xdr:cNvPr id="7" name="Rectangle: Rounded Corners 6">
          <a:extLst>
            <a:ext uri="{FF2B5EF4-FFF2-40B4-BE49-F238E27FC236}">
              <a16:creationId xmlns:a16="http://schemas.microsoft.com/office/drawing/2014/main" id="{EB7939E4-AB2F-64B1-074F-23C8F8286A3D}"/>
            </a:ext>
          </a:extLst>
        </xdr:cNvPr>
        <xdr:cNvSpPr/>
      </xdr:nvSpPr>
      <xdr:spPr>
        <a:xfrm>
          <a:off x="5124450" y="406400"/>
          <a:ext cx="1295400" cy="641350"/>
        </a:xfrm>
        <a:prstGeom prst="roundRect">
          <a:avLst/>
        </a:prstGeom>
        <a:solidFill>
          <a:srgbClr val="D1E1F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2E9CD1D6-9162-42CE-A797-9927FAF50E0E}" type="TxLink">
            <a:rPr lang="en-US" sz="1400" b="1" i="0" u="none" strike="noStrike">
              <a:solidFill>
                <a:srgbClr val="E36414"/>
              </a:solidFill>
              <a:latin typeface="Georgia" panose="02040502050405020303" pitchFamily="18" charset="0"/>
              <a:ea typeface="+mn-ea"/>
              <a:cs typeface="+mn-cs"/>
            </a:rPr>
            <a:pPr marL="0" indent="0" algn="ctr"/>
            <a:t>14.51</a:t>
          </a:fld>
          <a:endParaRPr lang="en-US" sz="1400" b="1" i="0" u="none" strike="noStrike">
            <a:solidFill>
              <a:srgbClr val="E36414"/>
            </a:solidFill>
            <a:latin typeface="Georgia" panose="02040502050405020303" pitchFamily="18" charset="0"/>
            <a:ea typeface="+mn-ea"/>
            <a:cs typeface="+mn-cs"/>
          </a:endParaRPr>
        </a:p>
      </xdr:txBody>
    </xdr:sp>
    <xdr:clientData/>
  </xdr:twoCellAnchor>
  <xdr:twoCellAnchor>
    <xdr:from>
      <xdr:col>10</xdr:col>
      <xdr:colOff>546100</xdr:colOff>
      <xdr:row>2</xdr:row>
      <xdr:rowOff>44450</xdr:rowOff>
    </xdr:from>
    <xdr:to>
      <xdr:col>13</xdr:col>
      <xdr:colOff>12700</xdr:colOff>
      <xdr:row>5</xdr:row>
      <xdr:rowOff>120650</xdr:rowOff>
    </xdr:to>
    <xdr:sp macro="" textlink="'KPI Summary'!B20">
      <xdr:nvSpPr>
        <xdr:cNvPr id="8" name="Rectangle: Rounded Corners 7">
          <a:extLst>
            <a:ext uri="{FF2B5EF4-FFF2-40B4-BE49-F238E27FC236}">
              <a16:creationId xmlns:a16="http://schemas.microsoft.com/office/drawing/2014/main" id="{A2FAA670-A153-240E-37B7-F2676BE418C5}"/>
            </a:ext>
          </a:extLst>
        </xdr:cNvPr>
        <xdr:cNvSpPr/>
      </xdr:nvSpPr>
      <xdr:spPr>
        <a:xfrm>
          <a:off x="6642100" y="412750"/>
          <a:ext cx="1295400" cy="628650"/>
        </a:xfrm>
        <a:prstGeom prst="roundRect">
          <a:avLst/>
        </a:prstGeom>
        <a:solidFill>
          <a:srgbClr val="D1E1F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E6D03F4-A646-4EB8-BA90-BFD9CFF21DF3}" type="TxLink">
            <a:rPr lang="en-US" sz="1600" b="1" i="0" u="none" strike="noStrike">
              <a:solidFill>
                <a:srgbClr val="E36414"/>
              </a:solidFill>
              <a:latin typeface="Georgia" panose="02040502050405020303" pitchFamily="18" charset="0"/>
              <a:ea typeface="+mn-ea"/>
              <a:cs typeface="+mn-cs"/>
            </a:rPr>
            <a:pPr marL="0" indent="0" algn="ctr"/>
            <a:t>3%</a:t>
          </a:fld>
          <a:endParaRPr lang="en-US" sz="1600" b="1" i="0" u="none" strike="noStrike">
            <a:solidFill>
              <a:srgbClr val="E36414"/>
            </a:solidFill>
            <a:latin typeface="Georgia" panose="02040502050405020303" pitchFamily="18" charset="0"/>
            <a:ea typeface="+mn-ea"/>
            <a:cs typeface="+mn-cs"/>
          </a:endParaRPr>
        </a:p>
      </xdr:txBody>
    </xdr:sp>
    <xdr:clientData/>
  </xdr:twoCellAnchor>
  <xdr:twoCellAnchor>
    <xdr:from>
      <xdr:col>13</xdr:col>
      <xdr:colOff>234950</xdr:colOff>
      <xdr:row>2</xdr:row>
      <xdr:rowOff>44450</xdr:rowOff>
    </xdr:from>
    <xdr:to>
      <xdr:col>15</xdr:col>
      <xdr:colOff>311150</xdr:colOff>
      <xdr:row>5</xdr:row>
      <xdr:rowOff>127000</xdr:rowOff>
    </xdr:to>
    <xdr:sp macro="" textlink="'KPI Summary'!D8">
      <xdr:nvSpPr>
        <xdr:cNvPr id="9" name="Rectangle: Rounded Corners 8">
          <a:extLst>
            <a:ext uri="{FF2B5EF4-FFF2-40B4-BE49-F238E27FC236}">
              <a16:creationId xmlns:a16="http://schemas.microsoft.com/office/drawing/2014/main" id="{B54B3250-4CCF-1395-1209-7981E139B2C3}"/>
            </a:ext>
          </a:extLst>
        </xdr:cNvPr>
        <xdr:cNvSpPr/>
      </xdr:nvSpPr>
      <xdr:spPr>
        <a:xfrm>
          <a:off x="8159750" y="412750"/>
          <a:ext cx="1295400" cy="635000"/>
        </a:xfrm>
        <a:prstGeom prst="roundRect">
          <a:avLst/>
        </a:prstGeom>
        <a:solidFill>
          <a:srgbClr val="D1E1F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200A12C7-F597-416D-A81E-EFC2B5548F23}" type="TxLink">
            <a:rPr lang="en-US" sz="1400" b="1" i="0" u="none" strike="noStrike">
              <a:solidFill>
                <a:srgbClr val="E36414"/>
              </a:solidFill>
              <a:latin typeface="Georgia" panose="02040502050405020303" pitchFamily="18" charset="0"/>
              <a:ea typeface="+mn-ea"/>
              <a:cs typeface="+mn-cs"/>
            </a:rPr>
            <a:pPr marL="0" indent="0" algn="ctr"/>
            <a:t>32%</a:t>
          </a:fld>
          <a:endParaRPr lang="en-US" sz="1400" b="1" i="0" u="none" strike="noStrike">
            <a:solidFill>
              <a:srgbClr val="E36414"/>
            </a:solidFill>
            <a:latin typeface="Georgia" panose="02040502050405020303" pitchFamily="18" charset="0"/>
            <a:ea typeface="+mn-ea"/>
            <a:cs typeface="+mn-cs"/>
          </a:endParaRPr>
        </a:p>
      </xdr:txBody>
    </xdr:sp>
    <xdr:clientData/>
  </xdr:twoCellAnchor>
  <xdr:twoCellAnchor>
    <xdr:from>
      <xdr:col>3</xdr:col>
      <xdr:colOff>304800</xdr:colOff>
      <xdr:row>2</xdr:row>
      <xdr:rowOff>0</xdr:rowOff>
    </xdr:from>
    <xdr:to>
      <xdr:col>5</xdr:col>
      <xdr:colOff>361950</xdr:colOff>
      <xdr:row>3</xdr:row>
      <xdr:rowOff>139700</xdr:rowOff>
    </xdr:to>
    <xdr:sp macro="" textlink="">
      <xdr:nvSpPr>
        <xdr:cNvPr id="11" name="TextBox 10">
          <a:extLst>
            <a:ext uri="{FF2B5EF4-FFF2-40B4-BE49-F238E27FC236}">
              <a16:creationId xmlns:a16="http://schemas.microsoft.com/office/drawing/2014/main" id="{6F552E2B-18FA-4148-B073-EBEB1F468EDB}"/>
            </a:ext>
          </a:extLst>
        </xdr:cNvPr>
        <xdr:cNvSpPr txBox="1"/>
      </xdr:nvSpPr>
      <xdr:spPr>
        <a:xfrm>
          <a:off x="2133600" y="368300"/>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0">
              <a:solidFill>
                <a:srgbClr val="0B3D91"/>
              </a:solidFill>
              <a:effectLst/>
              <a:latin typeface="Georgia" panose="02040502050405020303" pitchFamily="18" charset="0"/>
              <a:ea typeface="+mn-ea"/>
              <a:cs typeface="+mn-cs"/>
            </a:rPr>
            <a:t>Total Orders</a:t>
          </a:r>
          <a:endParaRPr lang="en-US" sz="1000" b="0" i="1">
            <a:solidFill>
              <a:srgbClr val="0B3D91"/>
            </a:solidFill>
            <a:latin typeface="Georgia" panose="02040502050405020303" pitchFamily="18" charset="0"/>
          </a:endParaRPr>
        </a:p>
      </xdr:txBody>
    </xdr:sp>
    <xdr:clientData/>
  </xdr:twoCellAnchor>
  <xdr:twoCellAnchor>
    <xdr:from>
      <xdr:col>5</xdr:col>
      <xdr:colOff>596900</xdr:colOff>
      <xdr:row>2</xdr:row>
      <xdr:rowOff>6350</xdr:rowOff>
    </xdr:from>
    <xdr:to>
      <xdr:col>8</xdr:col>
      <xdr:colOff>44450</xdr:colOff>
      <xdr:row>3</xdr:row>
      <xdr:rowOff>146050</xdr:rowOff>
    </xdr:to>
    <xdr:sp macro="" textlink="">
      <xdr:nvSpPr>
        <xdr:cNvPr id="12" name="TextBox 11">
          <a:extLst>
            <a:ext uri="{FF2B5EF4-FFF2-40B4-BE49-F238E27FC236}">
              <a16:creationId xmlns:a16="http://schemas.microsoft.com/office/drawing/2014/main" id="{AEAF2662-7B62-A681-2577-E5E44740E020}"/>
            </a:ext>
          </a:extLst>
        </xdr:cNvPr>
        <xdr:cNvSpPr txBox="1"/>
      </xdr:nvSpPr>
      <xdr:spPr>
        <a:xfrm>
          <a:off x="3644900" y="374650"/>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i="0">
              <a:solidFill>
                <a:srgbClr val="0B3D91"/>
              </a:solidFill>
              <a:effectLst/>
              <a:latin typeface="Georgia" panose="02040502050405020303" pitchFamily="18" charset="0"/>
              <a:ea typeface="+mn-ea"/>
              <a:cs typeface="+mn-cs"/>
            </a:rPr>
            <a:t>Avg Delivery(min)</a:t>
          </a:r>
          <a:endParaRPr lang="en-US" sz="900" b="0" i="1">
            <a:solidFill>
              <a:srgbClr val="0B3D91"/>
            </a:solidFill>
            <a:latin typeface="Georgia" panose="02040502050405020303" pitchFamily="18" charset="0"/>
          </a:endParaRPr>
        </a:p>
      </xdr:txBody>
    </xdr:sp>
    <xdr:clientData/>
  </xdr:twoCellAnchor>
  <xdr:twoCellAnchor>
    <xdr:from>
      <xdr:col>8</xdr:col>
      <xdr:colOff>311150</xdr:colOff>
      <xdr:row>2</xdr:row>
      <xdr:rowOff>12700</xdr:rowOff>
    </xdr:from>
    <xdr:to>
      <xdr:col>10</xdr:col>
      <xdr:colOff>368300</xdr:colOff>
      <xdr:row>3</xdr:row>
      <xdr:rowOff>152400</xdr:rowOff>
    </xdr:to>
    <xdr:sp macro="" textlink="">
      <xdr:nvSpPr>
        <xdr:cNvPr id="13" name="TextBox 12">
          <a:extLst>
            <a:ext uri="{FF2B5EF4-FFF2-40B4-BE49-F238E27FC236}">
              <a16:creationId xmlns:a16="http://schemas.microsoft.com/office/drawing/2014/main" id="{7FF3E640-239A-4A5B-821B-4AD3190EBDB5}"/>
            </a:ext>
          </a:extLst>
        </xdr:cNvPr>
        <xdr:cNvSpPr txBox="1"/>
      </xdr:nvSpPr>
      <xdr:spPr>
        <a:xfrm>
          <a:off x="5187950" y="381000"/>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i="0">
              <a:solidFill>
                <a:srgbClr val="0B3D91"/>
              </a:solidFill>
              <a:effectLst/>
              <a:latin typeface="Georgia" panose="02040502050405020303" pitchFamily="18" charset="0"/>
              <a:ea typeface="+mn-ea"/>
              <a:cs typeface="+mn-cs"/>
            </a:rPr>
            <a:t>Avg Delays</a:t>
          </a:r>
          <a:r>
            <a:rPr lang="en-US" sz="900" b="1" i="0" baseline="0">
              <a:solidFill>
                <a:srgbClr val="0B3D91"/>
              </a:solidFill>
              <a:effectLst/>
              <a:latin typeface="Georgia" panose="02040502050405020303" pitchFamily="18" charset="0"/>
              <a:ea typeface="+mn-ea"/>
              <a:cs typeface="+mn-cs"/>
            </a:rPr>
            <a:t> </a:t>
          </a:r>
          <a:r>
            <a:rPr lang="en-US" sz="900" b="1" i="0">
              <a:solidFill>
                <a:srgbClr val="0B3D91"/>
              </a:solidFill>
              <a:effectLst/>
              <a:latin typeface="Georgia" panose="02040502050405020303" pitchFamily="18" charset="0"/>
              <a:ea typeface="+mn-ea"/>
              <a:cs typeface="+mn-cs"/>
            </a:rPr>
            <a:t>(min)</a:t>
          </a:r>
          <a:endParaRPr lang="en-US" sz="900" b="0" i="1">
            <a:solidFill>
              <a:srgbClr val="0B3D91"/>
            </a:solidFill>
            <a:latin typeface="Georgia" panose="02040502050405020303" pitchFamily="18" charset="0"/>
          </a:endParaRPr>
        </a:p>
      </xdr:txBody>
    </xdr:sp>
    <xdr:clientData/>
  </xdr:twoCellAnchor>
  <xdr:twoCellAnchor>
    <xdr:from>
      <xdr:col>10</xdr:col>
      <xdr:colOff>577850</xdr:colOff>
      <xdr:row>2</xdr:row>
      <xdr:rowOff>19050</xdr:rowOff>
    </xdr:from>
    <xdr:to>
      <xdr:col>12</xdr:col>
      <xdr:colOff>539750</xdr:colOff>
      <xdr:row>3</xdr:row>
      <xdr:rowOff>158750</xdr:rowOff>
    </xdr:to>
    <xdr:sp macro="" textlink="">
      <xdr:nvSpPr>
        <xdr:cNvPr id="14" name="TextBox 13">
          <a:extLst>
            <a:ext uri="{FF2B5EF4-FFF2-40B4-BE49-F238E27FC236}">
              <a16:creationId xmlns:a16="http://schemas.microsoft.com/office/drawing/2014/main" id="{F6CAE47C-9551-AF13-F778-0322CBAD1B0D}"/>
            </a:ext>
          </a:extLst>
        </xdr:cNvPr>
        <xdr:cNvSpPr txBox="1"/>
      </xdr:nvSpPr>
      <xdr:spPr>
        <a:xfrm>
          <a:off x="6673850" y="387350"/>
          <a:ext cx="1181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a:solidFill>
                <a:srgbClr val="0B3D91"/>
              </a:solidFill>
              <a:effectLst/>
              <a:latin typeface="Georgia" panose="02040502050405020303" pitchFamily="18" charset="0"/>
              <a:ea typeface="+mn-ea"/>
              <a:cs typeface="+mn-cs"/>
            </a:rPr>
            <a:t>On_Time %</a:t>
          </a:r>
          <a:endParaRPr lang="en-US" sz="900" b="0" i="1">
            <a:solidFill>
              <a:srgbClr val="0B3D91"/>
            </a:solidFill>
            <a:latin typeface="Georgia" panose="02040502050405020303" pitchFamily="18" charset="0"/>
          </a:endParaRPr>
        </a:p>
      </xdr:txBody>
    </xdr:sp>
    <xdr:clientData/>
  </xdr:twoCellAnchor>
  <xdr:twoCellAnchor>
    <xdr:from>
      <xdr:col>13</xdr:col>
      <xdr:colOff>292100</xdr:colOff>
      <xdr:row>2</xdr:row>
      <xdr:rowOff>25400</xdr:rowOff>
    </xdr:from>
    <xdr:to>
      <xdr:col>15</xdr:col>
      <xdr:colOff>254000</xdr:colOff>
      <xdr:row>3</xdr:row>
      <xdr:rowOff>165100</xdr:rowOff>
    </xdr:to>
    <xdr:sp macro="" textlink="">
      <xdr:nvSpPr>
        <xdr:cNvPr id="15" name="TextBox 14">
          <a:extLst>
            <a:ext uri="{FF2B5EF4-FFF2-40B4-BE49-F238E27FC236}">
              <a16:creationId xmlns:a16="http://schemas.microsoft.com/office/drawing/2014/main" id="{A0DBA918-01E9-9C7F-3870-95F6BC75499A}"/>
            </a:ext>
          </a:extLst>
        </xdr:cNvPr>
        <xdr:cNvSpPr txBox="1"/>
      </xdr:nvSpPr>
      <xdr:spPr>
        <a:xfrm>
          <a:off x="8216900" y="393700"/>
          <a:ext cx="1181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i="0">
              <a:solidFill>
                <a:srgbClr val="0B3D91"/>
              </a:solidFill>
              <a:effectLst/>
              <a:latin typeface="Georgia" panose="02040502050405020303" pitchFamily="18" charset="0"/>
              <a:ea typeface="+mn-ea"/>
              <a:cs typeface="+mn-cs"/>
            </a:rPr>
            <a:t>Positive FB %</a:t>
          </a:r>
          <a:endParaRPr lang="en-US" sz="900" b="0" i="1">
            <a:solidFill>
              <a:srgbClr val="0B3D91"/>
            </a:solidFill>
            <a:latin typeface="Georgia" panose="02040502050405020303" pitchFamily="18" charset="0"/>
          </a:endParaRPr>
        </a:p>
      </xdr:txBody>
    </xdr:sp>
    <xdr:clientData/>
  </xdr:twoCellAnchor>
  <xdr:twoCellAnchor>
    <xdr:from>
      <xdr:col>2</xdr:col>
      <xdr:colOff>158750</xdr:colOff>
      <xdr:row>5</xdr:row>
      <xdr:rowOff>171450</xdr:rowOff>
    </xdr:from>
    <xdr:to>
      <xdr:col>6</xdr:col>
      <xdr:colOff>241300</xdr:colOff>
      <xdr:row>14</xdr:row>
      <xdr:rowOff>107950</xdr:rowOff>
    </xdr:to>
    <xdr:graphicFrame macro="">
      <xdr:nvGraphicFramePr>
        <xdr:cNvPr id="16" name="Chart 15">
          <a:extLst>
            <a:ext uri="{FF2B5EF4-FFF2-40B4-BE49-F238E27FC236}">
              <a16:creationId xmlns:a16="http://schemas.microsoft.com/office/drawing/2014/main" id="{80968ADE-0EC3-4D67-8EB6-67F6AAC6E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285750</xdr:colOff>
      <xdr:row>5</xdr:row>
      <xdr:rowOff>171450</xdr:rowOff>
    </xdr:from>
    <xdr:to>
      <xdr:col>10</xdr:col>
      <xdr:colOff>584200</xdr:colOff>
      <xdr:row>14</xdr:row>
      <xdr:rowOff>101600</xdr:rowOff>
    </xdr:to>
    <xdr:graphicFrame macro="">
      <xdr:nvGraphicFramePr>
        <xdr:cNvPr id="17" name="Chart 16">
          <a:extLst>
            <a:ext uri="{FF2B5EF4-FFF2-40B4-BE49-F238E27FC236}">
              <a16:creationId xmlns:a16="http://schemas.microsoft.com/office/drawing/2014/main" id="{041C83FC-07C9-4A13-BAD3-57D44EF5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393700</xdr:colOff>
      <xdr:row>0</xdr:row>
      <xdr:rowOff>31750</xdr:rowOff>
    </xdr:from>
    <xdr:to>
      <xdr:col>18</xdr:col>
      <xdr:colOff>565150</xdr:colOff>
      <xdr:row>24</xdr:row>
      <xdr:rowOff>25400</xdr:rowOff>
    </xdr:to>
    <xdr:graphicFrame macro="">
      <xdr:nvGraphicFramePr>
        <xdr:cNvPr id="18" name="Chart 17">
          <a:extLst>
            <a:ext uri="{FF2B5EF4-FFF2-40B4-BE49-F238E27FC236}">
              <a16:creationId xmlns:a16="http://schemas.microsoft.com/office/drawing/2014/main" id="{195EB5AF-C578-48B3-8D9A-69A009980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165100</xdr:colOff>
      <xdr:row>14</xdr:row>
      <xdr:rowOff>146050</xdr:rowOff>
    </xdr:from>
    <xdr:to>
      <xdr:col>9</xdr:col>
      <xdr:colOff>457200</xdr:colOff>
      <xdr:row>24</xdr:row>
      <xdr:rowOff>31750</xdr:rowOff>
    </xdr:to>
    <xdr:graphicFrame macro="">
      <xdr:nvGraphicFramePr>
        <xdr:cNvPr id="19" name="Chart 18">
          <a:extLst>
            <a:ext uri="{FF2B5EF4-FFF2-40B4-BE49-F238E27FC236}">
              <a16:creationId xmlns:a16="http://schemas.microsoft.com/office/drawing/2014/main" id="{8F6B8A8B-B934-47F1-B5C3-9C573C92C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xdr:colOff>
      <xdr:row>5</xdr:row>
      <xdr:rowOff>165100</xdr:rowOff>
    </xdr:from>
    <xdr:to>
      <xdr:col>15</xdr:col>
      <xdr:colOff>336550</xdr:colOff>
      <xdr:row>14</xdr:row>
      <xdr:rowOff>107950</xdr:rowOff>
    </xdr:to>
    <xdr:graphicFrame macro="">
      <xdr:nvGraphicFramePr>
        <xdr:cNvPr id="20" name="Chart 19">
          <a:extLst>
            <a:ext uri="{FF2B5EF4-FFF2-40B4-BE49-F238E27FC236}">
              <a16:creationId xmlns:a16="http://schemas.microsoft.com/office/drawing/2014/main" id="{3A63FE5B-EB9B-46A0-8F68-590283192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514350</xdr:colOff>
      <xdr:row>14</xdr:row>
      <xdr:rowOff>152400</xdr:rowOff>
    </xdr:from>
    <xdr:to>
      <xdr:col>15</xdr:col>
      <xdr:colOff>330200</xdr:colOff>
      <xdr:row>24</xdr:row>
      <xdr:rowOff>38100</xdr:rowOff>
    </xdr:to>
    <xdr:graphicFrame macro="">
      <xdr:nvGraphicFramePr>
        <xdr:cNvPr id="21" name="Chart 20">
          <a:extLst>
            <a:ext uri="{FF2B5EF4-FFF2-40B4-BE49-F238E27FC236}">
              <a16:creationId xmlns:a16="http://schemas.microsoft.com/office/drawing/2014/main" id="{45C18E8A-A45E-4C84-8DE4-214C1394E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50800</xdr:colOff>
      <xdr:row>3</xdr:row>
      <xdr:rowOff>146050</xdr:rowOff>
    </xdr:from>
    <xdr:to>
      <xdr:col>2</xdr:col>
      <xdr:colOff>76200</xdr:colOff>
      <xdr:row>7</xdr:row>
      <xdr:rowOff>44450</xdr:rowOff>
    </xdr:to>
    <mc:AlternateContent xmlns:mc="http://schemas.openxmlformats.org/markup-compatibility/2006" xmlns:a14="http://schemas.microsoft.com/office/drawing/2010/main">
      <mc:Choice Requires="a14">
        <xdr:graphicFrame macro="">
          <xdr:nvGraphicFramePr>
            <xdr:cNvPr id="23" name="Order Status">
              <a:extLst>
                <a:ext uri="{FF2B5EF4-FFF2-40B4-BE49-F238E27FC236}">
                  <a16:creationId xmlns:a16="http://schemas.microsoft.com/office/drawing/2014/main" id="{6A0F78FD-E999-A95F-B461-4FC88531B84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50800" y="698500"/>
              <a:ext cx="124460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7</xdr:row>
      <xdr:rowOff>107950</xdr:rowOff>
    </xdr:from>
    <xdr:to>
      <xdr:col>2</xdr:col>
      <xdr:colOff>82550</xdr:colOff>
      <xdr:row>14</xdr:row>
      <xdr:rowOff>6350</xdr:rowOff>
    </xdr:to>
    <mc:AlternateContent xmlns:mc="http://schemas.openxmlformats.org/markup-compatibility/2006" xmlns:a14="http://schemas.microsoft.com/office/drawing/2010/main">
      <mc:Choice Requires="a14">
        <xdr:graphicFrame macro="">
          <xdr:nvGraphicFramePr>
            <xdr:cNvPr id="24" name="Current Location">
              <a:extLst>
                <a:ext uri="{FF2B5EF4-FFF2-40B4-BE49-F238E27FC236}">
                  <a16:creationId xmlns:a16="http://schemas.microsoft.com/office/drawing/2014/main" id="{A64ECC20-E0CF-0239-DE3E-5995723F18DF}"/>
                </a:ext>
              </a:extLst>
            </xdr:cNvPr>
            <xdr:cNvGraphicFramePr/>
          </xdr:nvGraphicFramePr>
          <xdr:xfrm>
            <a:off x="0" y="0"/>
            <a:ext cx="0" cy="0"/>
          </xdr:xfrm>
          <a:graphic>
            <a:graphicData uri="http://schemas.microsoft.com/office/drawing/2010/slicer">
              <sle:slicer xmlns:sle="http://schemas.microsoft.com/office/drawing/2010/slicer" name="Current Location"/>
            </a:graphicData>
          </a:graphic>
        </xdr:graphicFrame>
      </mc:Choice>
      <mc:Fallback xmlns="">
        <xdr:sp macro="" textlink="">
          <xdr:nvSpPr>
            <xdr:cNvPr id="0" name=""/>
            <xdr:cNvSpPr>
              <a:spLocks noTextEdit="1"/>
            </xdr:cNvSpPr>
          </xdr:nvSpPr>
          <xdr:spPr>
            <a:xfrm>
              <a:off x="50800" y="1397000"/>
              <a:ext cx="125095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14</xdr:row>
      <xdr:rowOff>63500</xdr:rowOff>
    </xdr:from>
    <xdr:to>
      <xdr:col>2</xdr:col>
      <xdr:colOff>95250</xdr:colOff>
      <xdr:row>20</xdr:row>
      <xdr:rowOff>152400</xdr:rowOff>
    </xdr:to>
    <mc:AlternateContent xmlns:mc="http://schemas.openxmlformats.org/markup-compatibility/2006" xmlns:a14="http://schemas.microsoft.com/office/drawing/2010/main">
      <mc:Choice Requires="a14">
        <xdr:graphicFrame macro="">
          <xdr:nvGraphicFramePr>
            <xdr:cNvPr id="25" name="Route">
              <a:extLst>
                <a:ext uri="{FF2B5EF4-FFF2-40B4-BE49-F238E27FC236}">
                  <a16:creationId xmlns:a16="http://schemas.microsoft.com/office/drawing/2014/main" id="{231869AA-4EC0-52B1-5F99-168A1F54C8E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57150" y="2641600"/>
              <a:ext cx="12573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1</xdr:rowOff>
    </xdr:from>
    <xdr:to>
      <xdr:col>3</xdr:col>
      <xdr:colOff>182978</xdr:colOff>
      <xdr:row>4</xdr:row>
      <xdr:rowOff>114300</xdr:rowOff>
    </xdr:to>
    <xdr:pic>
      <xdr:nvPicPr>
        <xdr:cNvPr id="27" name="Picture 26">
          <a:extLst>
            <a:ext uri="{FF2B5EF4-FFF2-40B4-BE49-F238E27FC236}">
              <a16:creationId xmlns:a16="http://schemas.microsoft.com/office/drawing/2014/main" id="{27498598-E00F-B239-48C9-C795CA76066A}"/>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2004" b="22004"/>
        <a:stretch>
          <a:fillRect/>
        </a:stretch>
      </xdr:blipFill>
      <xdr:spPr>
        <a:xfrm>
          <a:off x="1" y="1"/>
          <a:ext cx="2011777" cy="850899"/>
        </a:xfrm>
        <a:prstGeom prst="rect">
          <a:avLst/>
        </a:prstGeom>
      </xdr:spPr>
    </xdr:pic>
    <xdr:clientData/>
  </xdr:twoCellAnchor>
  <xdr:twoCellAnchor editAs="oneCell">
    <xdr:from>
      <xdr:col>0</xdr:col>
      <xdr:colOff>368300</xdr:colOff>
      <xdr:row>21</xdr:row>
      <xdr:rowOff>95250</xdr:rowOff>
    </xdr:from>
    <xdr:to>
      <xdr:col>1</xdr:col>
      <xdr:colOff>336550</xdr:colOff>
      <xdr:row>23</xdr:row>
      <xdr:rowOff>120650</xdr:rowOff>
    </xdr:to>
    <xdr:pic>
      <xdr:nvPicPr>
        <xdr:cNvPr id="29" name="Picture 28">
          <a:hlinkClick xmlns:r="http://schemas.openxmlformats.org/officeDocument/2006/relationships" r:id="rId8"/>
          <a:extLst>
            <a:ext uri="{FF2B5EF4-FFF2-40B4-BE49-F238E27FC236}">
              <a16:creationId xmlns:a16="http://schemas.microsoft.com/office/drawing/2014/main" id="{51640B2A-BB61-A6EC-F7A2-EE6DDCEC8AB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68300" y="3962400"/>
          <a:ext cx="577850" cy="393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2.939505555558" createdVersion="8" refreshedVersion="8" minRefreshableVersion="3" recordCount="1500" xr:uid="{414208C3-E753-4DE4-BAB1-FC6AE217E0D7}">
  <cacheSource type="worksheet">
    <worksheetSource name="Delivery_data"/>
  </cacheSource>
  <cacheFields count="18">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acheField>
    <cacheField name="Order Status" numFmtId="0">
      <sharedItems count="2">
        <s v="In Progress"/>
        <s v="Completed"/>
      </sharedItems>
    </cacheField>
    <cacheField name="Driver ID" numFmtId="0">
      <sharedItems count="100">
        <s v="D1"/>
        <s v="D91"/>
        <s v="D53"/>
        <s v="D54"/>
        <s v="D14"/>
        <s v="D59"/>
        <s v="D15"/>
        <s v="D89"/>
        <s v="D69"/>
        <s v="D41"/>
        <s v="D29"/>
        <s v="D70"/>
        <s v="D17"/>
        <s v="D18"/>
        <s v="D34"/>
        <s v="D58"/>
        <s v="D79"/>
        <s v="D4"/>
        <s v="D72"/>
        <s v="D24"/>
        <s v="D48"/>
        <s v="D39"/>
        <s v="D19"/>
        <s v="D7"/>
        <s v="D20"/>
        <s v="D52"/>
        <s v="D8"/>
        <s v="D5"/>
        <s v="D64"/>
        <s v="D73"/>
        <s v="D25"/>
        <s v="D66"/>
        <s v="D16"/>
        <s v="D22"/>
        <s v="D2"/>
        <s v="D3"/>
        <s v="D83"/>
        <s v="D75"/>
        <s v="D33"/>
        <s v="D57"/>
        <s v="D65"/>
        <s v="D26"/>
        <s v="D97"/>
        <s v="D81"/>
        <s v="D87"/>
        <s v="D37"/>
        <s v="D96"/>
        <s v="D55"/>
        <s v="D13"/>
        <s v="D80"/>
        <s v="D47"/>
        <s v="D95"/>
        <s v="D86"/>
        <s v="D45"/>
        <s v="D50"/>
        <s v="D76"/>
        <s v="D98"/>
        <s v="D68"/>
        <s v="D60"/>
        <s v="D71"/>
        <s v="D46"/>
        <s v="D74"/>
        <s v="D99"/>
        <s v="D9"/>
        <s v="D77"/>
        <s v="D30"/>
        <s v="D44"/>
        <s v="D40"/>
        <s v="D43"/>
        <s v="D88"/>
        <s v="D85"/>
        <s v="D93"/>
        <s v="D100"/>
        <s v="D49"/>
        <s v="D28"/>
        <s v="D51"/>
        <s v="D78"/>
        <s v="D94"/>
        <s v="D61"/>
        <s v="D90"/>
        <s v="D63"/>
        <s v="D35"/>
        <s v="D27"/>
        <s v="D32"/>
        <s v="D82"/>
        <s v="D21"/>
        <s v="D36"/>
        <s v="D6"/>
        <s v="D12"/>
        <s v="D62"/>
        <s v="D42"/>
        <s v="D56"/>
        <s v="D11"/>
        <s v="D92"/>
        <s v="D38"/>
        <s v="D10"/>
        <s v="D67"/>
        <s v="D31"/>
        <s v="D23"/>
        <s v="D84"/>
      </sharedItems>
    </cacheField>
    <cacheField name="Vehicle Info" numFmtId="0">
      <sharedItems/>
    </cacheField>
    <cacheField name="Current Location" numFmtId="0">
      <sharedItems count="5">
        <s v="CityB"/>
        <s v="CityE"/>
        <s v="CityD"/>
        <s v="CityA"/>
        <s v="CityC"/>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Negative"/>
        <s v="Positive"/>
      </sharedItems>
    </cacheField>
    <cacheField name="Route" numFmtId="0">
      <sharedItems count="5">
        <s v="Route5"/>
        <s v="Route4"/>
        <s v="Route1"/>
        <s v="Route2"/>
        <s v="Route3"/>
      </sharedItems>
    </cacheField>
    <cacheField name="Delivery Zone" numFmtId="0">
      <sharedItems count="3">
        <s v="Zone3"/>
        <s v="Zone2"/>
        <s v="Zone1"/>
      </sharedItems>
    </cacheField>
    <cacheField name="Allocation Rules" numFmtId="0">
      <sharedItems/>
    </cacheField>
    <cacheField name="On Time" numFmtId="0">
      <sharedItems containsSemiMixedTypes="0" containsString="0" containsNumber="1" containsInteger="1" minValue="0" maxValue="1"/>
    </cacheField>
    <cacheField name="Creative Positive Feedback" numFmtId="0">
      <sharedItems containsSemiMixedTypes="0" containsString="0" containsNumber="1" containsInteger="1" minValue="0" maxValue="1"/>
    </cacheField>
    <cacheField name="Order Date" numFmtId="14">
      <sharedItems containsSemiMixedTypes="0" containsNonDate="0" containsDate="1" containsString="0" minDate="2023-09-01T00:00:00" maxDate="2023-09-09T00:00:00" count="8">
        <d v="2023-09-03T00:00:00"/>
        <d v="2023-09-06T00:00:00"/>
        <d v="2023-09-04T00:00:00"/>
        <d v="2023-09-07T00:00:00"/>
        <d v="2023-09-02T00:00:00"/>
        <d v="2023-09-08T00:00:00"/>
        <d v="2023-09-01T00:00:00"/>
        <d v="2023-09-05T00:00:00"/>
      </sharedItems>
    </cacheField>
    <cacheField name="Backlog Age (days)" numFmtId="0">
      <sharedItems containsMixedTypes="1" containsNumber="1" containsInteger="1" minValue="805" maxValue="812"/>
    </cacheField>
    <cacheField name="Late help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02130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11"/>
    <s v="718 Pine St, CityD"/>
    <d v="2023-09-03T10:17:00"/>
    <x v="0"/>
    <x v="0"/>
    <s v="Van A"/>
    <x v="0"/>
    <n v="203"/>
    <n v="24"/>
    <x v="0"/>
    <x v="0"/>
    <x v="0"/>
    <s v="Custom Rules"/>
    <n v="0"/>
    <n v="0"/>
    <x v="0"/>
    <n v="810"/>
    <n v="1"/>
  </r>
  <r>
    <n v="1022"/>
    <s v="571 Main St, CityC"/>
    <d v="2023-09-06T12:05:00"/>
    <x v="1"/>
    <x v="1"/>
    <s v="Van A"/>
    <x v="0"/>
    <n v="232"/>
    <n v="21"/>
    <x v="1"/>
    <x v="1"/>
    <x v="1"/>
    <s v="Expedited Rules"/>
    <n v="0"/>
    <n v="0"/>
    <x v="1"/>
    <s v=""/>
    <n v="1"/>
  </r>
  <r>
    <n v="1024"/>
    <s v="987 Cedar St, CityA"/>
    <d v="2023-09-06T15:11:00"/>
    <x v="1"/>
    <x v="2"/>
    <s v="Van A"/>
    <x v="0"/>
    <n v="78"/>
    <n v="29"/>
    <x v="0"/>
    <x v="2"/>
    <x v="1"/>
    <s v="Custom Rules"/>
    <n v="0"/>
    <n v="0"/>
    <x v="1"/>
    <s v=""/>
    <n v="1"/>
  </r>
  <r>
    <n v="1048"/>
    <s v="145 Elm St, CityD"/>
    <d v="2023-09-04T13:39:00"/>
    <x v="0"/>
    <x v="0"/>
    <s v="Van A"/>
    <x v="0"/>
    <n v="173"/>
    <n v="8"/>
    <x v="2"/>
    <x v="1"/>
    <x v="0"/>
    <s v="Custom Rules"/>
    <n v="0"/>
    <n v="1"/>
    <x v="2"/>
    <n v="809"/>
    <n v="1"/>
  </r>
  <r>
    <n v="1056"/>
    <s v="659 Elm St, CityC"/>
    <d v="2023-09-07T10:29:00"/>
    <x v="0"/>
    <x v="3"/>
    <s v="Van A"/>
    <x v="0"/>
    <n v="235"/>
    <n v="23"/>
    <x v="1"/>
    <x v="3"/>
    <x v="0"/>
    <s v="Standard Rules"/>
    <n v="0"/>
    <n v="0"/>
    <x v="3"/>
    <n v="806"/>
    <n v="1"/>
  </r>
  <r>
    <n v="1061"/>
    <s v="503 Main St, CityD"/>
    <d v="2023-09-06T16:33:00"/>
    <x v="1"/>
    <x v="4"/>
    <s v="Van A"/>
    <x v="0"/>
    <n v="163"/>
    <n v="25"/>
    <x v="0"/>
    <x v="2"/>
    <x v="2"/>
    <s v="Custom Rules"/>
    <n v="0"/>
    <n v="0"/>
    <x v="1"/>
    <s v=""/>
    <n v="1"/>
  </r>
  <r>
    <n v="1067"/>
    <s v="970 Main St, CityC"/>
    <d v="2023-09-03T12:55:00"/>
    <x v="1"/>
    <x v="5"/>
    <s v="Van A"/>
    <x v="0"/>
    <n v="230"/>
    <n v="8"/>
    <x v="1"/>
    <x v="3"/>
    <x v="2"/>
    <s v="Custom Rules"/>
    <n v="0"/>
    <n v="0"/>
    <x v="0"/>
    <s v=""/>
    <n v="1"/>
  </r>
  <r>
    <n v="1068"/>
    <s v="914 Cedar St, CityE"/>
    <d v="2023-09-06T10:31:00"/>
    <x v="1"/>
    <x v="6"/>
    <s v="Van A"/>
    <x v="0"/>
    <n v="231"/>
    <n v="12"/>
    <x v="1"/>
    <x v="2"/>
    <x v="1"/>
    <s v="Standard Rules"/>
    <n v="0"/>
    <n v="0"/>
    <x v="1"/>
    <s v=""/>
    <n v="1"/>
  </r>
  <r>
    <n v="1085"/>
    <s v="381 Pine St, CityA"/>
    <d v="2023-09-03T14:35:00"/>
    <x v="0"/>
    <x v="7"/>
    <s v="Van A"/>
    <x v="0"/>
    <n v="111"/>
    <n v="6"/>
    <x v="0"/>
    <x v="0"/>
    <x v="0"/>
    <s v="Custom Rules"/>
    <n v="0"/>
    <n v="0"/>
    <x v="0"/>
    <n v="810"/>
    <n v="1"/>
  </r>
  <r>
    <n v="1096"/>
    <s v="713 Pine St, CityB"/>
    <d v="2023-09-02T10:45:00"/>
    <x v="1"/>
    <x v="8"/>
    <s v="Van A"/>
    <x v="0"/>
    <n v="201"/>
    <n v="5"/>
    <x v="2"/>
    <x v="4"/>
    <x v="2"/>
    <s v="Standard Rules"/>
    <n v="0"/>
    <n v="1"/>
    <x v="4"/>
    <s v=""/>
    <n v="1"/>
  </r>
  <r>
    <n v="1104"/>
    <s v="112 Main St, CityD"/>
    <d v="2023-09-08T11:45:00"/>
    <x v="0"/>
    <x v="9"/>
    <s v="Van A"/>
    <x v="0"/>
    <n v="162"/>
    <n v="24"/>
    <x v="0"/>
    <x v="2"/>
    <x v="1"/>
    <s v="Custom Rules"/>
    <n v="0"/>
    <n v="0"/>
    <x v="5"/>
    <n v="805"/>
    <n v="1"/>
  </r>
  <r>
    <n v="1107"/>
    <s v="131 Cedar St, CityA"/>
    <d v="2023-09-03T15:11:00"/>
    <x v="1"/>
    <x v="6"/>
    <s v="Van A"/>
    <x v="0"/>
    <n v="60"/>
    <n v="29"/>
    <x v="1"/>
    <x v="3"/>
    <x v="0"/>
    <s v="Custom Rules"/>
    <n v="0"/>
    <n v="0"/>
    <x v="0"/>
    <s v=""/>
    <n v="1"/>
  </r>
  <r>
    <n v="1153"/>
    <s v="44 Pine St, CityD"/>
    <d v="2023-09-08T15:33:00"/>
    <x v="1"/>
    <x v="10"/>
    <s v="Van A"/>
    <x v="0"/>
    <n v="162"/>
    <n v="13"/>
    <x v="2"/>
    <x v="2"/>
    <x v="0"/>
    <s v="Standard Rules"/>
    <n v="0"/>
    <n v="1"/>
    <x v="5"/>
    <s v=""/>
    <n v="1"/>
  </r>
  <r>
    <n v="1179"/>
    <s v="801 Elm St, CityB"/>
    <d v="2023-09-07T09:07:00"/>
    <x v="1"/>
    <x v="11"/>
    <s v="Van A"/>
    <x v="0"/>
    <n v="109"/>
    <n v="22"/>
    <x v="2"/>
    <x v="0"/>
    <x v="2"/>
    <s v="Custom Rules"/>
    <n v="0"/>
    <n v="1"/>
    <x v="3"/>
    <s v=""/>
    <n v="1"/>
  </r>
  <r>
    <n v="1180"/>
    <s v="422 Oak St, CityD"/>
    <d v="2023-09-03T14:06:00"/>
    <x v="0"/>
    <x v="12"/>
    <s v="Van A"/>
    <x v="0"/>
    <n v="82"/>
    <n v="3"/>
    <x v="1"/>
    <x v="1"/>
    <x v="0"/>
    <s v="Standard Rules"/>
    <n v="0"/>
    <n v="0"/>
    <x v="0"/>
    <n v="810"/>
    <n v="1"/>
  </r>
  <r>
    <n v="1182"/>
    <s v="324 Cedar St, CityE"/>
    <d v="2023-09-03T08:28:00"/>
    <x v="0"/>
    <x v="13"/>
    <s v="Van A"/>
    <x v="0"/>
    <n v="186"/>
    <n v="28"/>
    <x v="1"/>
    <x v="4"/>
    <x v="2"/>
    <s v="Custom Rules"/>
    <n v="0"/>
    <n v="0"/>
    <x v="0"/>
    <n v="810"/>
    <n v="1"/>
  </r>
  <r>
    <n v="1184"/>
    <s v="806 Main St, CityA"/>
    <d v="2023-09-04T11:12:00"/>
    <x v="1"/>
    <x v="14"/>
    <s v="Van A"/>
    <x v="0"/>
    <n v="171"/>
    <n v="4"/>
    <x v="2"/>
    <x v="0"/>
    <x v="0"/>
    <s v="Expedited Rules"/>
    <n v="0"/>
    <n v="1"/>
    <x v="2"/>
    <s v=""/>
    <n v="1"/>
  </r>
  <r>
    <n v="1198"/>
    <s v="644 Pine St, CityC"/>
    <d v="2023-09-07T13:46:00"/>
    <x v="0"/>
    <x v="15"/>
    <s v="Van A"/>
    <x v="0"/>
    <n v="72"/>
    <n v="25"/>
    <x v="1"/>
    <x v="4"/>
    <x v="0"/>
    <s v="Expedited Rules"/>
    <n v="0"/>
    <n v="0"/>
    <x v="3"/>
    <n v="806"/>
    <n v="1"/>
  </r>
  <r>
    <n v="1230"/>
    <s v="398 Main St, CityC"/>
    <d v="2023-09-08T11:16:00"/>
    <x v="1"/>
    <x v="16"/>
    <s v="Van A"/>
    <x v="0"/>
    <n v="205"/>
    <n v="3"/>
    <x v="1"/>
    <x v="1"/>
    <x v="1"/>
    <s v="Standard Rules"/>
    <n v="0"/>
    <n v="0"/>
    <x v="5"/>
    <s v=""/>
    <n v="1"/>
  </r>
  <r>
    <n v="1240"/>
    <s v="831 Elm St, CityA"/>
    <d v="2023-09-01T16:02:00"/>
    <x v="0"/>
    <x v="17"/>
    <s v="Van A"/>
    <x v="0"/>
    <n v="201"/>
    <n v="14"/>
    <x v="0"/>
    <x v="3"/>
    <x v="2"/>
    <s v="Expedited Rules"/>
    <n v="0"/>
    <n v="0"/>
    <x v="6"/>
    <n v="812"/>
    <n v="1"/>
  </r>
  <r>
    <n v="1244"/>
    <s v="885 Main St, CityA"/>
    <d v="2023-09-01T13:45:00"/>
    <x v="1"/>
    <x v="18"/>
    <s v="Van A"/>
    <x v="0"/>
    <n v="74"/>
    <n v="26"/>
    <x v="0"/>
    <x v="0"/>
    <x v="0"/>
    <s v="Expedited Rules"/>
    <n v="0"/>
    <n v="0"/>
    <x v="6"/>
    <s v=""/>
    <n v="1"/>
  </r>
  <r>
    <n v="1253"/>
    <s v="444 Elm St, CityB"/>
    <d v="2023-09-01T11:01:00"/>
    <x v="1"/>
    <x v="19"/>
    <s v="Van A"/>
    <x v="0"/>
    <n v="128"/>
    <n v="16"/>
    <x v="0"/>
    <x v="3"/>
    <x v="1"/>
    <s v="Custom Rules"/>
    <n v="0"/>
    <n v="0"/>
    <x v="6"/>
    <s v=""/>
    <n v="1"/>
  </r>
  <r>
    <n v="1255"/>
    <s v="329 Cedar St, CityB"/>
    <d v="2023-09-06T16:55:00"/>
    <x v="0"/>
    <x v="20"/>
    <s v="Van A"/>
    <x v="0"/>
    <n v="69"/>
    <n v="29"/>
    <x v="1"/>
    <x v="3"/>
    <x v="1"/>
    <s v="Standard Rules"/>
    <n v="0"/>
    <n v="0"/>
    <x v="1"/>
    <n v="807"/>
    <n v="1"/>
  </r>
  <r>
    <n v="1258"/>
    <s v="295 Cedar St, CityA"/>
    <d v="2023-09-01T11:07:00"/>
    <x v="0"/>
    <x v="21"/>
    <s v="Van A"/>
    <x v="0"/>
    <n v="75"/>
    <n v="22"/>
    <x v="2"/>
    <x v="0"/>
    <x v="2"/>
    <s v="Standard Rules"/>
    <n v="0"/>
    <n v="1"/>
    <x v="6"/>
    <n v="812"/>
    <n v="1"/>
  </r>
  <r>
    <n v="1259"/>
    <s v="454 Elm St, CityE"/>
    <d v="2023-09-04T13:12:00"/>
    <x v="0"/>
    <x v="22"/>
    <s v="Van A"/>
    <x v="0"/>
    <n v="226"/>
    <n v="14"/>
    <x v="2"/>
    <x v="1"/>
    <x v="0"/>
    <s v="Custom Rules"/>
    <n v="0"/>
    <n v="1"/>
    <x v="2"/>
    <n v="809"/>
    <n v="1"/>
  </r>
  <r>
    <n v="1263"/>
    <s v="997 Elm St, CityA"/>
    <d v="2023-09-02T09:22:00"/>
    <x v="0"/>
    <x v="14"/>
    <s v="Van A"/>
    <x v="0"/>
    <n v="75"/>
    <n v="15"/>
    <x v="1"/>
    <x v="3"/>
    <x v="2"/>
    <s v="Standard Rules"/>
    <n v="0"/>
    <n v="0"/>
    <x v="4"/>
    <n v="811"/>
    <n v="1"/>
  </r>
  <r>
    <n v="1274"/>
    <s v="353 Main St, CityE"/>
    <d v="2023-09-01T12:36:00"/>
    <x v="0"/>
    <x v="23"/>
    <s v="Van A"/>
    <x v="0"/>
    <n v="163"/>
    <n v="10"/>
    <x v="0"/>
    <x v="4"/>
    <x v="1"/>
    <s v="Expedited Rules"/>
    <n v="0"/>
    <n v="0"/>
    <x v="6"/>
    <n v="812"/>
    <n v="1"/>
  </r>
  <r>
    <n v="1288"/>
    <s v="890 Pine St, CityD"/>
    <d v="2023-09-03T11:14:00"/>
    <x v="0"/>
    <x v="24"/>
    <s v="Van A"/>
    <x v="0"/>
    <n v="125"/>
    <n v="24"/>
    <x v="1"/>
    <x v="3"/>
    <x v="0"/>
    <s v="Custom Rules"/>
    <n v="0"/>
    <n v="0"/>
    <x v="0"/>
    <n v="810"/>
    <n v="1"/>
  </r>
  <r>
    <n v="1290"/>
    <s v="430 Main St, CityB"/>
    <d v="2023-09-05T11:47:00"/>
    <x v="1"/>
    <x v="25"/>
    <s v="Van A"/>
    <x v="0"/>
    <n v="193"/>
    <n v="26"/>
    <x v="0"/>
    <x v="2"/>
    <x v="2"/>
    <s v="Custom Rules"/>
    <n v="0"/>
    <n v="0"/>
    <x v="7"/>
    <s v=""/>
    <n v="1"/>
  </r>
  <r>
    <n v="1295"/>
    <s v="608 Elm St, CityB"/>
    <d v="2023-09-08T15:03:00"/>
    <x v="1"/>
    <x v="26"/>
    <s v="Van A"/>
    <x v="0"/>
    <n v="99"/>
    <n v="12"/>
    <x v="2"/>
    <x v="0"/>
    <x v="2"/>
    <s v="Expedited Rules"/>
    <n v="0"/>
    <n v="1"/>
    <x v="5"/>
    <s v=""/>
    <n v="1"/>
  </r>
  <r>
    <n v="1298"/>
    <s v="346 Elm St, CityA"/>
    <d v="2023-09-03T08:53:00"/>
    <x v="0"/>
    <x v="27"/>
    <s v="Van A"/>
    <x v="0"/>
    <n v="155"/>
    <n v="3"/>
    <x v="2"/>
    <x v="2"/>
    <x v="0"/>
    <s v="Standard Rules"/>
    <n v="0"/>
    <n v="1"/>
    <x v="0"/>
    <n v="810"/>
    <n v="1"/>
  </r>
  <r>
    <n v="1305"/>
    <s v="985 Main St, CityA"/>
    <d v="2023-09-02T16:01:00"/>
    <x v="0"/>
    <x v="3"/>
    <s v="Van A"/>
    <x v="0"/>
    <n v="200"/>
    <n v="2"/>
    <x v="2"/>
    <x v="2"/>
    <x v="2"/>
    <s v="Custom Rules"/>
    <n v="0"/>
    <n v="1"/>
    <x v="4"/>
    <n v="811"/>
    <n v="1"/>
  </r>
  <r>
    <n v="1325"/>
    <s v="989 Oak St, CityE"/>
    <d v="2023-09-01T15:42:00"/>
    <x v="1"/>
    <x v="28"/>
    <s v="Van A"/>
    <x v="0"/>
    <n v="201"/>
    <n v="7"/>
    <x v="2"/>
    <x v="2"/>
    <x v="0"/>
    <s v="Expedited Rules"/>
    <n v="0"/>
    <n v="1"/>
    <x v="6"/>
    <s v=""/>
    <n v="1"/>
  </r>
  <r>
    <n v="1329"/>
    <s v="912 Main St, CityC"/>
    <d v="2023-09-06T14:07:00"/>
    <x v="1"/>
    <x v="29"/>
    <s v="Van A"/>
    <x v="0"/>
    <n v="191"/>
    <n v="9"/>
    <x v="2"/>
    <x v="2"/>
    <x v="2"/>
    <s v="Standard Rules"/>
    <n v="0"/>
    <n v="1"/>
    <x v="1"/>
    <s v=""/>
    <n v="1"/>
  </r>
  <r>
    <n v="1337"/>
    <s v="373 Main St, CityD"/>
    <d v="2023-09-07T08:56:00"/>
    <x v="1"/>
    <x v="30"/>
    <s v="Van A"/>
    <x v="0"/>
    <n v="67"/>
    <n v="2"/>
    <x v="2"/>
    <x v="0"/>
    <x v="2"/>
    <s v="Custom Rules"/>
    <n v="0"/>
    <n v="1"/>
    <x v="3"/>
    <s v=""/>
    <n v="1"/>
  </r>
  <r>
    <n v="1353"/>
    <s v="378 Pine St, CityB"/>
    <d v="2023-09-07T10:16:00"/>
    <x v="1"/>
    <x v="31"/>
    <s v="Van A"/>
    <x v="0"/>
    <n v="83"/>
    <n v="19"/>
    <x v="0"/>
    <x v="4"/>
    <x v="1"/>
    <s v="Expedited Rules"/>
    <n v="0"/>
    <n v="0"/>
    <x v="3"/>
    <s v=""/>
    <n v="1"/>
  </r>
  <r>
    <n v="1361"/>
    <s v="980 Main St, CityA"/>
    <d v="2023-09-07T15:46:00"/>
    <x v="1"/>
    <x v="32"/>
    <s v="Van A"/>
    <x v="0"/>
    <n v="189"/>
    <n v="3"/>
    <x v="2"/>
    <x v="3"/>
    <x v="2"/>
    <s v="Custom Rules"/>
    <n v="0"/>
    <n v="1"/>
    <x v="3"/>
    <s v=""/>
    <n v="1"/>
  </r>
  <r>
    <n v="1374"/>
    <s v="773 Oak St, CityC"/>
    <d v="2023-09-03T09:49:00"/>
    <x v="0"/>
    <x v="33"/>
    <s v="Van A"/>
    <x v="0"/>
    <n v="108"/>
    <n v="20"/>
    <x v="0"/>
    <x v="3"/>
    <x v="0"/>
    <s v="Custom Rules"/>
    <n v="0"/>
    <n v="0"/>
    <x v="0"/>
    <n v="810"/>
    <n v="1"/>
  </r>
  <r>
    <n v="1385"/>
    <s v="491 Main St, CityA"/>
    <d v="2023-09-08T14:44:00"/>
    <x v="1"/>
    <x v="22"/>
    <s v="Van A"/>
    <x v="0"/>
    <n v="192"/>
    <n v="14"/>
    <x v="1"/>
    <x v="3"/>
    <x v="0"/>
    <s v="Expedited Rules"/>
    <n v="0"/>
    <n v="0"/>
    <x v="5"/>
    <s v=""/>
    <n v="1"/>
  </r>
  <r>
    <n v="1393"/>
    <s v="604 Main St, CityB"/>
    <d v="2023-09-02T08:22:00"/>
    <x v="1"/>
    <x v="22"/>
    <s v="Van A"/>
    <x v="0"/>
    <n v="205"/>
    <n v="15"/>
    <x v="2"/>
    <x v="2"/>
    <x v="0"/>
    <s v="Expedited Rules"/>
    <n v="0"/>
    <n v="1"/>
    <x v="4"/>
    <s v=""/>
    <n v="1"/>
  </r>
  <r>
    <n v="1397"/>
    <s v="921 Elm St, CityD"/>
    <d v="2023-09-06T11:26:00"/>
    <x v="0"/>
    <x v="34"/>
    <s v="Van A"/>
    <x v="0"/>
    <n v="64"/>
    <n v="12"/>
    <x v="2"/>
    <x v="4"/>
    <x v="1"/>
    <s v="Custom Rules"/>
    <n v="0"/>
    <n v="1"/>
    <x v="1"/>
    <n v="807"/>
    <n v="1"/>
  </r>
  <r>
    <n v="1410"/>
    <s v="761 Elm St, CityB"/>
    <d v="2023-09-07T12:20:00"/>
    <x v="1"/>
    <x v="35"/>
    <s v="Van A"/>
    <x v="0"/>
    <n v="199"/>
    <n v="3"/>
    <x v="2"/>
    <x v="4"/>
    <x v="2"/>
    <s v="Custom Rules"/>
    <n v="0"/>
    <n v="1"/>
    <x v="3"/>
    <s v=""/>
    <n v="1"/>
  </r>
  <r>
    <n v="1424"/>
    <s v="632 Main St, CityA"/>
    <d v="2023-09-07T08:44:00"/>
    <x v="1"/>
    <x v="3"/>
    <s v="Van A"/>
    <x v="0"/>
    <n v="69"/>
    <n v="8"/>
    <x v="1"/>
    <x v="4"/>
    <x v="2"/>
    <s v="Custom Rules"/>
    <n v="0"/>
    <n v="0"/>
    <x v="3"/>
    <s v=""/>
    <n v="1"/>
  </r>
  <r>
    <n v="1425"/>
    <s v="874 Main St, CityE"/>
    <d v="2023-09-03T10:54:00"/>
    <x v="1"/>
    <x v="36"/>
    <s v="Van A"/>
    <x v="0"/>
    <n v="194"/>
    <n v="12"/>
    <x v="1"/>
    <x v="4"/>
    <x v="1"/>
    <s v="Standard Rules"/>
    <n v="0"/>
    <n v="0"/>
    <x v="0"/>
    <s v=""/>
    <n v="1"/>
  </r>
  <r>
    <n v="1448"/>
    <s v="919 Main St, CityA"/>
    <d v="2023-09-04T15:21:00"/>
    <x v="1"/>
    <x v="37"/>
    <s v="Van A"/>
    <x v="0"/>
    <n v="206"/>
    <n v="3"/>
    <x v="0"/>
    <x v="0"/>
    <x v="0"/>
    <s v="Standard Rules"/>
    <n v="0"/>
    <n v="0"/>
    <x v="2"/>
    <s v=""/>
    <n v="1"/>
  </r>
  <r>
    <n v="1475"/>
    <s v="350 Cedar St, CityB"/>
    <d v="2023-09-04T08:24:00"/>
    <x v="1"/>
    <x v="38"/>
    <s v="Van A"/>
    <x v="0"/>
    <n v="79"/>
    <n v="10"/>
    <x v="0"/>
    <x v="2"/>
    <x v="2"/>
    <s v="Custom Rules"/>
    <n v="0"/>
    <n v="0"/>
    <x v="2"/>
    <s v=""/>
    <n v="1"/>
  </r>
  <r>
    <n v="1479"/>
    <s v="514 Cedar St, CityA"/>
    <d v="2023-09-01T12:00:00"/>
    <x v="0"/>
    <x v="31"/>
    <s v="Van A"/>
    <x v="0"/>
    <n v="184"/>
    <n v="19"/>
    <x v="0"/>
    <x v="3"/>
    <x v="0"/>
    <s v="Custom Rules"/>
    <n v="0"/>
    <n v="0"/>
    <x v="6"/>
    <n v="812"/>
    <n v="1"/>
  </r>
  <r>
    <n v="1481"/>
    <s v="5 Oak St, CityE"/>
    <d v="2023-09-08T14:28:00"/>
    <x v="0"/>
    <x v="3"/>
    <s v="Van A"/>
    <x v="0"/>
    <n v="128"/>
    <n v="13"/>
    <x v="1"/>
    <x v="0"/>
    <x v="0"/>
    <s v="Expedited Rules"/>
    <n v="0"/>
    <n v="0"/>
    <x v="5"/>
    <n v="805"/>
    <n v="1"/>
  </r>
  <r>
    <n v="1498"/>
    <s v="303 Main St, CityB"/>
    <d v="2023-09-05T15:06:00"/>
    <x v="1"/>
    <x v="39"/>
    <s v="Van A"/>
    <x v="0"/>
    <n v="181"/>
    <n v="2"/>
    <x v="1"/>
    <x v="2"/>
    <x v="2"/>
    <s v="Standard Rules"/>
    <n v="0"/>
    <n v="0"/>
    <x v="7"/>
    <s v=""/>
    <n v="1"/>
  </r>
  <r>
    <n v="1500"/>
    <s v="260 Pine St, CityA"/>
    <d v="2023-09-04T12:24:00"/>
    <x v="0"/>
    <x v="18"/>
    <s v="Van A"/>
    <x v="0"/>
    <n v="85"/>
    <n v="7"/>
    <x v="2"/>
    <x v="1"/>
    <x v="1"/>
    <s v="Custom Rules"/>
    <n v="0"/>
    <n v="1"/>
    <x v="2"/>
    <n v="809"/>
    <n v="1"/>
  </r>
  <r>
    <n v="1510"/>
    <s v="882 Pine St, CityE"/>
    <d v="2023-09-01T11:11:00"/>
    <x v="0"/>
    <x v="12"/>
    <s v="Van A"/>
    <x v="0"/>
    <n v="209"/>
    <n v="9"/>
    <x v="1"/>
    <x v="0"/>
    <x v="2"/>
    <s v="Custom Rules"/>
    <n v="0"/>
    <n v="0"/>
    <x v="6"/>
    <n v="812"/>
    <n v="1"/>
  </r>
  <r>
    <n v="1516"/>
    <s v="487 Oak St, CityE"/>
    <d v="2023-09-07T08:04:00"/>
    <x v="1"/>
    <x v="25"/>
    <s v="Van A"/>
    <x v="0"/>
    <n v="172"/>
    <n v="3"/>
    <x v="1"/>
    <x v="0"/>
    <x v="1"/>
    <s v="Standard Rules"/>
    <n v="0"/>
    <n v="0"/>
    <x v="3"/>
    <s v=""/>
    <n v="1"/>
  </r>
  <r>
    <n v="1540"/>
    <s v="310 Elm St, CityB"/>
    <d v="2023-09-07T09:00:00"/>
    <x v="0"/>
    <x v="40"/>
    <s v="Van A"/>
    <x v="0"/>
    <n v="231"/>
    <n v="16"/>
    <x v="2"/>
    <x v="3"/>
    <x v="2"/>
    <s v="Expedited Rules"/>
    <n v="0"/>
    <n v="1"/>
    <x v="3"/>
    <n v="806"/>
    <n v="1"/>
  </r>
  <r>
    <n v="1551"/>
    <s v="719 Pine St, CityA"/>
    <d v="2023-09-08T10:24:00"/>
    <x v="0"/>
    <x v="22"/>
    <s v="Van A"/>
    <x v="0"/>
    <n v="173"/>
    <n v="4"/>
    <x v="1"/>
    <x v="2"/>
    <x v="2"/>
    <s v="Custom Rules"/>
    <n v="0"/>
    <n v="0"/>
    <x v="5"/>
    <n v="805"/>
    <n v="1"/>
  </r>
  <r>
    <n v="1557"/>
    <s v="585 Elm St, CityB"/>
    <d v="2023-09-08T10:23:00"/>
    <x v="0"/>
    <x v="41"/>
    <s v="Van A"/>
    <x v="0"/>
    <n v="75"/>
    <n v="13"/>
    <x v="0"/>
    <x v="2"/>
    <x v="1"/>
    <s v="Expedited Rules"/>
    <n v="0"/>
    <n v="0"/>
    <x v="5"/>
    <n v="805"/>
    <n v="1"/>
  </r>
  <r>
    <n v="1563"/>
    <s v="151 Oak St, CityB"/>
    <d v="2023-09-05T14:00:00"/>
    <x v="1"/>
    <x v="22"/>
    <s v="Van A"/>
    <x v="0"/>
    <n v="69"/>
    <n v="14"/>
    <x v="1"/>
    <x v="3"/>
    <x v="1"/>
    <s v="Expedited Rules"/>
    <n v="0"/>
    <n v="0"/>
    <x v="7"/>
    <s v=""/>
    <n v="1"/>
  </r>
  <r>
    <n v="1564"/>
    <s v="765 Pine St, CityA"/>
    <d v="2023-09-01T09:35:00"/>
    <x v="0"/>
    <x v="34"/>
    <s v="Van A"/>
    <x v="0"/>
    <n v="210"/>
    <n v="1"/>
    <x v="0"/>
    <x v="3"/>
    <x v="1"/>
    <s v="Standard Rules"/>
    <n v="0"/>
    <n v="0"/>
    <x v="6"/>
    <n v="812"/>
    <n v="1"/>
  </r>
  <r>
    <n v="1600"/>
    <s v="946 Cedar St, CityE"/>
    <d v="2023-09-06T08:50:00"/>
    <x v="1"/>
    <x v="25"/>
    <s v="Van A"/>
    <x v="0"/>
    <n v="110"/>
    <n v="20"/>
    <x v="1"/>
    <x v="4"/>
    <x v="0"/>
    <s v="Custom Rules"/>
    <n v="0"/>
    <n v="0"/>
    <x v="1"/>
    <s v=""/>
    <n v="1"/>
  </r>
  <r>
    <n v="1607"/>
    <s v="896 Oak St, CityE"/>
    <d v="2023-09-08T13:14:00"/>
    <x v="1"/>
    <x v="42"/>
    <s v="Van A"/>
    <x v="0"/>
    <n v="61"/>
    <n v="27"/>
    <x v="0"/>
    <x v="0"/>
    <x v="1"/>
    <s v="Standard Rules"/>
    <n v="0"/>
    <n v="0"/>
    <x v="5"/>
    <s v=""/>
    <n v="1"/>
  </r>
  <r>
    <n v="1609"/>
    <s v="950 Oak St, CityB"/>
    <d v="2023-09-01T11:02:00"/>
    <x v="0"/>
    <x v="43"/>
    <s v="Van A"/>
    <x v="0"/>
    <n v="114"/>
    <n v="15"/>
    <x v="1"/>
    <x v="2"/>
    <x v="0"/>
    <s v="Expedited Rules"/>
    <n v="0"/>
    <n v="0"/>
    <x v="6"/>
    <n v="812"/>
    <n v="1"/>
  </r>
  <r>
    <n v="1616"/>
    <s v="912 Elm St, CityC"/>
    <d v="2023-09-07T16:29:00"/>
    <x v="0"/>
    <x v="5"/>
    <s v="Van A"/>
    <x v="0"/>
    <n v="129"/>
    <n v="16"/>
    <x v="1"/>
    <x v="3"/>
    <x v="0"/>
    <s v="Custom Rules"/>
    <n v="0"/>
    <n v="0"/>
    <x v="3"/>
    <n v="806"/>
    <n v="1"/>
  </r>
  <r>
    <n v="1619"/>
    <s v="818 Pine St, CityE"/>
    <d v="2023-09-08T12:17:00"/>
    <x v="0"/>
    <x v="44"/>
    <s v="Van A"/>
    <x v="0"/>
    <n v="193"/>
    <n v="2"/>
    <x v="1"/>
    <x v="0"/>
    <x v="1"/>
    <s v="Expedited Rules"/>
    <n v="0"/>
    <n v="0"/>
    <x v="5"/>
    <n v="805"/>
    <n v="1"/>
  </r>
  <r>
    <n v="1630"/>
    <s v="403 Main St, CityA"/>
    <d v="2023-09-04T15:16:00"/>
    <x v="0"/>
    <x v="34"/>
    <s v="Van A"/>
    <x v="0"/>
    <n v="133"/>
    <n v="16"/>
    <x v="0"/>
    <x v="4"/>
    <x v="2"/>
    <s v="Custom Rules"/>
    <n v="0"/>
    <n v="0"/>
    <x v="2"/>
    <n v="809"/>
    <n v="1"/>
  </r>
  <r>
    <n v="1654"/>
    <s v="826 Pine St, CityB"/>
    <d v="2023-09-02T11:06:00"/>
    <x v="1"/>
    <x v="32"/>
    <s v="Van A"/>
    <x v="0"/>
    <n v="146"/>
    <n v="27"/>
    <x v="0"/>
    <x v="3"/>
    <x v="2"/>
    <s v="Custom Rules"/>
    <n v="0"/>
    <n v="0"/>
    <x v="4"/>
    <s v=""/>
    <n v="1"/>
  </r>
  <r>
    <n v="1694"/>
    <s v="162 Elm St, CityB"/>
    <d v="2023-09-08T08:26:00"/>
    <x v="0"/>
    <x v="17"/>
    <s v="Van A"/>
    <x v="0"/>
    <n v="173"/>
    <n v="15"/>
    <x v="0"/>
    <x v="2"/>
    <x v="2"/>
    <s v="Expedited Rules"/>
    <n v="0"/>
    <n v="0"/>
    <x v="5"/>
    <n v="805"/>
    <n v="1"/>
  </r>
  <r>
    <n v="1702"/>
    <s v="955 Oak St, CityD"/>
    <d v="2023-09-05T11:36:00"/>
    <x v="1"/>
    <x v="45"/>
    <s v="Van A"/>
    <x v="0"/>
    <n v="69"/>
    <n v="2"/>
    <x v="2"/>
    <x v="4"/>
    <x v="0"/>
    <s v="Standard Rules"/>
    <n v="0"/>
    <n v="1"/>
    <x v="7"/>
    <s v=""/>
    <n v="1"/>
  </r>
  <r>
    <n v="1732"/>
    <s v="542 Pine St, CityD"/>
    <d v="2023-09-03T14:42:00"/>
    <x v="1"/>
    <x v="15"/>
    <s v="Van A"/>
    <x v="0"/>
    <n v="204"/>
    <n v="3"/>
    <x v="1"/>
    <x v="3"/>
    <x v="0"/>
    <s v="Standard Rules"/>
    <n v="0"/>
    <n v="0"/>
    <x v="0"/>
    <s v=""/>
    <n v="1"/>
  </r>
  <r>
    <n v="1736"/>
    <s v="806 Cedar St, CityE"/>
    <d v="2023-09-08T12:29:00"/>
    <x v="0"/>
    <x v="0"/>
    <s v="Van A"/>
    <x v="0"/>
    <n v="100"/>
    <n v="26"/>
    <x v="0"/>
    <x v="3"/>
    <x v="2"/>
    <s v="Standard Rules"/>
    <n v="0"/>
    <n v="0"/>
    <x v="5"/>
    <n v="805"/>
    <n v="1"/>
  </r>
  <r>
    <n v="1755"/>
    <s v="134 Pine St, CityA"/>
    <d v="2023-09-07T09:35:00"/>
    <x v="0"/>
    <x v="2"/>
    <s v="Van A"/>
    <x v="0"/>
    <n v="143"/>
    <n v="11"/>
    <x v="1"/>
    <x v="2"/>
    <x v="0"/>
    <s v="Standard Rules"/>
    <n v="0"/>
    <n v="0"/>
    <x v="3"/>
    <n v="806"/>
    <n v="1"/>
  </r>
  <r>
    <n v="1761"/>
    <s v="841 Cedar St, CityE"/>
    <d v="2023-09-01T15:10:00"/>
    <x v="1"/>
    <x v="35"/>
    <s v="Van A"/>
    <x v="0"/>
    <n v="207"/>
    <n v="6"/>
    <x v="0"/>
    <x v="0"/>
    <x v="2"/>
    <s v="Custom Rules"/>
    <n v="0"/>
    <n v="0"/>
    <x v="6"/>
    <s v=""/>
    <n v="1"/>
  </r>
  <r>
    <n v="1776"/>
    <s v="683 Cedar St, CityE"/>
    <d v="2023-09-03T15:22:00"/>
    <x v="1"/>
    <x v="6"/>
    <s v="Van A"/>
    <x v="0"/>
    <n v="159"/>
    <n v="22"/>
    <x v="2"/>
    <x v="0"/>
    <x v="1"/>
    <s v="Expedited Rules"/>
    <n v="0"/>
    <n v="1"/>
    <x v="0"/>
    <s v=""/>
    <n v="1"/>
  </r>
  <r>
    <n v="1790"/>
    <s v="272 Pine St, CityA"/>
    <d v="2023-09-07T15:19:00"/>
    <x v="1"/>
    <x v="6"/>
    <s v="Van A"/>
    <x v="0"/>
    <n v="146"/>
    <n v="29"/>
    <x v="2"/>
    <x v="1"/>
    <x v="0"/>
    <s v="Expedited Rules"/>
    <n v="0"/>
    <n v="1"/>
    <x v="3"/>
    <s v=""/>
    <n v="1"/>
  </r>
  <r>
    <n v="1814"/>
    <s v="167 Cedar St, CityD"/>
    <d v="2023-09-03T10:54:00"/>
    <x v="0"/>
    <x v="46"/>
    <s v="Van A"/>
    <x v="0"/>
    <n v="238"/>
    <n v="27"/>
    <x v="1"/>
    <x v="1"/>
    <x v="0"/>
    <s v="Custom Rules"/>
    <n v="0"/>
    <n v="0"/>
    <x v="0"/>
    <n v="810"/>
    <n v="1"/>
  </r>
  <r>
    <n v="1820"/>
    <s v="316 Elm St, CityD"/>
    <d v="2023-09-03T12:43:00"/>
    <x v="1"/>
    <x v="43"/>
    <s v="Van A"/>
    <x v="0"/>
    <n v="136"/>
    <n v="22"/>
    <x v="1"/>
    <x v="3"/>
    <x v="2"/>
    <s v="Standard Rules"/>
    <n v="0"/>
    <n v="0"/>
    <x v="0"/>
    <s v=""/>
    <n v="1"/>
  </r>
  <r>
    <n v="1821"/>
    <s v="901 Pine St, CityD"/>
    <d v="2023-09-01T09:43:00"/>
    <x v="0"/>
    <x v="47"/>
    <s v="Van A"/>
    <x v="0"/>
    <n v="142"/>
    <n v="2"/>
    <x v="0"/>
    <x v="0"/>
    <x v="1"/>
    <s v="Custom Rules"/>
    <n v="0"/>
    <n v="0"/>
    <x v="6"/>
    <n v="812"/>
    <n v="1"/>
  </r>
  <r>
    <n v="1832"/>
    <s v="182 Main St, CityB"/>
    <d v="2023-09-05T11:15:00"/>
    <x v="1"/>
    <x v="34"/>
    <s v="Van A"/>
    <x v="0"/>
    <n v="171"/>
    <n v="28"/>
    <x v="2"/>
    <x v="2"/>
    <x v="2"/>
    <s v="Custom Rules"/>
    <n v="0"/>
    <n v="1"/>
    <x v="7"/>
    <s v=""/>
    <n v="1"/>
  </r>
  <r>
    <n v="1888"/>
    <s v="544 Pine St, CityE"/>
    <d v="2023-09-06T08:59:00"/>
    <x v="1"/>
    <x v="48"/>
    <s v="Van A"/>
    <x v="0"/>
    <n v="222"/>
    <n v="27"/>
    <x v="0"/>
    <x v="1"/>
    <x v="0"/>
    <s v="Expedited Rules"/>
    <n v="0"/>
    <n v="0"/>
    <x v="1"/>
    <s v=""/>
    <n v="1"/>
  </r>
  <r>
    <n v="1889"/>
    <s v="605 Cedar St, CityE"/>
    <d v="2023-09-08T10:52:00"/>
    <x v="0"/>
    <x v="46"/>
    <s v="Van A"/>
    <x v="0"/>
    <n v="91"/>
    <n v="28"/>
    <x v="1"/>
    <x v="4"/>
    <x v="1"/>
    <s v="Custom Rules"/>
    <n v="0"/>
    <n v="0"/>
    <x v="5"/>
    <n v="805"/>
    <n v="1"/>
  </r>
  <r>
    <n v="1910"/>
    <s v="509 Cedar St, CityB"/>
    <d v="2023-09-04T11:58:00"/>
    <x v="1"/>
    <x v="49"/>
    <s v="Van A"/>
    <x v="0"/>
    <n v="204"/>
    <n v="17"/>
    <x v="1"/>
    <x v="3"/>
    <x v="0"/>
    <s v="Expedited Rules"/>
    <n v="0"/>
    <n v="0"/>
    <x v="2"/>
    <s v=""/>
    <n v="1"/>
  </r>
  <r>
    <n v="1913"/>
    <s v="948 Pine St, CityE"/>
    <d v="2023-09-03T16:38:00"/>
    <x v="0"/>
    <x v="11"/>
    <s v="Van A"/>
    <x v="0"/>
    <n v="68"/>
    <n v="14"/>
    <x v="0"/>
    <x v="0"/>
    <x v="1"/>
    <s v="Custom Rules"/>
    <n v="0"/>
    <n v="0"/>
    <x v="0"/>
    <n v="810"/>
    <n v="1"/>
  </r>
  <r>
    <n v="1924"/>
    <s v="556 Cedar St, CityA"/>
    <d v="2023-09-03T16:51:00"/>
    <x v="0"/>
    <x v="37"/>
    <s v="Van A"/>
    <x v="0"/>
    <n v="115"/>
    <n v="9"/>
    <x v="2"/>
    <x v="0"/>
    <x v="2"/>
    <s v="Custom Rules"/>
    <n v="0"/>
    <n v="1"/>
    <x v="0"/>
    <n v="810"/>
    <n v="1"/>
  </r>
  <r>
    <n v="1928"/>
    <s v="117 Pine St, CityC"/>
    <d v="2023-09-04T09:22:00"/>
    <x v="1"/>
    <x v="50"/>
    <s v="Van A"/>
    <x v="0"/>
    <n v="205"/>
    <n v="14"/>
    <x v="0"/>
    <x v="4"/>
    <x v="2"/>
    <s v="Standard Rules"/>
    <n v="0"/>
    <n v="0"/>
    <x v="2"/>
    <s v=""/>
    <n v="1"/>
  </r>
  <r>
    <n v="1933"/>
    <s v="808 Main St, CityC"/>
    <d v="2023-09-04T14:30:00"/>
    <x v="0"/>
    <x v="31"/>
    <s v="Van A"/>
    <x v="0"/>
    <n v="85"/>
    <n v="22"/>
    <x v="0"/>
    <x v="3"/>
    <x v="1"/>
    <s v="Expedited Rules"/>
    <n v="0"/>
    <n v="0"/>
    <x v="2"/>
    <n v="809"/>
    <n v="1"/>
  </r>
  <r>
    <n v="1935"/>
    <s v="559 Oak St, CityA"/>
    <d v="2023-09-04T10:09:00"/>
    <x v="1"/>
    <x v="40"/>
    <s v="Van A"/>
    <x v="0"/>
    <n v="188"/>
    <n v="15"/>
    <x v="0"/>
    <x v="3"/>
    <x v="0"/>
    <s v="Custom Rules"/>
    <n v="0"/>
    <n v="0"/>
    <x v="2"/>
    <s v=""/>
    <n v="1"/>
  </r>
  <r>
    <n v="1950"/>
    <s v="464 Elm St, CityA"/>
    <d v="2023-09-06T08:31:00"/>
    <x v="1"/>
    <x v="51"/>
    <s v="Van A"/>
    <x v="0"/>
    <n v="65"/>
    <n v="20"/>
    <x v="1"/>
    <x v="1"/>
    <x v="1"/>
    <s v="Standard Rules"/>
    <n v="0"/>
    <n v="0"/>
    <x v="1"/>
    <s v=""/>
    <n v="1"/>
  </r>
  <r>
    <n v="1964"/>
    <s v="962 Oak St, CityB"/>
    <d v="2023-09-02T12:04:00"/>
    <x v="1"/>
    <x v="42"/>
    <s v="Van A"/>
    <x v="0"/>
    <n v="130"/>
    <n v="18"/>
    <x v="1"/>
    <x v="1"/>
    <x v="2"/>
    <s v="Standard Rules"/>
    <n v="0"/>
    <n v="0"/>
    <x v="4"/>
    <s v=""/>
    <n v="1"/>
  </r>
  <r>
    <n v="1982"/>
    <s v="935 Main St, CityE"/>
    <d v="2023-09-03T11:05:00"/>
    <x v="1"/>
    <x v="52"/>
    <s v="Van A"/>
    <x v="0"/>
    <n v="155"/>
    <n v="24"/>
    <x v="2"/>
    <x v="1"/>
    <x v="0"/>
    <s v="Expedited Rules"/>
    <n v="0"/>
    <n v="1"/>
    <x v="0"/>
    <s v=""/>
    <n v="1"/>
  </r>
  <r>
    <n v="2004"/>
    <s v="441 Elm St, CityE"/>
    <d v="2023-09-08T15:37:00"/>
    <x v="1"/>
    <x v="45"/>
    <s v="Van A"/>
    <x v="0"/>
    <n v="147"/>
    <n v="9"/>
    <x v="0"/>
    <x v="0"/>
    <x v="2"/>
    <s v="Expedited Rules"/>
    <n v="0"/>
    <n v="0"/>
    <x v="5"/>
    <s v=""/>
    <n v="1"/>
  </r>
  <r>
    <n v="2022"/>
    <s v="983 Main St, CityE"/>
    <d v="2023-09-03T09:10:00"/>
    <x v="1"/>
    <x v="53"/>
    <s v="Van A"/>
    <x v="0"/>
    <n v="111"/>
    <n v="18"/>
    <x v="1"/>
    <x v="3"/>
    <x v="0"/>
    <s v="Standard Rules"/>
    <n v="0"/>
    <n v="0"/>
    <x v="0"/>
    <s v=""/>
    <n v="1"/>
  </r>
  <r>
    <n v="2040"/>
    <s v="182 Pine St, CityA"/>
    <d v="2023-09-07T13:32:00"/>
    <x v="1"/>
    <x v="32"/>
    <s v="Van A"/>
    <x v="0"/>
    <n v="237"/>
    <n v="7"/>
    <x v="2"/>
    <x v="3"/>
    <x v="2"/>
    <s v="Custom Rules"/>
    <n v="0"/>
    <n v="1"/>
    <x v="3"/>
    <s v=""/>
    <n v="1"/>
  </r>
  <r>
    <n v="2058"/>
    <s v="877 Cedar St, CityE"/>
    <d v="2023-09-06T10:57:00"/>
    <x v="0"/>
    <x v="54"/>
    <s v="Van A"/>
    <x v="0"/>
    <n v="127"/>
    <n v="22"/>
    <x v="2"/>
    <x v="4"/>
    <x v="1"/>
    <s v="Standard Rules"/>
    <n v="0"/>
    <n v="1"/>
    <x v="1"/>
    <n v="807"/>
    <n v="1"/>
  </r>
  <r>
    <n v="2063"/>
    <s v="582 Oak St, CityA"/>
    <d v="2023-09-06T11:21:00"/>
    <x v="0"/>
    <x v="26"/>
    <s v="Van A"/>
    <x v="0"/>
    <n v="135"/>
    <n v="24"/>
    <x v="1"/>
    <x v="0"/>
    <x v="2"/>
    <s v="Custom Rules"/>
    <n v="0"/>
    <n v="0"/>
    <x v="1"/>
    <n v="807"/>
    <n v="1"/>
  </r>
  <r>
    <n v="2070"/>
    <s v="640 Elm St, CityB"/>
    <d v="2023-09-04T09:04:00"/>
    <x v="1"/>
    <x v="55"/>
    <s v="Van A"/>
    <x v="0"/>
    <n v="207"/>
    <n v="5"/>
    <x v="1"/>
    <x v="4"/>
    <x v="2"/>
    <s v="Expedited Rules"/>
    <n v="0"/>
    <n v="0"/>
    <x v="2"/>
    <s v=""/>
    <n v="1"/>
  </r>
  <r>
    <n v="2080"/>
    <s v="698 Cedar St, CityD"/>
    <d v="2023-09-04T08:19:00"/>
    <x v="0"/>
    <x v="21"/>
    <s v="Van A"/>
    <x v="0"/>
    <n v="239"/>
    <n v="21"/>
    <x v="0"/>
    <x v="3"/>
    <x v="2"/>
    <s v="Standard Rules"/>
    <n v="0"/>
    <n v="0"/>
    <x v="2"/>
    <n v="809"/>
    <n v="1"/>
  </r>
  <r>
    <n v="2092"/>
    <s v="488 Oak St, CityE"/>
    <d v="2023-09-04T08:09:00"/>
    <x v="0"/>
    <x v="56"/>
    <s v="Van A"/>
    <x v="0"/>
    <n v="200"/>
    <n v="11"/>
    <x v="0"/>
    <x v="1"/>
    <x v="1"/>
    <s v="Standard Rules"/>
    <n v="0"/>
    <n v="0"/>
    <x v="2"/>
    <n v="809"/>
    <n v="1"/>
  </r>
  <r>
    <n v="2094"/>
    <s v="837 Elm St, CityD"/>
    <d v="2023-09-03T08:10:00"/>
    <x v="1"/>
    <x v="18"/>
    <s v="Van A"/>
    <x v="0"/>
    <n v="125"/>
    <n v="25"/>
    <x v="2"/>
    <x v="1"/>
    <x v="2"/>
    <s v="Standard Rules"/>
    <n v="0"/>
    <n v="1"/>
    <x v="0"/>
    <s v=""/>
    <n v="1"/>
  </r>
  <r>
    <n v="2100"/>
    <s v="570 Elm St, CityA"/>
    <d v="2023-09-03T11:00:00"/>
    <x v="1"/>
    <x v="43"/>
    <s v="Van A"/>
    <x v="0"/>
    <n v="79"/>
    <n v="11"/>
    <x v="0"/>
    <x v="3"/>
    <x v="0"/>
    <s v="Standard Rules"/>
    <n v="0"/>
    <n v="0"/>
    <x v="0"/>
    <s v=""/>
    <n v="1"/>
  </r>
  <r>
    <n v="2101"/>
    <s v="757 Main St, CityE"/>
    <d v="2023-09-06T08:08:00"/>
    <x v="1"/>
    <x v="42"/>
    <s v="Van A"/>
    <x v="0"/>
    <n v="90"/>
    <n v="20"/>
    <x v="1"/>
    <x v="0"/>
    <x v="1"/>
    <s v="Standard Rules"/>
    <n v="0"/>
    <n v="0"/>
    <x v="1"/>
    <s v=""/>
    <n v="1"/>
  </r>
  <r>
    <n v="2104"/>
    <s v="756 Main St, CityB"/>
    <d v="2023-09-04T11:01:00"/>
    <x v="0"/>
    <x v="56"/>
    <s v="Van A"/>
    <x v="0"/>
    <n v="191"/>
    <n v="23"/>
    <x v="1"/>
    <x v="2"/>
    <x v="2"/>
    <s v="Custom Rules"/>
    <n v="0"/>
    <n v="0"/>
    <x v="2"/>
    <n v="809"/>
    <n v="1"/>
  </r>
  <r>
    <n v="2113"/>
    <s v="176 Oak St, CityA"/>
    <d v="2023-09-06T10:17:00"/>
    <x v="0"/>
    <x v="14"/>
    <s v="Van A"/>
    <x v="0"/>
    <n v="110"/>
    <n v="14"/>
    <x v="2"/>
    <x v="1"/>
    <x v="1"/>
    <s v="Standard Rules"/>
    <n v="0"/>
    <n v="1"/>
    <x v="1"/>
    <n v="807"/>
    <n v="1"/>
  </r>
  <r>
    <n v="2120"/>
    <s v="906 Cedar St, CityE"/>
    <d v="2023-09-08T16:18:00"/>
    <x v="1"/>
    <x v="57"/>
    <s v="Van A"/>
    <x v="0"/>
    <n v="167"/>
    <n v="4"/>
    <x v="1"/>
    <x v="2"/>
    <x v="1"/>
    <s v="Expedited Rules"/>
    <n v="0"/>
    <n v="0"/>
    <x v="5"/>
    <s v=""/>
    <n v="1"/>
  </r>
  <r>
    <n v="2123"/>
    <s v="849 Cedar St, CityE"/>
    <d v="2023-09-03T10:42:00"/>
    <x v="1"/>
    <x v="34"/>
    <s v="Van A"/>
    <x v="0"/>
    <n v="117"/>
    <n v="6"/>
    <x v="1"/>
    <x v="1"/>
    <x v="1"/>
    <s v="Expedited Rules"/>
    <n v="0"/>
    <n v="0"/>
    <x v="0"/>
    <s v=""/>
    <n v="1"/>
  </r>
  <r>
    <n v="2128"/>
    <s v="621 Elm St, CityA"/>
    <d v="2023-09-05T15:20:00"/>
    <x v="0"/>
    <x v="39"/>
    <s v="Van A"/>
    <x v="0"/>
    <n v="141"/>
    <n v="24"/>
    <x v="1"/>
    <x v="2"/>
    <x v="1"/>
    <s v="Custom Rules"/>
    <n v="0"/>
    <n v="0"/>
    <x v="7"/>
    <n v="808"/>
    <n v="1"/>
  </r>
  <r>
    <n v="2149"/>
    <s v="453 Main St, CityD"/>
    <d v="2023-09-03T11:38:00"/>
    <x v="0"/>
    <x v="58"/>
    <s v="Van A"/>
    <x v="0"/>
    <n v="71"/>
    <n v="16"/>
    <x v="1"/>
    <x v="0"/>
    <x v="0"/>
    <s v="Expedited Rules"/>
    <n v="0"/>
    <n v="0"/>
    <x v="0"/>
    <n v="810"/>
    <n v="1"/>
  </r>
  <r>
    <n v="2158"/>
    <s v="493 Main St, CityD"/>
    <d v="2023-09-02T10:09:00"/>
    <x v="0"/>
    <x v="4"/>
    <s v="Van A"/>
    <x v="0"/>
    <n v="219"/>
    <n v="10"/>
    <x v="0"/>
    <x v="2"/>
    <x v="0"/>
    <s v="Standard Rules"/>
    <n v="0"/>
    <n v="0"/>
    <x v="4"/>
    <n v="811"/>
    <n v="1"/>
  </r>
  <r>
    <n v="2177"/>
    <s v="354 Oak St, CityA"/>
    <d v="2023-09-05T14:14:00"/>
    <x v="1"/>
    <x v="38"/>
    <s v="Van A"/>
    <x v="0"/>
    <n v="107"/>
    <n v="28"/>
    <x v="0"/>
    <x v="4"/>
    <x v="1"/>
    <s v="Custom Rules"/>
    <n v="0"/>
    <n v="0"/>
    <x v="7"/>
    <s v=""/>
    <n v="1"/>
  </r>
  <r>
    <n v="2181"/>
    <s v="242 Pine St, CityB"/>
    <d v="2023-09-07T10:01:00"/>
    <x v="1"/>
    <x v="32"/>
    <s v="Van A"/>
    <x v="0"/>
    <n v="89"/>
    <n v="28"/>
    <x v="1"/>
    <x v="3"/>
    <x v="0"/>
    <s v="Expedited Rules"/>
    <n v="0"/>
    <n v="0"/>
    <x v="3"/>
    <s v=""/>
    <n v="1"/>
  </r>
  <r>
    <n v="2200"/>
    <s v="641 Oak St, CityB"/>
    <d v="2023-09-04T08:17:00"/>
    <x v="1"/>
    <x v="59"/>
    <s v="Van A"/>
    <x v="0"/>
    <n v="163"/>
    <n v="9"/>
    <x v="2"/>
    <x v="2"/>
    <x v="2"/>
    <s v="Standard Rules"/>
    <n v="0"/>
    <n v="1"/>
    <x v="2"/>
    <s v=""/>
    <n v="1"/>
  </r>
  <r>
    <n v="2207"/>
    <s v="714 Pine St, CityE"/>
    <d v="2023-09-07T14:34:00"/>
    <x v="0"/>
    <x v="33"/>
    <s v="Van A"/>
    <x v="0"/>
    <n v="90"/>
    <n v="20"/>
    <x v="1"/>
    <x v="1"/>
    <x v="1"/>
    <s v="Custom Rules"/>
    <n v="0"/>
    <n v="0"/>
    <x v="3"/>
    <n v="806"/>
    <n v="1"/>
  </r>
  <r>
    <n v="2237"/>
    <s v="849 Cedar St, CityC"/>
    <d v="2023-09-01T09:47:00"/>
    <x v="1"/>
    <x v="39"/>
    <s v="Van A"/>
    <x v="0"/>
    <n v="123"/>
    <n v="13"/>
    <x v="0"/>
    <x v="0"/>
    <x v="1"/>
    <s v="Standard Rules"/>
    <n v="0"/>
    <n v="0"/>
    <x v="6"/>
    <s v=""/>
    <n v="1"/>
  </r>
  <r>
    <n v="2240"/>
    <s v="826 Main St, CityA"/>
    <d v="2023-09-01T10:45:00"/>
    <x v="1"/>
    <x v="60"/>
    <s v="Van A"/>
    <x v="0"/>
    <n v="169"/>
    <n v="8"/>
    <x v="1"/>
    <x v="1"/>
    <x v="2"/>
    <s v="Standard Rules"/>
    <n v="0"/>
    <n v="0"/>
    <x v="6"/>
    <s v=""/>
    <n v="1"/>
  </r>
  <r>
    <n v="2247"/>
    <s v="415 Oak St, CityB"/>
    <d v="2023-09-04T12:15:00"/>
    <x v="0"/>
    <x v="61"/>
    <s v="Van A"/>
    <x v="0"/>
    <n v="224"/>
    <n v="12"/>
    <x v="0"/>
    <x v="2"/>
    <x v="2"/>
    <s v="Custom Rules"/>
    <n v="0"/>
    <n v="0"/>
    <x v="2"/>
    <n v="809"/>
    <n v="1"/>
  </r>
  <r>
    <n v="2267"/>
    <s v="812 Oak St, CityB"/>
    <d v="2023-09-04T10:06:00"/>
    <x v="1"/>
    <x v="50"/>
    <s v="Van A"/>
    <x v="0"/>
    <n v="66"/>
    <n v="28"/>
    <x v="0"/>
    <x v="2"/>
    <x v="2"/>
    <s v="Standard Rules"/>
    <n v="0"/>
    <n v="0"/>
    <x v="2"/>
    <s v=""/>
    <n v="1"/>
  </r>
  <r>
    <n v="2271"/>
    <s v="655 Cedar St, CityC"/>
    <d v="2023-09-08T08:25:00"/>
    <x v="1"/>
    <x v="62"/>
    <s v="Van A"/>
    <x v="0"/>
    <n v="197"/>
    <n v="9"/>
    <x v="2"/>
    <x v="1"/>
    <x v="0"/>
    <s v="Standard Rules"/>
    <n v="0"/>
    <n v="1"/>
    <x v="5"/>
    <s v=""/>
    <n v="1"/>
  </r>
  <r>
    <n v="2279"/>
    <s v="152 Main St, CityB"/>
    <d v="2023-09-07T13:37:00"/>
    <x v="0"/>
    <x v="6"/>
    <s v="Van A"/>
    <x v="0"/>
    <n v="233"/>
    <n v="3"/>
    <x v="0"/>
    <x v="0"/>
    <x v="2"/>
    <s v="Expedited Rules"/>
    <n v="0"/>
    <n v="0"/>
    <x v="3"/>
    <n v="806"/>
    <n v="1"/>
  </r>
  <r>
    <n v="2289"/>
    <s v="532 Main St, CityA"/>
    <d v="2023-09-03T11:19:00"/>
    <x v="0"/>
    <x v="63"/>
    <s v="Van A"/>
    <x v="0"/>
    <n v="170"/>
    <n v="24"/>
    <x v="0"/>
    <x v="1"/>
    <x v="2"/>
    <s v="Standard Rules"/>
    <n v="0"/>
    <n v="0"/>
    <x v="0"/>
    <n v="810"/>
    <n v="1"/>
  </r>
  <r>
    <n v="2297"/>
    <s v="329 Elm St, CityA"/>
    <d v="2023-09-08T09:48:00"/>
    <x v="1"/>
    <x v="64"/>
    <s v="Van A"/>
    <x v="0"/>
    <n v="132"/>
    <n v="3"/>
    <x v="0"/>
    <x v="4"/>
    <x v="1"/>
    <s v="Custom Rules"/>
    <n v="0"/>
    <n v="0"/>
    <x v="5"/>
    <s v=""/>
    <n v="1"/>
  </r>
  <r>
    <n v="2320"/>
    <s v="725 Main St, CityC"/>
    <d v="2023-09-02T13:33:00"/>
    <x v="0"/>
    <x v="65"/>
    <s v="Van A"/>
    <x v="0"/>
    <n v="73"/>
    <n v="21"/>
    <x v="0"/>
    <x v="3"/>
    <x v="0"/>
    <s v="Standard Rules"/>
    <n v="0"/>
    <n v="0"/>
    <x v="4"/>
    <n v="811"/>
    <n v="1"/>
  </r>
  <r>
    <n v="2337"/>
    <s v="111 Elm St, CityB"/>
    <d v="2023-09-08T16:48:00"/>
    <x v="1"/>
    <x v="14"/>
    <s v="Van A"/>
    <x v="0"/>
    <n v="78"/>
    <n v="23"/>
    <x v="0"/>
    <x v="2"/>
    <x v="2"/>
    <s v="Custom Rules"/>
    <n v="0"/>
    <n v="0"/>
    <x v="5"/>
    <s v=""/>
    <n v="1"/>
  </r>
  <r>
    <n v="2341"/>
    <s v="638 Main St, CityE"/>
    <d v="2023-09-04T08:07:00"/>
    <x v="0"/>
    <x v="40"/>
    <s v="Van A"/>
    <x v="0"/>
    <n v="150"/>
    <n v="9"/>
    <x v="0"/>
    <x v="4"/>
    <x v="1"/>
    <s v="Standard Rules"/>
    <n v="0"/>
    <n v="0"/>
    <x v="2"/>
    <n v="809"/>
    <n v="1"/>
  </r>
  <r>
    <n v="2348"/>
    <s v="622 Elm St, CityC"/>
    <d v="2023-09-05T13:10:00"/>
    <x v="0"/>
    <x v="59"/>
    <s v="Van A"/>
    <x v="0"/>
    <n v="161"/>
    <n v="25"/>
    <x v="2"/>
    <x v="0"/>
    <x v="2"/>
    <s v="Standard Rules"/>
    <n v="0"/>
    <n v="1"/>
    <x v="7"/>
    <n v="808"/>
    <n v="1"/>
  </r>
  <r>
    <n v="2361"/>
    <s v="803 Cedar St, CityD"/>
    <d v="2023-09-04T13:23:00"/>
    <x v="1"/>
    <x v="48"/>
    <s v="Van A"/>
    <x v="0"/>
    <n v="168"/>
    <n v="12"/>
    <x v="0"/>
    <x v="1"/>
    <x v="0"/>
    <s v="Standard Rules"/>
    <n v="0"/>
    <n v="0"/>
    <x v="2"/>
    <s v=""/>
    <n v="1"/>
  </r>
  <r>
    <n v="2371"/>
    <s v="247 Cedar St, CityC"/>
    <d v="2023-09-02T09:59:00"/>
    <x v="1"/>
    <x v="66"/>
    <s v="Van A"/>
    <x v="0"/>
    <n v="107"/>
    <n v="24"/>
    <x v="1"/>
    <x v="1"/>
    <x v="1"/>
    <s v="Expedited Rules"/>
    <n v="0"/>
    <n v="0"/>
    <x v="4"/>
    <s v=""/>
    <n v="1"/>
  </r>
  <r>
    <n v="2405"/>
    <s v="788 Oak St, CityA"/>
    <d v="2023-09-06T16:04:00"/>
    <x v="1"/>
    <x v="4"/>
    <s v="Van A"/>
    <x v="0"/>
    <n v="238"/>
    <n v="16"/>
    <x v="1"/>
    <x v="1"/>
    <x v="0"/>
    <s v="Standard Rules"/>
    <n v="0"/>
    <n v="0"/>
    <x v="1"/>
    <s v=""/>
    <n v="1"/>
  </r>
  <r>
    <n v="2431"/>
    <s v="55 Elm St, CityD"/>
    <d v="2023-09-02T13:10:00"/>
    <x v="0"/>
    <x v="67"/>
    <s v="Van A"/>
    <x v="0"/>
    <n v="137"/>
    <n v="8"/>
    <x v="1"/>
    <x v="1"/>
    <x v="1"/>
    <s v="Standard Rules"/>
    <n v="0"/>
    <n v="0"/>
    <x v="4"/>
    <n v="811"/>
    <n v="1"/>
  </r>
  <r>
    <n v="2452"/>
    <s v="737 Pine St, CityD"/>
    <d v="2023-09-06T08:13:00"/>
    <x v="0"/>
    <x v="68"/>
    <s v="Van A"/>
    <x v="0"/>
    <n v="204"/>
    <n v="24"/>
    <x v="0"/>
    <x v="3"/>
    <x v="2"/>
    <s v="Custom Rules"/>
    <n v="0"/>
    <n v="0"/>
    <x v="1"/>
    <n v="807"/>
    <n v="1"/>
  </r>
  <r>
    <n v="2473"/>
    <s v="792 Oak St, CityB"/>
    <d v="2023-09-04T13:07:00"/>
    <x v="0"/>
    <x v="15"/>
    <s v="Van A"/>
    <x v="0"/>
    <n v="228"/>
    <n v="19"/>
    <x v="2"/>
    <x v="2"/>
    <x v="0"/>
    <s v="Custom Rules"/>
    <n v="0"/>
    <n v="1"/>
    <x v="2"/>
    <n v="809"/>
    <n v="1"/>
  </r>
  <r>
    <n v="2476"/>
    <s v="889 Main St, CityB"/>
    <d v="2023-09-02T16:45:00"/>
    <x v="0"/>
    <x v="69"/>
    <s v="Van A"/>
    <x v="0"/>
    <n v="197"/>
    <n v="15"/>
    <x v="1"/>
    <x v="3"/>
    <x v="0"/>
    <s v="Standard Rules"/>
    <n v="0"/>
    <n v="0"/>
    <x v="4"/>
    <n v="811"/>
    <n v="1"/>
  </r>
  <r>
    <n v="2487"/>
    <s v="469 Main St, CityD"/>
    <d v="2023-09-01T11:51:00"/>
    <x v="1"/>
    <x v="25"/>
    <s v="Van A"/>
    <x v="0"/>
    <n v="211"/>
    <n v="26"/>
    <x v="2"/>
    <x v="4"/>
    <x v="0"/>
    <s v="Standard Rules"/>
    <n v="0"/>
    <n v="1"/>
    <x v="6"/>
    <s v=""/>
    <n v="1"/>
  </r>
  <r>
    <n v="1001"/>
    <s v="884 Main St, CityE"/>
    <d v="2023-09-04T13:33:00"/>
    <x v="1"/>
    <x v="5"/>
    <s v="Van A"/>
    <x v="1"/>
    <n v="92"/>
    <n v="13"/>
    <x v="0"/>
    <x v="3"/>
    <x v="1"/>
    <s v="Custom Rules"/>
    <n v="0"/>
    <n v="0"/>
    <x v="2"/>
    <s v=""/>
    <n v="1"/>
  </r>
  <r>
    <n v="1006"/>
    <s v="255 Cedar St, CityB"/>
    <d v="2023-09-01T12:56:00"/>
    <x v="0"/>
    <x v="3"/>
    <s v="Van A"/>
    <x v="1"/>
    <n v="153"/>
    <n v="22"/>
    <x v="0"/>
    <x v="0"/>
    <x v="2"/>
    <s v="Standard Rules"/>
    <n v="0"/>
    <n v="0"/>
    <x v="6"/>
    <n v="812"/>
    <n v="1"/>
  </r>
  <r>
    <n v="1020"/>
    <s v="537 Oak St, CityA"/>
    <d v="2023-09-02T11:34:00"/>
    <x v="0"/>
    <x v="38"/>
    <s v="Van A"/>
    <x v="1"/>
    <n v="213"/>
    <n v="24"/>
    <x v="0"/>
    <x v="0"/>
    <x v="0"/>
    <s v="Custom Rules"/>
    <n v="0"/>
    <n v="0"/>
    <x v="4"/>
    <n v="811"/>
    <n v="1"/>
  </r>
  <r>
    <n v="1021"/>
    <s v="901 Cedar St, CityA"/>
    <d v="2023-09-03T13:25:00"/>
    <x v="0"/>
    <x v="63"/>
    <s v="Van A"/>
    <x v="1"/>
    <n v="94"/>
    <n v="24"/>
    <x v="1"/>
    <x v="4"/>
    <x v="2"/>
    <s v="Custom Rules"/>
    <n v="0"/>
    <n v="0"/>
    <x v="0"/>
    <n v="810"/>
    <n v="1"/>
  </r>
  <r>
    <n v="1042"/>
    <s v="198 Cedar St, CityB"/>
    <d v="2023-09-06T09:53:00"/>
    <x v="1"/>
    <x v="32"/>
    <s v="Van A"/>
    <x v="1"/>
    <n v="168"/>
    <n v="20"/>
    <x v="0"/>
    <x v="4"/>
    <x v="1"/>
    <s v="Custom Rules"/>
    <n v="0"/>
    <n v="0"/>
    <x v="1"/>
    <s v=""/>
    <n v="1"/>
  </r>
  <r>
    <n v="1054"/>
    <s v="577 Cedar St, CityE"/>
    <d v="2023-09-02T12:49:00"/>
    <x v="0"/>
    <x v="22"/>
    <s v="Van A"/>
    <x v="1"/>
    <n v="162"/>
    <n v="12"/>
    <x v="2"/>
    <x v="0"/>
    <x v="1"/>
    <s v="Expedited Rules"/>
    <n v="0"/>
    <n v="1"/>
    <x v="4"/>
    <n v="811"/>
    <n v="1"/>
  </r>
  <r>
    <n v="1087"/>
    <s v="253 Cedar St, CityC"/>
    <d v="2023-09-07T12:54:00"/>
    <x v="1"/>
    <x v="70"/>
    <s v="Van A"/>
    <x v="1"/>
    <n v="88"/>
    <n v="14"/>
    <x v="2"/>
    <x v="3"/>
    <x v="2"/>
    <s v="Custom Rules"/>
    <n v="0"/>
    <n v="1"/>
    <x v="3"/>
    <s v=""/>
    <n v="1"/>
  </r>
  <r>
    <n v="1102"/>
    <s v="292 Cedar St, CityC"/>
    <d v="2023-09-07T16:15:00"/>
    <x v="0"/>
    <x v="56"/>
    <s v="Van A"/>
    <x v="1"/>
    <n v="110"/>
    <n v="29"/>
    <x v="1"/>
    <x v="3"/>
    <x v="1"/>
    <s v="Standard Rules"/>
    <n v="0"/>
    <n v="0"/>
    <x v="3"/>
    <n v="806"/>
    <n v="1"/>
  </r>
  <r>
    <n v="1123"/>
    <s v="189 Elm St, CityC"/>
    <d v="2023-09-04T10:09:00"/>
    <x v="1"/>
    <x v="47"/>
    <s v="Van A"/>
    <x v="1"/>
    <n v="186"/>
    <n v="26"/>
    <x v="0"/>
    <x v="4"/>
    <x v="1"/>
    <s v="Custom Rules"/>
    <n v="0"/>
    <n v="0"/>
    <x v="2"/>
    <s v=""/>
    <n v="1"/>
  </r>
  <r>
    <n v="1161"/>
    <s v="682 Pine St, CityB"/>
    <d v="2023-09-02T09:29:00"/>
    <x v="1"/>
    <x v="15"/>
    <s v="Van A"/>
    <x v="1"/>
    <n v="188"/>
    <n v="2"/>
    <x v="1"/>
    <x v="0"/>
    <x v="0"/>
    <s v="Expedited Rules"/>
    <n v="0"/>
    <n v="0"/>
    <x v="4"/>
    <s v=""/>
    <n v="1"/>
  </r>
  <r>
    <n v="1195"/>
    <s v="426 Main St, CityE"/>
    <d v="2023-09-05T10:09:00"/>
    <x v="1"/>
    <x v="71"/>
    <s v="Van A"/>
    <x v="1"/>
    <n v="146"/>
    <n v="12"/>
    <x v="0"/>
    <x v="2"/>
    <x v="1"/>
    <s v="Standard Rules"/>
    <n v="0"/>
    <n v="0"/>
    <x v="7"/>
    <s v=""/>
    <n v="1"/>
  </r>
  <r>
    <n v="1211"/>
    <s v="182 Elm St, CityE"/>
    <d v="2023-09-02T08:27:00"/>
    <x v="0"/>
    <x v="7"/>
    <s v="Van A"/>
    <x v="1"/>
    <n v="212"/>
    <n v="17"/>
    <x v="1"/>
    <x v="2"/>
    <x v="2"/>
    <s v="Expedited Rules"/>
    <n v="0"/>
    <n v="0"/>
    <x v="4"/>
    <n v="811"/>
    <n v="1"/>
  </r>
  <r>
    <n v="1221"/>
    <s v="665 Elm St, CityC"/>
    <d v="2023-09-01T10:52:00"/>
    <x v="1"/>
    <x v="72"/>
    <s v="Van A"/>
    <x v="1"/>
    <n v="177"/>
    <n v="19"/>
    <x v="0"/>
    <x v="4"/>
    <x v="0"/>
    <s v="Standard Rules"/>
    <n v="0"/>
    <n v="0"/>
    <x v="6"/>
    <s v=""/>
    <n v="1"/>
  </r>
  <r>
    <n v="1232"/>
    <s v="376 Cedar St, CityD"/>
    <d v="2023-09-01T15:27:00"/>
    <x v="0"/>
    <x v="48"/>
    <s v="Van A"/>
    <x v="1"/>
    <n v="140"/>
    <n v="17"/>
    <x v="2"/>
    <x v="4"/>
    <x v="1"/>
    <s v="Standard Rules"/>
    <n v="0"/>
    <n v="1"/>
    <x v="6"/>
    <n v="812"/>
    <n v="1"/>
  </r>
  <r>
    <n v="1249"/>
    <s v="628 Main St, CityA"/>
    <d v="2023-09-01T13:05:00"/>
    <x v="0"/>
    <x v="38"/>
    <s v="Van A"/>
    <x v="1"/>
    <n v="180"/>
    <n v="25"/>
    <x v="0"/>
    <x v="4"/>
    <x v="1"/>
    <s v="Standard Rules"/>
    <n v="0"/>
    <n v="0"/>
    <x v="6"/>
    <n v="812"/>
    <n v="1"/>
  </r>
  <r>
    <n v="1283"/>
    <s v="321 Cedar St, CityB"/>
    <d v="2023-09-05T14:38:00"/>
    <x v="1"/>
    <x v="73"/>
    <s v="Van A"/>
    <x v="1"/>
    <n v="60"/>
    <n v="21"/>
    <x v="1"/>
    <x v="0"/>
    <x v="0"/>
    <s v="Custom Rules"/>
    <n v="0"/>
    <n v="0"/>
    <x v="7"/>
    <s v=""/>
    <n v="1"/>
  </r>
  <r>
    <n v="1284"/>
    <s v="234 Cedar St, CityB"/>
    <d v="2023-09-07T09:26:00"/>
    <x v="1"/>
    <x v="74"/>
    <s v="Van A"/>
    <x v="1"/>
    <n v="199"/>
    <n v="29"/>
    <x v="0"/>
    <x v="0"/>
    <x v="1"/>
    <s v="Custom Rules"/>
    <n v="0"/>
    <n v="0"/>
    <x v="3"/>
    <s v=""/>
    <n v="1"/>
  </r>
  <r>
    <n v="1287"/>
    <s v="946 Pine St, CityD"/>
    <d v="2023-09-05T15:30:00"/>
    <x v="0"/>
    <x v="34"/>
    <s v="Van A"/>
    <x v="1"/>
    <n v="205"/>
    <n v="18"/>
    <x v="2"/>
    <x v="1"/>
    <x v="2"/>
    <s v="Expedited Rules"/>
    <n v="0"/>
    <n v="1"/>
    <x v="7"/>
    <n v="808"/>
    <n v="1"/>
  </r>
  <r>
    <n v="1300"/>
    <s v="311 Cedar St, CityC"/>
    <d v="2023-09-02T09:54:00"/>
    <x v="0"/>
    <x v="64"/>
    <s v="Van A"/>
    <x v="1"/>
    <n v="178"/>
    <n v="29"/>
    <x v="0"/>
    <x v="1"/>
    <x v="1"/>
    <s v="Standard Rules"/>
    <n v="0"/>
    <n v="0"/>
    <x v="4"/>
    <n v="811"/>
    <n v="1"/>
  </r>
  <r>
    <n v="1304"/>
    <s v="993 Main St, CityC"/>
    <d v="2023-09-05T16:32:00"/>
    <x v="0"/>
    <x v="75"/>
    <s v="Van A"/>
    <x v="1"/>
    <n v="185"/>
    <n v="5"/>
    <x v="1"/>
    <x v="3"/>
    <x v="1"/>
    <s v="Expedited Rules"/>
    <n v="0"/>
    <n v="0"/>
    <x v="7"/>
    <n v="808"/>
    <n v="1"/>
  </r>
  <r>
    <n v="1320"/>
    <s v="968 Oak St, CityB"/>
    <d v="2023-09-02T09:48:00"/>
    <x v="1"/>
    <x v="76"/>
    <s v="Van A"/>
    <x v="1"/>
    <n v="102"/>
    <n v="9"/>
    <x v="2"/>
    <x v="2"/>
    <x v="0"/>
    <s v="Expedited Rules"/>
    <n v="0"/>
    <n v="1"/>
    <x v="4"/>
    <s v=""/>
    <n v="1"/>
  </r>
  <r>
    <n v="1321"/>
    <s v="932 Oak St, CityD"/>
    <d v="2023-09-08T10:32:00"/>
    <x v="0"/>
    <x v="9"/>
    <s v="Van A"/>
    <x v="1"/>
    <n v="196"/>
    <n v="23"/>
    <x v="1"/>
    <x v="1"/>
    <x v="2"/>
    <s v="Expedited Rules"/>
    <n v="0"/>
    <n v="0"/>
    <x v="5"/>
    <n v="805"/>
    <n v="1"/>
  </r>
  <r>
    <n v="1334"/>
    <s v="923 Oak St, CityA"/>
    <d v="2023-09-07T13:46:00"/>
    <x v="1"/>
    <x v="16"/>
    <s v="Van A"/>
    <x v="1"/>
    <n v="190"/>
    <n v="28"/>
    <x v="1"/>
    <x v="4"/>
    <x v="0"/>
    <s v="Expedited Rules"/>
    <n v="0"/>
    <n v="0"/>
    <x v="3"/>
    <s v=""/>
    <n v="1"/>
  </r>
  <r>
    <n v="1342"/>
    <s v="497 Oak St, CityE"/>
    <d v="2023-09-03T16:19:00"/>
    <x v="0"/>
    <x v="15"/>
    <s v="Van A"/>
    <x v="1"/>
    <n v="185"/>
    <n v="26"/>
    <x v="2"/>
    <x v="2"/>
    <x v="0"/>
    <s v="Standard Rules"/>
    <n v="0"/>
    <n v="1"/>
    <x v="0"/>
    <n v="810"/>
    <n v="1"/>
  </r>
  <r>
    <n v="1383"/>
    <s v="246 Main St, CityE"/>
    <d v="2023-09-07T14:16:00"/>
    <x v="0"/>
    <x v="2"/>
    <s v="Van A"/>
    <x v="1"/>
    <n v="152"/>
    <n v="18"/>
    <x v="0"/>
    <x v="4"/>
    <x v="0"/>
    <s v="Expedited Rules"/>
    <n v="0"/>
    <n v="0"/>
    <x v="3"/>
    <n v="806"/>
    <n v="1"/>
  </r>
  <r>
    <n v="1384"/>
    <s v="25 Main St, CityB"/>
    <d v="2023-09-04T16:39:00"/>
    <x v="0"/>
    <x v="23"/>
    <s v="Van A"/>
    <x v="1"/>
    <n v="140"/>
    <n v="7"/>
    <x v="1"/>
    <x v="4"/>
    <x v="0"/>
    <s v="Standard Rules"/>
    <n v="0"/>
    <n v="0"/>
    <x v="2"/>
    <n v="809"/>
    <n v="1"/>
  </r>
  <r>
    <n v="1407"/>
    <s v="991 Cedar St, CityD"/>
    <d v="2023-09-07T14:31:00"/>
    <x v="0"/>
    <x v="77"/>
    <s v="Van A"/>
    <x v="1"/>
    <n v="141"/>
    <n v="29"/>
    <x v="0"/>
    <x v="4"/>
    <x v="0"/>
    <s v="Standard Rules"/>
    <n v="0"/>
    <n v="0"/>
    <x v="3"/>
    <n v="806"/>
    <n v="1"/>
  </r>
  <r>
    <n v="1420"/>
    <s v="469 Pine St, CityE"/>
    <d v="2023-09-05T13:44:00"/>
    <x v="1"/>
    <x v="35"/>
    <s v="Van A"/>
    <x v="1"/>
    <n v="228"/>
    <n v="21"/>
    <x v="1"/>
    <x v="1"/>
    <x v="1"/>
    <s v="Expedited Rules"/>
    <n v="0"/>
    <n v="0"/>
    <x v="7"/>
    <s v=""/>
    <n v="1"/>
  </r>
  <r>
    <n v="1428"/>
    <s v="456 Pine St, CityE"/>
    <d v="2023-09-08T14:56:00"/>
    <x v="1"/>
    <x v="9"/>
    <s v="Van A"/>
    <x v="1"/>
    <n v="166"/>
    <n v="10"/>
    <x v="2"/>
    <x v="0"/>
    <x v="1"/>
    <s v="Custom Rules"/>
    <n v="0"/>
    <n v="1"/>
    <x v="5"/>
    <s v=""/>
    <n v="1"/>
  </r>
  <r>
    <n v="1432"/>
    <s v="760 Oak St, CityA"/>
    <d v="2023-09-03T09:05:00"/>
    <x v="1"/>
    <x v="78"/>
    <s v="Van A"/>
    <x v="1"/>
    <n v="135"/>
    <n v="7"/>
    <x v="2"/>
    <x v="0"/>
    <x v="0"/>
    <s v="Standard Rules"/>
    <n v="0"/>
    <n v="1"/>
    <x v="0"/>
    <s v=""/>
    <n v="1"/>
  </r>
  <r>
    <n v="1451"/>
    <s v="822 Oak St, CityA"/>
    <d v="2023-09-03T16:22:00"/>
    <x v="0"/>
    <x v="6"/>
    <s v="Van A"/>
    <x v="1"/>
    <n v="105"/>
    <n v="12"/>
    <x v="0"/>
    <x v="3"/>
    <x v="2"/>
    <s v="Custom Rules"/>
    <n v="0"/>
    <n v="0"/>
    <x v="0"/>
    <n v="810"/>
    <n v="1"/>
  </r>
  <r>
    <n v="1469"/>
    <s v="89 Cedar St, CityC"/>
    <d v="2023-09-07T08:12:00"/>
    <x v="1"/>
    <x v="79"/>
    <s v="Van A"/>
    <x v="1"/>
    <n v="70"/>
    <n v="8"/>
    <x v="1"/>
    <x v="1"/>
    <x v="1"/>
    <s v="Expedited Rules"/>
    <n v="0"/>
    <n v="0"/>
    <x v="3"/>
    <s v=""/>
    <n v="1"/>
  </r>
  <r>
    <n v="1471"/>
    <s v="947 Oak St, CityD"/>
    <d v="2023-09-01T15:22:00"/>
    <x v="1"/>
    <x v="77"/>
    <s v="Van A"/>
    <x v="1"/>
    <n v="204"/>
    <n v="8"/>
    <x v="2"/>
    <x v="2"/>
    <x v="2"/>
    <s v="Custom Rules"/>
    <n v="0"/>
    <n v="1"/>
    <x v="6"/>
    <s v=""/>
    <n v="1"/>
  </r>
  <r>
    <n v="1496"/>
    <s v="654 Main St, CityB"/>
    <d v="2023-09-06T08:19:00"/>
    <x v="0"/>
    <x v="46"/>
    <s v="Van A"/>
    <x v="1"/>
    <n v="231"/>
    <n v="10"/>
    <x v="0"/>
    <x v="0"/>
    <x v="0"/>
    <s v="Standard Rules"/>
    <n v="0"/>
    <n v="0"/>
    <x v="1"/>
    <n v="807"/>
    <n v="1"/>
  </r>
  <r>
    <n v="1499"/>
    <s v="191 Main St, CityA"/>
    <d v="2023-09-03T15:43:00"/>
    <x v="1"/>
    <x v="70"/>
    <s v="Van A"/>
    <x v="1"/>
    <n v="90"/>
    <n v="23"/>
    <x v="0"/>
    <x v="3"/>
    <x v="2"/>
    <s v="Expedited Rules"/>
    <n v="0"/>
    <n v="0"/>
    <x v="0"/>
    <s v=""/>
    <n v="1"/>
  </r>
  <r>
    <n v="1506"/>
    <s v="651 Cedar St, CityE"/>
    <d v="2023-09-04T15:10:00"/>
    <x v="1"/>
    <x v="80"/>
    <s v="Van A"/>
    <x v="1"/>
    <n v="74"/>
    <n v="28"/>
    <x v="1"/>
    <x v="3"/>
    <x v="1"/>
    <s v="Expedited Rules"/>
    <n v="0"/>
    <n v="0"/>
    <x v="2"/>
    <s v=""/>
    <n v="1"/>
  </r>
  <r>
    <n v="1517"/>
    <s v="95 Main St, CityB"/>
    <d v="2023-09-07T15:27:00"/>
    <x v="0"/>
    <x v="61"/>
    <s v="Van A"/>
    <x v="1"/>
    <n v="231"/>
    <n v="16"/>
    <x v="0"/>
    <x v="3"/>
    <x v="2"/>
    <s v="Standard Rules"/>
    <n v="0"/>
    <n v="0"/>
    <x v="3"/>
    <n v="806"/>
    <n v="1"/>
  </r>
  <r>
    <n v="1528"/>
    <s v="714 Cedar St, CityD"/>
    <d v="2023-09-03T16:41:00"/>
    <x v="0"/>
    <x v="12"/>
    <s v="Van A"/>
    <x v="1"/>
    <n v="124"/>
    <n v="19"/>
    <x v="1"/>
    <x v="0"/>
    <x v="0"/>
    <s v="Standard Rules"/>
    <n v="0"/>
    <n v="0"/>
    <x v="0"/>
    <n v="810"/>
    <n v="1"/>
  </r>
  <r>
    <n v="1531"/>
    <s v="715 Cedar St, CityD"/>
    <d v="2023-09-01T09:02:00"/>
    <x v="0"/>
    <x v="65"/>
    <s v="Van A"/>
    <x v="1"/>
    <n v="193"/>
    <n v="10"/>
    <x v="0"/>
    <x v="4"/>
    <x v="1"/>
    <s v="Expedited Rules"/>
    <n v="0"/>
    <n v="0"/>
    <x v="6"/>
    <n v="812"/>
    <n v="1"/>
  </r>
  <r>
    <n v="1534"/>
    <s v="298 Cedar St, CityC"/>
    <d v="2023-09-06T10:00:00"/>
    <x v="1"/>
    <x v="81"/>
    <s v="Van A"/>
    <x v="1"/>
    <n v="205"/>
    <n v="12"/>
    <x v="0"/>
    <x v="3"/>
    <x v="2"/>
    <s v="Custom Rules"/>
    <n v="0"/>
    <n v="0"/>
    <x v="1"/>
    <s v=""/>
    <n v="1"/>
  </r>
  <r>
    <n v="1562"/>
    <s v="41 Elm St, CityB"/>
    <d v="2023-09-03T15:54:00"/>
    <x v="0"/>
    <x v="46"/>
    <s v="Van A"/>
    <x v="1"/>
    <n v="135"/>
    <n v="3"/>
    <x v="1"/>
    <x v="1"/>
    <x v="1"/>
    <s v="Standard Rules"/>
    <n v="0"/>
    <n v="0"/>
    <x v="0"/>
    <n v="810"/>
    <n v="1"/>
  </r>
  <r>
    <n v="1568"/>
    <s v="544 Main St, CityC"/>
    <d v="2023-09-08T09:29:00"/>
    <x v="0"/>
    <x v="82"/>
    <s v="Van A"/>
    <x v="1"/>
    <n v="228"/>
    <n v="6"/>
    <x v="1"/>
    <x v="4"/>
    <x v="2"/>
    <s v="Expedited Rules"/>
    <n v="0"/>
    <n v="0"/>
    <x v="5"/>
    <n v="805"/>
    <n v="1"/>
  </r>
  <r>
    <n v="1583"/>
    <s v="892 Oak St, CityD"/>
    <d v="2023-09-06T10:08:00"/>
    <x v="1"/>
    <x v="5"/>
    <s v="Van A"/>
    <x v="1"/>
    <n v="168"/>
    <n v="23"/>
    <x v="0"/>
    <x v="4"/>
    <x v="1"/>
    <s v="Standard Rules"/>
    <n v="0"/>
    <n v="0"/>
    <x v="1"/>
    <s v=""/>
    <n v="1"/>
  </r>
  <r>
    <n v="1601"/>
    <s v="677 Cedar St, CityB"/>
    <d v="2023-09-01T16:41:00"/>
    <x v="0"/>
    <x v="0"/>
    <s v="Van A"/>
    <x v="1"/>
    <n v="72"/>
    <n v="16"/>
    <x v="0"/>
    <x v="2"/>
    <x v="1"/>
    <s v="Custom Rules"/>
    <n v="0"/>
    <n v="0"/>
    <x v="6"/>
    <n v="812"/>
    <n v="1"/>
  </r>
  <r>
    <n v="1624"/>
    <s v="252 Pine St, CityD"/>
    <d v="2023-09-05T09:02:00"/>
    <x v="0"/>
    <x v="5"/>
    <s v="Van A"/>
    <x v="1"/>
    <n v="226"/>
    <n v="5"/>
    <x v="2"/>
    <x v="2"/>
    <x v="2"/>
    <s v="Expedited Rules"/>
    <n v="0"/>
    <n v="1"/>
    <x v="7"/>
    <n v="808"/>
    <n v="1"/>
  </r>
  <r>
    <n v="1652"/>
    <s v="24 Cedar St, CityE"/>
    <d v="2023-09-05T15:40:00"/>
    <x v="1"/>
    <x v="83"/>
    <s v="Van A"/>
    <x v="1"/>
    <n v="110"/>
    <n v="10"/>
    <x v="2"/>
    <x v="4"/>
    <x v="1"/>
    <s v="Custom Rules"/>
    <n v="0"/>
    <n v="1"/>
    <x v="7"/>
    <s v=""/>
    <n v="1"/>
  </r>
  <r>
    <n v="1695"/>
    <s v="875 Cedar St, CityE"/>
    <d v="2023-09-01T08:41:00"/>
    <x v="0"/>
    <x v="15"/>
    <s v="Van A"/>
    <x v="1"/>
    <n v="208"/>
    <n v="29"/>
    <x v="2"/>
    <x v="1"/>
    <x v="1"/>
    <s v="Standard Rules"/>
    <n v="0"/>
    <n v="1"/>
    <x v="6"/>
    <n v="812"/>
    <n v="1"/>
  </r>
  <r>
    <n v="1700"/>
    <s v="631 Cedar St, CityA"/>
    <d v="2023-09-05T11:30:00"/>
    <x v="1"/>
    <x v="64"/>
    <s v="Van A"/>
    <x v="1"/>
    <n v="225"/>
    <n v="12"/>
    <x v="1"/>
    <x v="0"/>
    <x v="2"/>
    <s v="Custom Rules"/>
    <n v="0"/>
    <n v="0"/>
    <x v="7"/>
    <s v=""/>
    <n v="1"/>
  </r>
  <r>
    <n v="1705"/>
    <s v="892 Elm St, CityB"/>
    <d v="2023-09-08T14:31:00"/>
    <x v="1"/>
    <x v="81"/>
    <s v="Van A"/>
    <x v="1"/>
    <n v="181"/>
    <n v="25"/>
    <x v="2"/>
    <x v="0"/>
    <x v="2"/>
    <s v="Standard Rules"/>
    <n v="0"/>
    <n v="1"/>
    <x v="5"/>
    <s v=""/>
    <n v="1"/>
  </r>
  <r>
    <n v="1718"/>
    <s v="157 Cedar St, CityB"/>
    <d v="2023-09-01T09:00:00"/>
    <x v="1"/>
    <x v="71"/>
    <s v="Van A"/>
    <x v="1"/>
    <n v="90"/>
    <n v="9"/>
    <x v="0"/>
    <x v="0"/>
    <x v="0"/>
    <s v="Custom Rules"/>
    <n v="0"/>
    <n v="0"/>
    <x v="6"/>
    <s v=""/>
    <n v="1"/>
  </r>
  <r>
    <n v="1727"/>
    <s v="252 Pine St, CityB"/>
    <d v="2023-09-08T15:21:00"/>
    <x v="0"/>
    <x v="24"/>
    <s v="Van A"/>
    <x v="1"/>
    <n v="237"/>
    <n v="19"/>
    <x v="2"/>
    <x v="0"/>
    <x v="0"/>
    <s v="Custom Rules"/>
    <n v="0"/>
    <n v="1"/>
    <x v="5"/>
    <n v="805"/>
    <n v="1"/>
  </r>
  <r>
    <n v="1739"/>
    <s v="516 Pine St, CityB"/>
    <d v="2023-09-06T09:05:00"/>
    <x v="1"/>
    <x v="22"/>
    <s v="Van A"/>
    <x v="1"/>
    <n v="197"/>
    <n v="2"/>
    <x v="1"/>
    <x v="0"/>
    <x v="1"/>
    <s v="Expedited Rules"/>
    <n v="0"/>
    <n v="0"/>
    <x v="1"/>
    <s v=""/>
    <n v="1"/>
  </r>
  <r>
    <n v="1745"/>
    <s v="25 Oak St, CityD"/>
    <d v="2023-09-06T08:43:00"/>
    <x v="1"/>
    <x v="28"/>
    <s v="Van A"/>
    <x v="1"/>
    <n v="222"/>
    <n v="19"/>
    <x v="1"/>
    <x v="3"/>
    <x v="1"/>
    <s v="Expedited Rules"/>
    <n v="0"/>
    <n v="0"/>
    <x v="1"/>
    <s v=""/>
    <n v="1"/>
  </r>
  <r>
    <n v="1778"/>
    <s v="956 Pine St, CityC"/>
    <d v="2023-09-03T11:02:00"/>
    <x v="1"/>
    <x v="3"/>
    <s v="Van A"/>
    <x v="1"/>
    <n v="143"/>
    <n v="4"/>
    <x v="2"/>
    <x v="3"/>
    <x v="0"/>
    <s v="Standard Rules"/>
    <n v="0"/>
    <n v="1"/>
    <x v="0"/>
    <s v=""/>
    <n v="1"/>
  </r>
  <r>
    <n v="1787"/>
    <s v="561 Cedar St, CityC"/>
    <d v="2023-09-01T09:43:00"/>
    <x v="0"/>
    <x v="45"/>
    <s v="Van A"/>
    <x v="1"/>
    <n v="115"/>
    <n v="20"/>
    <x v="0"/>
    <x v="4"/>
    <x v="1"/>
    <s v="Standard Rules"/>
    <n v="0"/>
    <n v="0"/>
    <x v="6"/>
    <n v="812"/>
    <n v="1"/>
  </r>
  <r>
    <n v="1794"/>
    <s v="632 Oak St, CityD"/>
    <d v="2023-09-05T16:52:00"/>
    <x v="1"/>
    <x v="76"/>
    <s v="Van A"/>
    <x v="1"/>
    <n v="89"/>
    <n v="7"/>
    <x v="2"/>
    <x v="1"/>
    <x v="1"/>
    <s v="Expedited Rules"/>
    <n v="0"/>
    <n v="1"/>
    <x v="7"/>
    <s v=""/>
    <n v="1"/>
  </r>
  <r>
    <n v="1802"/>
    <s v="495 Oak St, CityC"/>
    <d v="2023-09-01T15:48:00"/>
    <x v="1"/>
    <x v="23"/>
    <s v="Van A"/>
    <x v="1"/>
    <n v="235"/>
    <n v="7"/>
    <x v="1"/>
    <x v="1"/>
    <x v="2"/>
    <s v="Expedited Rules"/>
    <n v="0"/>
    <n v="0"/>
    <x v="6"/>
    <s v=""/>
    <n v="1"/>
  </r>
  <r>
    <n v="1843"/>
    <s v="852 Cedar St, CityC"/>
    <d v="2023-09-05T15:54:00"/>
    <x v="1"/>
    <x v="14"/>
    <s v="Van A"/>
    <x v="1"/>
    <n v="131"/>
    <n v="22"/>
    <x v="2"/>
    <x v="1"/>
    <x v="0"/>
    <s v="Standard Rules"/>
    <n v="0"/>
    <n v="1"/>
    <x v="7"/>
    <s v=""/>
    <n v="1"/>
  </r>
  <r>
    <n v="1845"/>
    <s v="621 Oak St, CityB"/>
    <d v="2023-09-04T09:27:00"/>
    <x v="1"/>
    <x v="73"/>
    <s v="Van A"/>
    <x v="1"/>
    <n v="109"/>
    <n v="21"/>
    <x v="0"/>
    <x v="4"/>
    <x v="2"/>
    <s v="Expedited Rules"/>
    <n v="0"/>
    <n v="0"/>
    <x v="2"/>
    <s v=""/>
    <n v="1"/>
  </r>
  <r>
    <n v="1846"/>
    <s v="659 Cedar St, CityA"/>
    <d v="2023-09-02T12:08:00"/>
    <x v="0"/>
    <x v="71"/>
    <s v="Van A"/>
    <x v="1"/>
    <n v="168"/>
    <n v="12"/>
    <x v="2"/>
    <x v="1"/>
    <x v="1"/>
    <s v="Standard Rules"/>
    <n v="0"/>
    <n v="1"/>
    <x v="4"/>
    <n v="811"/>
    <n v="1"/>
  </r>
  <r>
    <n v="1862"/>
    <s v="594 Elm St, CityD"/>
    <d v="2023-09-03T11:50:00"/>
    <x v="1"/>
    <x v="68"/>
    <s v="Van A"/>
    <x v="1"/>
    <n v="128"/>
    <n v="22"/>
    <x v="1"/>
    <x v="1"/>
    <x v="1"/>
    <s v="Standard Rules"/>
    <n v="0"/>
    <n v="0"/>
    <x v="0"/>
    <s v=""/>
    <n v="1"/>
  </r>
  <r>
    <n v="1872"/>
    <s v="461 Elm St, CityC"/>
    <d v="2023-09-08T09:23:00"/>
    <x v="0"/>
    <x v="67"/>
    <s v="Van A"/>
    <x v="1"/>
    <n v="184"/>
    <n v="16"/>
    <x v="1"/>
    <x v="2"/>
    <x v="1"/>
    <s v="Standard Rules"/>
    <n v="0"/>
    <n v="0"/>
    <x v="5"/>
    <n v="805"/>
    <n v="1"/>
  </r>
  <r>
    <n v="1879"/>
    <s v="526 Cedar St, CityD"/>
    <d v="2023-09-03T11:41:00"/>
    <x v="1"/>
    <x v="3"/>
    <s v="Van A"/>
    <x v="1"/>
    <n v="176"/>
    <n v="28"/>
    <x v="1"/>
    <x v="0"/>
    <x v="0"/>
    <s v="Expedited Rules"/>
    <n v="0"/>
    <n v="0"/>
    <x v="0"/>
    <s v=""/>
    <n v="1"/>
  </r>
  <r>
    <n v="1882"/>
    <s v="40 Main St, CityC"/>
    <d v="2023-09-08T11:57:00"/>
    <x v="0"/>
    <x v="2"/>
    <s v="Van A"/>
    <x v="1"/>
    <n v="228"/>
    <n v="13"/>
    <x v="0"/>
    <x v="3"/>
    <x v="0"/>
    <s v="Expedited Rules"/>
    <n v="0"/>
    <n v="0"/>
    <x v="5"/>
    <n v="805"/>
    <n v="1"/>
  </r>
  <r>
    <n v="1898"/>
    <s v="237 Oak St, CityE"/>
    <d v="2023-09-02T11:36:00"/>
    <x v="1"/>
    <x v="31"/>
    <s v="Van A"/>
    <x v="1"/>
    <n v="172"/>
    <n v="28"/>
    <x v="2"/>
    <x v="2"/>
    <x v="1"/>
    <s v="Expedited Rules"/>
    <n v="0"/>
    <n v="1"/>
    <x v="4"/>
    <s v=""/>
    <n v="1"/>
  </r>
  <r>
    <n v="1922"/>
    <s v="209 Elm St, CityC"/>
    <d v="2023-09-07T16:11:00"/>
    <x v="0"/>
    <x v="70"/>
    <s v="Van A"/>
    <x v="1"/>
    <n v="217"/>
    <n v="3"/>
    <x v="1"/>
    <x v="2"/>
    <x v="2"/>
    <s v="Standard Rules"/>
    <n v="0"/>
    <n v="0"/>
    <x v="3"/>
    <n v="806"/>
    <n v="1"/>
  </r>
  <r>
    <n v="1926"/>
    <s v="874 Main St, CityB"/>
    <d v="2023-09-08T09:00:00"/>
    <x v="0"/>
    <x v="84"/>
    <s v="Van A"/>
    <x v="1"/>
    <n v="181"/>
    <n v="7"/>
    <x v="1"/>
    <x v="1"/>
    <x v="1"/>
    <s v="Standard Rules"/>
    <n v="0"/>
    <n v="0"/>
    <x v="5"/>
    <n v="805"/>
    <n v="1"/>
  </r>
  <r>
    <n v="1932"/>
    <s v="805 Main St, CityC"/>
    <d v="2023-09-05T16:55:00"/>
    <x v="1"/>
    <x v="4"/>
    <s v="Van A"/>
    <x v="1"/>
    <n v="168"/>
    <n v="12"/>
    <x v="1"/>
    <x v="2"/>
    <x v="0"/>
    <s v="Standard Rules"/>
    <n v="0"/>
    <n v="0"/>
    <x v="7"/>
    <s v=""/>
    <n v="1"/>
  </r>
  <r>
    <n v="1949"/>
    <s v="922 Main St, CityA"/>
    <d v="2023-09-04T12:06:00"/>
    <x v="0"/>
    <x v="3"/>
    <s v="Van A"/>
    <x v="1"/>
    <n v="233"/>
    <n v="24"/>
    <x v="2"/>
    <x v="0"/>
    <x v="2"/>
    <s v="Custom Rules"/>
    <n v="0"/>
    <n v="1"/>
    <x v="2"/>
    <n v="809"/>
    <n v="1"/>
  </r>
  <r>
    <n v="1952"/>
    <s v="681 Oak St, CityC"/>
    <d v="2023-09-06T09:41:00"/>
    <x v="0"/>
    <x v="73"/>
    <s v="Van A"/>
    <x v="1"/>
    <n v="172"/>
    <n v="24"/>
    <x v="2"/>
    <x v="4"/>
    <x v="1"/>
    <s v="Standard Rules"/>
    <n v="0"/>
    <n v="1"/>
    <x v="1"/>
    <n v="807"/>
    <n v="1"/>
  </r>
  <r>
    <n v="1965"/>
    <s v="713 Oak St, CityD"/>
    <d v="2023-09-07T13:21:00"/>
    <x v="0"/>
    <x v="60"/>
    <s v="Van A"/>
    <x v="1"/>
    <n v="230"/>
    <n v="14"/>
    <x v="1"/>
    <x v="3"/>
    <x v="2"/>
    <s v="Expedited Rules"/>
    <n v="0"/>
    <n v="0"/>
    <x v="3"/>
    <n v="806"/>
    <n v="1"/>
  </r>
  <r>
    <n v="1966"/>
    <s v="157 Oak St, CityC"/>
    <d v="2023-09-02T12:01:00"/>
    <x v="0"/>
    <x v="85"/>
    <s v="Van A"/>
    <x v="1"/>
    <n v="168"/>
    <n v="28"/>
    <x v="0"/>
    <x v="4"/>
    <x v="0"/>
    <s v="Standard Rules"/>
    <n v="0"/>
    <n v="0"/>
    <x v="4"/>
    <n v="811"/>
    <n v="1"/>
  </r>
  <r>
    <n v="1977"/>
    <s v="326 Main St, CityB"/>
    <d v="2023-09-07T14:57:00"/>
    <x v="1"/>
    <x v="36"/>
    <s v="Van A"/>
    <x v="1"/>
    <n v="205"/>
    <n v="21"/>
    <x v="1"/>
    <x v="1"/>
    <x v="1"/>
    <s v="Expedited Rules"/>
    <n v="0"/>
    <n v="0"/>
    <x v="3"/>
    <s v=""/>
    <n v="1"/>
  </r>
  <r>
    <n v="1986"/>
    <s v="320 Pine St, CityA"/>
    <d v="2023-09-06T16:26:00"/>
    <x v="0"/>
    <x v="72"/>
    <s v="Van A"/>
    <x v="1"/>
    <n v="160"/>
    <n v="6"/>
    <x v="0"/>
    <x v="2"/>
    <x v="1"/>
    <s v="Custom Rules"/>
    <n v="0"/>
    <n v="0"/>
    <x v="1"/>
    <n v="807"/>
    <n v="1"/>
  </r>
  <r>
    <n v="1991"/>
    <s v="44 Pine St, CityC"/>
    <d v="2023-09-06T08:32:00"/>
    <x v="1"/>
    <x v="57"/>
    <s v="Van A"/>
    <x v="1"/>
    <n v="88"/>
    <n v="13"/>
    <x v="1"/>
    <x v="1"/>
    <x v="1"/>
    <s v="Standard Rules"/>
    <n v="0"/>
    <n v="0"/>
    <x v="1"/>
    <s v=""/>
    <n v="1"/>
  </r>
  <r>
    <n v="2012"/>
    <s v="262 Cedar St, CityD"/>
    <d v="2023-09-04T11:30:00"/>
    <x v="0"/>
    <x v="86"/>
    <s v="Van A"/>
    <x v="1"/>
    <n v="192"/>
    <n v="8"/>
    <x v="1"/>
    <x v="1"/>
    <x v="0"/>
    <s v="Expedited Rules"/>
    <n v="0"/>
    <n v="0"/>
    <x v="2"/>
    <n v="809"/>
    <n v="1"/>
  </r>
  <r>
    <n v="2013"/>
    <s v="2 Main St, CityD"/>
    <d v="2023-09-07T08:37:00"/>
    <x v="0"/>
    <x v="55"/>
    <s v="Van A"/>
    <x v="1"/>
    <n v="94"/>
    <n v="28"/>
    <x v="0"/>
    <x v="2"/>
    <x v="0"/>
    <s v="Expedited Rules"/>
    <n v="0"/>
    <n v="0"/>
    <x v="3"/>
    <n v="806"/>
    <n v="1"/>
  </r>
  <r>
    <n v="2021"/>
    <s v="989 Elm St, CityC"/>
    <d v="2023-09-06T10:23:00"/>
    <x v="1"/>
    <x v="35"/>
    <s v="Van A"/>
    <x v="1"/>
    <n v="78"/>
    <n v="17"/>
    <x v="0"/>
    <x v="0"/>
    <x v="2"/>
    <s v="Standard Rules"/>
    <n v="0"/>
    <n v="0"/>
    <x v="1"/>
    <s v=""/>
    <n v="1"/>
  </r>
  <r>
    <n v="2036"/>
    <s v="63 Main St, CityD"/>
    <d v="2023-09-05T12:14:00"/>
    <x v="0"/>
    <x v="71"/>
    <s v="Van A"/>
    <x v="1"/>
    <n v="173"/>
    <n v="2"/>
    <x v="0"/>
    <x v="4"/>
    <x v="1"/>
    <s v="Custom Rules"/>
    <n v="0"/>
    <n v="0"/>
    <x v="7"/>
    <n v="808"/>
    <n v="1"/>
  </r>
  <r>
    <n v="2046"/>
    <s v="165 Pine St, CityB"/>
    <d v="2023-09-08T09:55:00"/>
    <x v="1"/>
    <x v="46"/>
    <s v="Van A"/>
    <x v="1"/>
    <n v="102"/>
    <n v="24"/>
    <x v="1"/>
    <x v="2"/>
    <x v="1"/>
    <s v="Standard Rules"/>
    <n v="0"/>
    <n v="0"/>
    <x v="5"/>
    <s v=""/>
    <n v="1"/>
  </r>
  <r>
    <n v="2049"/>
    <s v="394 Elm St, CityE"/>
    <d v="2023-09-07T11:18:00"/>
    <x v="1"/>
    <x v="0"/>
    <s v="Van A"/>
    <x v="1"/>
    <n v="100"/>
    <n v="12"/>
    <x v="2"/>
    <x v="1"/>
    <x v="1"/>
    <s v="Expedited Rules"/>
    <n v="0"/>
    <n v="1"/>
    <x v="3"/>
    <s v=""/>
    <n v="1"/>
  </r>
  <r>
    <n v="2133"/>
    <s v="236 Cedar St, CityA"/>
    <d v="2023-09-08T10:50:00"/>
    <x v="0"/>
    <x v="33"/>
    <s v="Van A"/>
    <x v="1"/>
    <n v="198"/>
    <n v="24"/>
    <x v="2"/>
    <x v="0"/>
    <x v="0"/>
    <s v="Standard Rules"/>
    <n v="0"/>
    <n v="1"/>
    <x v="5"/>
    <n v="805"/>
    <n v="1"/>
  </r>
  <r>
    <n v="2169"/>
    <s v="535 Main St, CityB"/>
    <d v="2023-09-03T08:51:00"/>
    <x v="1"/>
    <x v="12"/>
    <s v="Van A"/>
    <x v="1"/>
    <n v="99"/>
    <n v="13"/>
    <x v="1"/>
    <x v="4"/>
    <x v="0"/>
    <s v="Standard Rules"/>
    <n v="0"/>
    <n v="0"/>
    <x v="0"/>
    <s v=""/>
    <n v="1"/>
  </r>
  <r>
    <n v="2182"/>
    <s v="817 Oak St, CityE"/>
    <d v="2023-09-07T09:56:00"/>
    <x v="0"/>
    <x v="8"/>
    <s v="Van A"/>
    <x v="1"/>
    <n v="173"/>
    <n v="28"/>
    <x v="0"/>
    <x v="0"/>
    <x v="2"/>
    <s v="Expedited Rules"/>
    <n v="0"/>
    <n v="0"/>
    <x v="3"/>
    <n v="806"/>
    <n v="1"/>
  </r>
  <r>
    <n v="2189"/>
    <s v="247 Pine St, CityE"/>
    <d v="2023-09-06T10:37:00"/>
    <x v="1"/>
    <x v="3"/>
    <s v="Van A"/>
    <x v="1"/>
    <n v="98"/>
    <n v="10"/>
    <x v="2"/>
    <x v="2"/>
    <x v="1"/>
    <s v="Standard Rules"/>
    <n v="0"/>
    <n v="1"/>
    <x v="1"/>
    <s v=""/>
    <n v="1"/>
  </r>
  <r>
    <n v="2198"/>
    <s v="912 Cedar St, CityE"/>
    <d v="2023-09-02T11:13:00"/>
    <x v="1"/>
    <x v="71"/>
    <s v="Van A"/>
    <x v="1"/>
    <n v="225"/>
    <n v="11"/>
    <x v="2"/>
    <x v="3"/>
    <x v="0"/>
    <s v="Expedited Rules"/>
    <n v="0"/>
    <n v="1"/>
    <x v="4"/>
    <s v=""/>
    <n v="1"/>
  </r>
  <r>
    <n v="2206"/>
    <s v="690 Main St, CityB"/>
    <d v="2023-09-03T13:34:00"/>
    <x v="0"/>
    <x v="34"/>
    <s v="Van A"/>
    <x v="1"/>
    <n v="94"/>
    <n v="24"/>
    <x v="1"/>
    <x v="2"/>
    <x v="2"/>
    <s v="Standard Rules"/>
    <n v="0"/>
    <n v="0"/>
    <x v="0"/>
    <n v="810"/>
    <n v="1"/>
  </r>
  <r>
    <n v="2234"/>
    <s v="874 Oak St, CityB"/>
    <d v="2023-09-07T10:52:00"/>
    <x v="0"/>
    <x v="78"/>
    <s v="Van A"/>
    <x v="1"/>
    <n v="195"/>
    <n v="10"/>
    <x v="0"/>
    <x v="2"/>
    <x v="1"/>
    <s v="Standard Rules"/>
    <n v="0"/>
    <n v="0"/>
    <x v="3"/>
    <n v="806"/>
    <n v="1"/>
  </r>
  <r>
    <n v="2241"/>
    <s v="97 Cedar St, CityD"/>
    <d v="2023-09-06T08:00:00"/>
    <x v="0"/>
    <x v="63"/>
    <s v="Van A"/>
    <x v="1"/>
    <n v="161"/>
    <n v="7"/>
    <x v="0"/>
    <x v="0"/>
    <x v="2"/>
    <s v="Custom Rules"/>
    <n v="0"/>
    <n v="0"/>
    <x v="1"/>
    <n v="807"/>
    <n v="1"/>
  </r>
  <r>
    <n v="2244"/>
    <s v="1000 Elm St, CityB"/>
    <d v="2023-09-04T16:25:00"/>
    <x v="1"/>
    <x v="7"/>
    <s v="Van A"/>
    <x v="1"/>
    <n v="193"/>
    <n v="24"/>
    <x v="0"/>
    <x v="4"/>
    <x v="1"/>
    <s v="Custom Rules"/>
    <n v="0"/>
    <n v="0"/>
    <x v="2"/>
    <s v=""/>
    <n v="1"/>
  </r>
  <r>
    <n v="2265"/>
    <s v="904 Cedar St, CityB"/>
    <d v="2023-09-03T10:42:00"/>
    <x v="0"/>
    <x v="74"/>
    <s v="Van A"/>
    <x v="1"/>
    <n v="177"/>
    <n v="16"/>
    <x v="2"/>
    <x v="4"/>
    <x v="0"/>
    <s v="Custom Rules"/>
    <n v="0"/>
    <n v="1"/>
    <x v="0"/>
    <n v="810"/>
    <n v="1"/>
  </r>
  <r>
    <n v="2302"/>
    <s v="586 Main St, CityD"/>
    <d v="2023-09-05T12:25:00"/>
    <x v="0"/>
    <x v="87"/>
    <s v="Van A"/>
    <x v="1"/>
    <n v="230"/>
    <n v="25"/>
    <x v="0"/>
    <x v="0"/>
    <x v="2"/>
    <s v="Expedited Rules"/>
    <n v="0"/>
    <n v="0"/>
    <x v="7"/>
    <n v="808"/>
    <n v="1"/>
  </r>
  <r>
    <n v="2311"/>
    <s v="306 Elm St, CityD"/>
    <d v="2023-09-03T08:50:00"/>
    <x v="0"/>
    <x v="56"/>
    <s v="Van A"/>
    <x v="1"/>
    <n v="61"/>
    <n v="4"/>
    <x v="1"/>
    <x v="0"/>
    <x v="1"/>
    <s v="Expedited Rules"/>
    <n v="0"/>
    <n v="0"/>
    <x v="0"/>
    <n v="810"/>
    <n v="1"/>
  </r>
  <r>
    <n v="2314"/>
    <s v="218 Elm St, CityC"/>
    <d v="2023-09-01T09:53:00"/>
    <x v="0"/>
    <x v="54"/>
    <s v="Van A"/>
    <x v="1"/>
    <n v="132"/>
    <n v="28"/>
    <x v="2"/>
    <x v="0"/>
    <x v="0"/>
    <s v="Expedited Rules"/>
    <n v="0"/>
    <n v="1"/>
    <x v="6"/>
    <n v="812"/>
    <n v="1"/>
  </r>
  <r>
    <n v="2328"/>
    <s v="778 Cedar St, CityD"/>
    <d v="2023-09-01T08:03:00"/>
    <x v="1"/>
    <x v="88"/>
    <s v="Van A"/>
    <x v="1"/>
    <n v="103"/>
    <n v="6"/>
    <x v="1"/>
    <x v="3"/>
    <x v="1"/>
    <s v="Custom Rules"/>
    <n v="0"/>
    <n v="0"/>
    <x v="6"/>
    <s v=""/>
    <n v="1"/>
  </r>
  <r>
    <n v="2332"/>
    <s v="255 Elm St, CityC"/>
    <d v="2023-09-06T11:01:00"/>
    <x v="1"/>
    <x v="32"/>
    <s v="Van A"/>
    <x v="1"/>
    <n v="213"/>
    <n v="18"/>
    <x v="0"/>
    <x v="4"/>
    <x v="1"/>
    <s v="Expedited Rules"/>
    <n v="0"/>
    <n v="0"/>
    <x v="1"/>
    <s v=""/>
    <n v="1"/>
  </r>
  <r>
    <n v="2352"/>
    <s v="857 Oak St, CityA"/>
    <d v="2023-09-06T15:08:00"/>
    <x v="0"/>
    <x v="56"/>
    <s v="Van A"/>
    <x v="1"/>
    <n v="65"/>
    <n v="13"/>
    <x v="0"/>
    <x v="3"/>
    <x v="2"/>
    <s v="Expedited Rules"/>
    <n v="0"/>
    <n v="0"/>
    <x v="1"/>
    <n v="807"/>
    <n v="1"/>
  </r>
  <r>
    <n v="2376"/>
    <s v="7 Cedar St, CityD"/>
    <d v="2023-09-06T13:35:00"/>
    <x v="1"/>
    <x v="84"/>
    <s v="Van A"/>
    <x v="1"/>
    <n v="229"/>
    <n v="2"/>
    <x v="1"/>
    <x v="2"/>
    <x v="1"/>
    <s v="Custom Rules"/>
    <n v="0"/>
    <n v="0"/>
    <x v="1"/>
    <s v=""/>
    <n v="1"/>
  </r>
  <r>
    <n v="2414"/>
    <s v="476 Main St, CityB"/>
    <d v="2023-09-01T15:51:00"/>
    <x v="1"/>
    <x v="54"/>
    <s v="Van A"/>
    <x v="1"/>
    <n v="126"/>
    <n v="12"/>
    <x v="2"/>
    <x v="0"/>
    <x v="0"/>
    <s v="Custom Rules"/>
    <n v="0"/>
    <n v="1"/>
    <x v="6"/>
    <s v=""/>
    <n v="1"/>
  </r>
  <r>
    <n v="2418"/>
    <s v="225 Pine St, CityB"/>
    <d v="2023-09-02T14:31:00"/>
    <x v="0"/>
    <x v="89"/>
    <s v="Van A"/>
    <x v="1"/>
    <n v="115"/>
    <n v="12"/>
    <x v="0"/>
    <x v="2"/>
    <x v="1"/>
    <s v="Custom Rules"/>
    <n v="0"/>
    <n v="0"/>
    <x v="4"/>
    <n v="811"/>
    <n v="1"/>
  </r>
  <r>
    <n v="2434"/>
    <s v="111 Elm St, CityD"/>
    <d v="2023-09-05T10:41:00"/>
    <x v="1"/>
    <x v="35"/>
    <s v="Van A"/>
    <x v="1"/>
    <n v="171"/>
    <n v="12"/>
    <x v="1"/>
    <x v="0"/>
    <x v="0"/>
    <s v="Expedited Rules"/>
    <n v="0"/>
    <n v="0"/>
    <x v="7"/>
    <s v=""/>
    <n v="1"/>
  </r>
  <r>
    <n v="2436"/>
    <s v="175 Elm St, CityA"/>
    <d v="2023-09-06T15:37:00"/>
    <x v="0"/>
    <x v="19"/>
    <s v="Van A"/>
    <x v="1"/>
    <n v="185"/>
    <n v="7"/>
    <x v="0"/>
    <x v="4"/>
    <x v="0"/>
    <s v="Custom Rules"/>
    <n v="0"/>
    <n v="0"/>
    <x v="1"/>
    <n v="807"/>
    <n v="1"/>
  </r>
  <r>
    <n v="2442"/>
    <s v="587 Cedar St, CityC"/>
    <d v="2023-09-02T16:38:00"/>
    <x v="0"/>
    <x v="90"/>
    <s v="Van A"/>
    <x v="1"/>
    <n v="79"/>
    <n v="6"/>
    <x v="1"/>
    <x v="4"/>
    <x v="2"/>
    <s v="Custom Rules"/>
    <n v="0"/>
    <n v="0"/>
    <x v="4"/>
    <n v="811"/>
    <n v="1"/>
  </r>
  <r>
    <n v="2463"/>
    <s v="403 Oak St, CityA"/>
    <d v="2023-09-06T11:52:00"/>
    <x v="0"/>
    <x v="18"/>
    <s v="Van A"/>
    <x v="1"/>
    <n v="189"/>
    <n v="27"/>
    <x v="0"/>
    <x v="0"/>
    <x v="2"/>
    <s v="Custom Rules"/>
    <n v="0"/>
    <n v="0"/>
    <x v="1"/>
    <n v="807"/>
    <n v="1"/>
  </r>
  <r>
    <n v="2490"/>
    <s v="459 Pine St, CityD"/>
    <d v="2023-09-05T09:23:00"/>
    <x v="1"/>
    <x v="7"/>
    <s v="Van A"/>
    <x v="1"/>
    <n v="103"/>
    <n v="4"/>
    <x v="1"/>
    <x v="2"/>
    <x v="2"/>
    <s v="Expedited Rules"/>
    <n v="0"/>
    <n v="0"/>
    <x v="7"/>
    <s v=""/>
    <n v="1"/>
  </r>
  <r>
    <n v="2497"/>
    <s v="394 Cedar St, CityB"/>
    <d v="2023-09-07T12:15:00"/>
    <x v="0"/>
    <x v="91"/>
    <s v="Van A"/>
    <x v="1"/>
    <n v="142"/>
    <n v="21"/>
    <x v="1"/>
    <x v="3"/>
    <x v="2"/>
    <s v="Custom Rules"/>
    <n v="0"/>
    <n v="0"/>
    <x v="3"/>
    <n v="806"/>
    <n v="1"/>
  </r>
  <r>
    <n v="1026"/>
    <s v="314 Main St, CityE"/>
    <d v="2023-09-04T14:37:00"/>
    <x v="0"/>
    <x v="27"/>
    <s v="Van A"/>
    <x v="2"/>
    <n v="154"/>
    <n v="7"/>
    <x v="1"/>
    <x v="2"/>
    <x v="1"/>
    <s v="Standard Rules"/>
    <n v="0"/>
    <n v="0"/>
    <x v="2"/>
    <n v="809"/>
    <n v="1"/>
  </r>
  <r>
    <n v="1030"/>
    <s v="187 Cedar St, CityB"/>
    <d v="2023-09-01T13:23:00"/>
    <x v="0"/>
    <x v="58"/>
    <s v="Van A"/>
    <x v="2"/>
    <n v="80"/>
    <n v="28"/>
    <x v="1"/>
    <x v="0"/>
    <x v="1"/>
    <s v="Expedited Rules"/>
    <n v="0"/>
    <n v="0"/>
    <x v="6"/>
    <n v="812"/>
    <n v="1"/>
  </r>
  <r>
    <n v="1038"/>
    <s v="827 Oak St, CityC"/>
    <d v="2023-09-08T09:58:00"/>
    <x v="0"/>
    <x v="2"/>
    <s v="Van A"/>
    <x v="2"/>
    <n v="95"/>
    <n v="22"/>
    <x v="1"/>
    <x v="4"/>
    <x v="0"/>
    <s v="Custom Rules"/>
    <n v="0"/>
    <n v="0"/>
    <x v="5"/>
    <n v="805"/>
    <n v="1"/>
  </r>
  <r>
    <n v="1060"/>
    <s v="446 Pine St, CityA"/>
    <d v="2023-09-04T13:08:00"/>
    <x v="0"/>
    <x v="31"/>
    <s v="Van A"/>
    <x v="2"/>
    <n v="132"/>
    <n v="11"/>
    <x v="1"/>
    <x v="0"/>
    <x v="1"/>
    <s v="Custom Rules"/>
    <n v="0"/>
    <n v="0"/>
    <x v="2"/>
    <n v="809"/>
    <n v="1"/>
  </r>
  <r>
    <n v="1073"/>
    <s v="988 Cedar St, CityA"/>
    <d v="2023-09-02T12:39:00"/>
    <x v="0"/>
    <x v="55"/>
    <s v="Van A"/>
    <x v="2"/>
    <n v="220"/>
    <n v="17"/>
    <x v="1"/>
    <x v="1"/>
    <x v="0"/>
    <s v="Expedited Rules"/>
    <n v="0"/>
    <n v="0"/>
    <x v="4"/>
    <n v="811"/>
    <n v="1"/>
  </r>
  <r>
    <n v="1079"/>
    <s v="75 Elm St, CityD"/>
    <d v="2023-09-04T11:04:00"/>
    <x v="1"/>
    <x v="61"/>
    <s v="Van A"/>
    <x v="2"/>
    <n v="141"/>
    <n v="22"/>
    <x v="1"/>
    <x v="3"/>
    <x v="0"/>
    <s v="Standard Rules"/>
    <n v="0"/>
    <n v="0"/>
    <x v="2"/>
    <s v=""/>
    <n v="1"/>
  </r>
  <r>
    <n v="1081"/>
    <s v="16 Main St, CityD"/>
    <d v="2023-09-06T13:55:00"/>
    <x v="0"/>
    <x v="3"/>
    <s v="Van A"/>
    <x v="2"/>
    <n v="157"/>
    <n v="4"/>
    <x v="1"/>
    <x v="2"/>
    <x v="2"/>
    <s v="Standard Rules"/>
    <n v="0"/>
    <n v="0"/>
    <x v="1"/>
    <n v="807"/>
    <n v="1"/>
  </r>
  <r>
    <n v="1101"/>
    <s v="172 Oak St, CityD"/>
    <d v="2023-09-02T08:56:00"/>
    <x v="0"/>
    <x v="5"/>
    <s v="Van A"/>
    <x v="2"/>
    <n v="172"/>
    <n v="12"/>
    <x v="2"/>
    <x v="0"/>
    <x v="1"/>
    <s v="Standard Rules"/>
    <n v="0"/>
    <n v="1"/>
    <x v="4"/>
    <n v="811"/>
    <n v="1"/>
  </r>
  <r>
    <n v="1117"/>
    <s v="583 Main St, CityB"/>
    <d v="2023-09-03T16:55:00"/>
    <x v="0"/>
    <x v="32"/>
    <s v="Van A"/>
    <x v="2"/>
    <n v="191"/>
    <n v="16"/>
    <x v="0"/>
    <x v="1"/>
    <x v="1"/>
    <s v="Standard Rules"/>
    <n v="0"/>
    <n v="0"/>
    <x v="0"/>
    <n v="810"/>
    <n v="1"/>
  </r>
  <r>
    <n v="1127"/>
    <s v="542 Oak St, CityE"/>
    <d v="2023-09-03T12:15:00"/>
    <x v="1"/>
    <x v="4"/>
    <s v="Van A"/>
    <x v="2"/>
    <n v="175"/>
    <n v="9"/>
    <x v="2"/>
    <x v="4"/>
    <x v="0"/>
    <s v="Standard Rules"/>
    <n v="0"/>
    <n v="1"/>
    <x v="0"/>
    <s v=""/>
    <n v="1"/>
  </r>
  <r>
    <n v="1133"/>
    <s v="380 Main St, CityB"/>
    <d v="2023-09-08T15:46:00"/>
    <x v="0"/>
    <x v="62"/>
    <s v="Van A"/>
    <x v="2"/>
    <n v="239"/>
    <n v="18"/>
    <x v="2"/>
    <x v="4"/>
    <x v="0"/>
    <s v="Expedited Rules"/>
    <n v="0"/>
    <n v="1"/>
    <x v="5"/>
    <n v="805"/>
    <n v="1"/>
  </r>
  <r>
    <n v="1148"/>
    <s v="148 Oak St, CityB"/>
    <d v="2023-09-06T09:08:00"/>
    <x v="0"/>
    <x v="39"/>
    <s v="Van A"/>
    <x v="2"/>
    <n v="183"/>
    <n v="14"/>
    <x v="0"/>
    <x v="2"/>
    <x v="0"/>
    <s v="Expedited Rules"/>
    <n v="0"/>
    <n v="0"/>
    <x v="1"/>
    <n v="807"/>
    <n v="1"/>
  </r>
  <r>
    <n v="1152"/>
    <s v="825 Oak St, CityB"/>
    <d v="2023-09-08T12:48:00"/>
    <x v="1"/>
    <x v="31"/>
    <s v="Van A"/>
    <x v="2"/>
    <n v="179"/>
    <n v="19"/>
    <x v="2"/>
    <x v="0"/>
    <x v="2"/>
    <s v="Custom Rules"/>
    <n v="0"/>
    <n v="1"/>
    <x v="5"/>
    <s v=""/>
    <n v="1"/>
  </r>
  <r>
    <n v="1165"/>
    <s v="373 Pine St, CityE"/>
    <d v="2023-09-06T10:49:00"/>
    <x v="0"/>
    <x v="65"/>
    <s v="Van A"/>
    <x v="2"/>
    <n v="79"/>
    <n v="15"/>
    <x v="0"/>
    <x v="4"/>
    <x v="0"/>
    <s v="Standard Rules"/>
    <n v="0"/>
    <n v="0"/>
    <x v="1"/>
    <n v="807"/>
    <n v="1"/>
  </r>
  <r>
    <n v="1181"/>
    <s v="252 Elm St, CityD"/>
    <d v="2023-09-02T10:02:00"/>
    <x v="1"/>
    <x v="75"/>
    <s v="Van A"/>
    <x v="2"/>
    <n v="87"/>
    <n v="23"/>
    <x v="1"/>
    <x v="2"/>
    <x v="1"/>
    <s v="Custom Rules"/>
    <n v="0"/>
    <n v="0"/>
    <x v="4"/>
    <s v=""/>
    <n v="1"/>
  </r>
  <r>
    <n v="1199"/>
    <s v="707 Elm St, CityA"/>
    <d v="2023-09-01T09:51:00"/>
    <x v="0"/>
    <x v="58"/>
    <s v="Van A"/>
    <x v="2"/>
    <n v="215"/>
    <n v="4"/>
    <x v="2"/>
    <x v="0"/>
    <x v="2"/>
    <s v="Standard Rules"/>
    <n v="0"/>
    <n v="1"/>
    <x v="6"/>
    <n v="812"/>
    <n v="1"/>
  </r>
  <r>
    <n v="1200"/>
    <s v="680 Elm St, CityD"/>
    <d v="2023-09-06T11:45:00"/>
    <x v="1"/>
    <x v="13"/>
    <s v="Van A"/>
    <x v="2"/>
    <n v="85"/>
    <n v="14"/>
    <x v="2"/>
    <x v="4"/>
    <x v="1"/>
    <s v="Custom Rules"/>
    <n v="0"/>
    <n v="1"/>
    <x v="1"/>
    <s v=""/>
    <n v="1"/>
  </r>
  <r>
    <n v="1201"/>
    <s v="100 Main St, CityB"/>
    <d v="2023-09-08T10:49:00"/>
    <x v="0"/>
    <x v="0"/>
    <s v="Van A"/>
    <x v="2"/>
    <n v="67"/>
    <n v="16"/>
    <x v="1"/>
    <x v="4"/>
    <x v="2"/>
    <s v="Standard Rules"/>
    <n v="0"/>
    <n v="0"/>
    <x v="5"/>
    <n v="805"/>
    <n v="1"/>
  </r>
  <r>
    <n v="1228"/>
    <s v="310 Pine St, CityB"/>
    <d v="2023-09-05T13:23:00"/>
    <x v="1"/>
    <x v="89"/>
    <s v="Van A"/>
    <x v="2"/>
    <n v="148"/>
    <n v="9"/>
    <x v="2"/>
    <x v="4"/>
    <x v="2"/>
    <s v="Custom Rules"/>
    <n v="0"/>
    <n v="1"/>
    <x v="7"/>
    <s v=""/>
    <n v="1"/>
  </r>
  <r>
    <n v="1294"/>
    <s v="811 Elm St, CityB"/>
    <d v="2023-09-04T10:01:00"/>
    <x v="0"/>
    <x v="33"/>
    <s v="Van A"/>
    <x v="2"/>
    <n v="77"/>
    <n v="8"/>
    <x v="0"/>
    <x v="1"/>
    <x v="1"/>
    <s v="Custom Rules"/>
    <n v="0"/>
    <n v="0"/>
    <x v="2"/>
    <n v="809"/>
    <n v="1"/>
  </r>
  <r>
    <n v="1327"/>
    <s v="625 Elm St, CityB"/>
    <d v="2023-09-02T11:45:00"/>
    <x v="0"/>
    <x v="13"/>
    <s v="Van A"/>
    <x v="2"/>
    <n v="178"/>
    <n v="24"/>
    <x v="1"/>
    <x v="2"/>
    <x v="0"/>
    <s v="Expedited Rules"/>
    <n v="0"/>
    <n v="0"/>
    <x v="4"/>
    <n v="811"/>
    <n v="1"/>
  </r>
  <r>
    <n v="1362"/>
    <s v="54 Oak St, CityE"/>
    <d v="2023-09-03T08:21:00"/>
    <x v="1"/>
    <x v="17"/>
    <s v="Van A"/>
    <x v="2"/>
    <n v="136"/>
    <n v="14"/>
    <x v="1"/>
    <x v="3"/>
    <x v="0"/>
    <s v="Custom Rules"/>
    <n v="0"/>
    <n v="0"/>
    <x v="0"/>
    <s v=""/>
    <n v="1"/>
  </r>
  <r>
    <n v="1364"/>
    <s v="323 Pine St, CityE"/>
    <d v="2023-09-02T13:35:00"/>
    <x v="1"/>
    <x v="9"/>
    <s v="Van A"/>
    <x v="2"/>
    <n v="171"/>
    <n v="20"/>
    <x v="1"/>
    <x v="2"/>
    <x v="0"/>
    <s v="Expedited Rules"/>
    <n v="0"/>
    <n v="0"/>
    <x v="4"/>
    <s v=""/>
    <n v="1"/>
  </r>
  <r>
    <n v="1366"/>
    <s v="406 Elm St, CityC"/>
    <d v="2023-09-05T10:23:00"/>
    <x v="0"/>
    <x v="72"/>
    <s v="Van A"/>
    <x v="2"/>
    <n v="62"/>
    <n v="19"/>
    <x v="0"/>
    <x v="4"/>
    <x v="2"/>
    <s v="Standard Rules"/>
    <n v="0"/>
    <n v="0"/>
    <x v="7"/>
    <n v="808"/>
    <n v="1"/>
  </r>
  <r>
    <n v="1379"/>
    <s v="712 Elm St, CityE"/>
    <d v="2023-09-07T15:17:00"/>
    <x v="1"/>
    <x v="5"/>
    <s v="Van A"/>
    <x v="2"/>
    <n v="97"/>
    <n v="28"/>
    <x v="1"/>
    <x v="2"/>
    <x v="2"/>
    <s v="Custom Rules"/>
    <n v="0"/>
    <n v="0"/>
    <x v="3"/>
    <s v=""/>
    <n v="1"/>
  </r>
  <r>
    <n v="1414"/>
    <s v="475 Main St, CityB"/>
    <d v="2023-09-04T13:14:00"/>
    <x v="1"/>
    <x v="51"/>
    <s v="Van A"/>
    <x v="2"/>
    <n v="89"/>
    <n v="1"/>
    <x v="1"/>
    <x v="0"/>
    <x v="1"/>
    <s v="Custom Rules"/>
    <n v="0"/>
    <n v="0"/>
    <x v="2"/>
    <s v=""/>
    <n v="1"/>
  </r>
  <r>
    <n v="1416"/>
    <s v="524 Main St, CityC"/>
    <d v="2023-09-04T14:08:00"/>
    <x v="1"/>
    <x v="78"/>
    <s v="Van A"/>
    <x v="2"/>
    <n v="105"/>
    <n v="18"/>
    <x v="0"/>
    <x v="3"/>
    <x v="0"/>
    <s v="Standard Rules"/>
    <n v="0"/>
    <n v="0"/>
    <x v="2"/>
    <s v=""/>
    <n v="1"/>
  </r>
  <r>
    <n v="1419"/>
    <s v="512 Pine St, CityC"/>
    <d v="2023-09-07T10:49:00"/>
    <x v="1"/>
    <x v="16"/>
    <s v="Van A"/>
    <x v="2"/>
    <n v="231"/>
    <n v="11"/>
    <x v="1"/>
    <x v="1"/>
    <x v="0"/>
    <s v="Custom Rules"/>
    <n v="0"/>
    <n v="0"/>
    <x v="3"/>
    <s v=""/>
    <n v="1"/>
  </r>
  <r>
    <n v="1464"/>
    <s v="179 Cedar St, CityD"/>
    <d v="2023-09-08T12:49:00"/>
    <x v="1"/>
    <x v="33"/>
    <s v="Van A"/>
    <x v="2"/>
    <n v="95"/>
    <n v="10"/>
    <x v="0"/>
    <x v="0"/>
    <x v="0"/>
    <s v="Standard Rules"/>
    <n v="0"/>
    <n v="0"/>
    <x v="5"/>
    <s v=""/>
    <n v="1"/>
  </r>
  <r>
    <n v="1486"/>
    <s v="673 Pine St, CityB"/>
    <d v="2023-09-04T14:03:00"/>
    <x v="0"/>
    <x v="26"/>
    <s v="Van A"/>
    <x v="2"/>
    <n v="116"/>
    <n v="11"/>
    <x v="1"/>
    <x v="2"/>
    <x v="0"/>
    <s v="Expedited Rules"/>
    <n v="0"/>
    <n v="0"/>
    <x v="2"/>
    <n v="809"/>
    <n v="1"/>
  </r>
  <r>
    <n v="1497"/>
    <s v="25 Main St, CityA"/>
    <d v="2023-09-03T15:37:00"/>
    <x v="1"/>
    <x v="65"/>
    <s v="Van A"/>
    <x v="2"/>
    <n v="182"/>
    <n v="14"/>
    <x v="0"/>
    <x v="4"/>
    <x v="0"/>
    <s v="Standard Rules"/>
    <n v="0"/>
    <n v="0"/>
    <x v="0"/>
    <s v=""/>
    <n v="1"/>
  </r>
  <r>
    <n v="1512"/>
    <s v="706 Cedar St, CityE"/>
    <d v="2023-09-02T10:09:00"/>
    <x v="0"/>
    <x v="91"/>
    <s v="Van A"/>
    <x v="2"/>
    <n v="129"/>
    <n v="8"/>
    <x v="1"/>
    <x v="1"/>
    <x v="0"/>
    <s v="Expedited Rules"/>
    <n v="0"/>
    <n v="0"/>
    <x v="4"/>
    <n v="811"/>
    <n v="1"/>
  </r>
  <r>
    <n v="1515"/>
    <s v="986 Pine St, CityA"/>
    <d v="2023-09-01T10:56:00"/>
    <x v="0"/>
    <x v="23"/>
    <s v="Van A"/>
    <x v="2"/>
    <n v="188"/>
    <n v="16"/>
    <x v="0"/>
    <x v="4"/>
    <x v="2"/>
    <s v="Expedited Rules"/>
    <n v="0"/>
    <n v="0"/>
    <x v="6"/>
    <n v="812"/>
    <n v="1"/>
  </r>
  <r>
    <n v="1538"/>
    <s v="6 Pine St, CityB"/>
    <d v="2023-09-07T14:27:00"/>
    <x v="1"/>
    <x v="15"/>
    <s v="Van A"/>
    <x v="2"/>
    <n v="192"/>
    <n v="14"/>
    <x v="0"/>
    <x v="0"/>
    <x v="1"/>
    <s v="Custom Rules"/>
    <n v="0"/>
    <n v="0"/>
    <x v="3"/>
    <s v=""/>
    <n v="1"/>
  </r>
  <r>
    <n v="1585"/>
    <s v="401 Pine St, CityE"/>
    <d v="2023-09-01T08:46:00"/>
    <x v="0"/>
    <x v="55"/>
    <s v="Van A"/>
    <x v="2"/>
    <n v="66"/>
    <n v="21"/>
    <x v="0"/>
    <x v="3"/>
    <x v="1"/>
    <s v="Custom Rules"/>
    <n v="0"/>
    <n v="0"/>
    <x v="6"/>
    <n v="812"/>
    <n v="1"/>
  </r>
  <r>
    <n v="1586"/>
    <s v="857 Elm St, CityB"/>
    <d v="2023-09-07T09:40:00"/>
    <x v="1"/>
    <x v="6"/>
    <s v="Van A"/>
    <x v="2"/>
    <n v="173"/>
    <n v="12"/>
    <x v="0"/>
    <x v="2"/>
    <x v="2"/>
    <s v="Standard Rules"/>
    <n v="0"/>
    <n v="0"/>
    <x v="3"/>
    <s v=""/>
    <n v="1"/>
  </r>
  <r>
    <n v="1593"/>
    <s v="87 Elm St, CityA"/>
    <d v="2023-09-01T12:00:00"/>
    <x v="0"/>
    <x v="62"/>
    <s v="Van A"/>
    <x v="2"/>
    <n v="187"/>
    <n v="9"/>
    <x v="2"/>
    <x v="4"/>
    <x v="2"/>
    <s v="Expedited Rules"/>
    <n v="0"/>
    <n v="1"/>
    <x v="6"/>
    <n v="812"/>
    <n v="1"/>
  </r>
  <r>
    <n v="1621"/>
    <s v="742 Oak St, CityB"/>
    <d v="2023-09-03T16:59:00"/>
    <x v="0"/>
    <x v="62"/>
    <s v="Van A"/>
    <x v="2"/>
    <n v="168"/>
    <n v="6"/>
    <x v="1"/>
    <x v="0"/>
    <x v="1"/>
    <s v="Custom Rules"/>
    <n v="0"/>
    <n v="0"/>
    <x v="0"/>
    <n v="810"/>
    <n v="1"/>
  </r>
  <r>
    <n v="1628"/>
    <s v="74 Oak St, CityA"/>
    <d v="2023-09-05T09:29:00"/>
    <x v="0"/>
    <x v="87"/>
    <s v="Van A"/>
    <x v="2"/>
    <n v="141"/>
    <n v="13"/>
    <x v="0"/>
    <x v="4"/>
    <x v="2"/>
    <s v="Expedited Rules"/>
    <n v="0"/>
    <n v="0"/>
    <x v="7"/>
    <n v="808"/>
    <n v="1"/>
  </r>
  <r>
    <n v="1642"/>
    <s v="111 Cedar St, CityE"/>
    <d v="2023-09-06T16:03:00"/>
    <x v="0"/>
    <x v="83"/>
    <s v="Van A"/>
    <x v="2"/>
    <n v="73"/>
    <n v="8"/>
    <x v="0"/>
    <x v="3"/>
    <x v="0"/>
    <s v="Standard Rules"/>
    <n v="0"/>
    <n v="0"/>
    <x v="1"/>
    <n v="807"/>
    <n v="1"/>
  </r>
  <r>
    <n v="1643"/>
    <s v="275 Elm St, CityA"/>
    <d v="2023-09-08T13:03:00"/>
    <x v="1"/>
    <x v="87"/>
    <s v="Van A"/>
    <x v="2"/>
    <n v="155"/>
    <n v="22"/>
    <x v="1"/>
    <x v="2"/>
    <x v="2"/>
    <s v="Standard Rules"/>
    <n v="0"/>
    <n v="0"/>
    <x v="5"/>
    <s v=""/>
    <n v="1"/>
  </r>
  <r>
    <n v="1660"/>
    <s v="227 Elm St, CityD"/>
    <d v="2023-09-01T10:40:00"/>
    <x v="1"/>
    <x v="48"/>
    <s v="Van A"/>
    <x v="2"/>
    <n v="138"/>
    <n v="6"/>
    <x v="2"/>
    <x v="1"/>
    <x v="0"/>
    <s v="Standard Rules"/>
    <n v="0"/>
    <n v="1"/>
    <x v="6"/>
    <s v=""/>
    <n v="1"/>
  </r>
  <r>
    <n v="1730"/>
    <s v="69 Pine St, CityB"/>
    <d v="2023-09-07T12:10:00"/>
    <x v="1"/>
    <x v="10"/>
    <s v="Van A"/>
    <x v="2"/>
    <n v="138"/>
    <n v="14"/>
    <x v="2"/>
    <x v="4"/>
    <x v="2"/>
    <s v="Expedited Rules"/>
    <n v="0"/>
    <n v="1"/>
    <x v="3"/>
    <s v=""/>
    <n v="1"/>
  </r>
  <r>
    <n v="1744"/>
    <s v="385 Oak St, CityC"/>
    <d v="2023-09-08T16:36:00"/>
    <x v="0"/>
    <x v="63"/>
    <s v="Van A"/>
    <x v="2"/>
    <n v="163"/>
    <n v="2"/>
    <x v="1"/>
    <x v="1"/>
    <x v="2"/>
    <s v="Standard Rules"/>
    <n v="0"/>
    <n v="0"/>
    <x v="5"/>
    <n v="805"/>
    <n v="1"/>
  </r>
  <r>
    <n v="1751"/>
    <s v="923 Elm St, CityD"/>
    <d v="2023-09-02T15:10:00"/>
    <x v="0"/>
    <x v="65"/>
    <s v="Van A"/>
    <x v="2"/>
    <n v="169"/>
    <n v="8"/>
    <x v="2"/>
    <x v="4"/>
    <x v="2"/>
    <s v="Custom Rules"/>
    <n v="0"/>
    <n v="1"/>
    <x v="4"/>
    <n v="811"/>
    <n v="1"/>
  </r>
  <r>
    <n v="1752"/>
    <s v="259 Pine St, CityD"/>
    <d v="2023-09-01T14:35:00"/>
    <x v="1"/>
    <x v="60"/>
    <s v="Van A"/>
    <x v="2"/>
    <n v="128"/>
    <n v="4"/>
    <x v="0"/>
    <x v="0"/>
    <x v="1"/>
    <s v="Standard Rules"/>
    <n v="0"/>
    <n v="0"/>
    <x v="6"/>
    <s v=""/>
    <n v="1"/>
  </r>
  <r>
    <n v="1756"/>
    <s v="252 Elm St, CityA"/>
    <d v="2023-09-08T10:32:00"/>
    <x v="0"/>
    <x v="67"/>
    <s v="Van A"/>
    <x v="2"/>
    <n v="100"/>
    <n v="12"/>
    <x v="2"/>
    <x v="4"/>
    <x v="0"/>
    <s v="Standard Rules"/>
    <n v="0"/>
    <n v="1"/>
    <x v="5"/>
    <n v="805"/>
    <n v="1"/>
  </r>
  <r>
    <n v="1768"/>
    <s v="224 Cedar St, CityC"/>
    <d v="2023-09-02T10:59:00"/>
    <x v="1"/>
    <x v="62"/>
    <s v="Van A"/>
    <x v="2"/>
    <n v="61"/>
    <n v="6"/>
    <x v="2"/>
    <x v="1"/>
    <x v="0"/>
    <s v="Standard Rules"/>
    <n v="0"/>
    <n v="1"/>
    <x v="4"/>
    <s v=""/>
    <n v="1"/>
  </r>
  <r>
    <n v="1772"/>
    <s v="292 Oak St, CityA"/>
    <d v="2023-09-04T10:02:00"/>
    <x v="1"/>
    <x v="79"/>
    <s v="Van A"/>
    <x v="2"/>
    <n v="114"/>
    <n v="3"/>
    <x v="1"/>
    <x v="1"/>
    <x v="1"/>
    <s v="Standard Rules"/>
    <n v="0"/>
    <n v="0"/>
    <x v="2"/>
    <s v=""/>
    <n v="1"/>
  </r>
  <r>
    <n v="1773"/>
    <s v="821 Cedar St, CityE"/>
    <d v="2023-09-03T08:17:00"/>
    <x v="0"/>
    <x v="68"/>
    <s v="Van A"/>
    <x v="2"/>
    <n v="238"/>
    <n v="9"/>
    <x v="2"/>
    <x v="1"/>
    <x v="0"/>
    <s v="Expedited Rules"/>
    <n v="0"/>
    <n v="1"/>
    <x v="0"/>
    <n v="810"/>
    <n v="1"/>
  </r>
  <r>
    <n v="1777"/>
    <s v="519 Main St, CityB"/>
    <d v="2023-09-06T09:15:00"/>
    <x v="1"/>
    <x v="69"/>
    <s v="Van A"/>
    <x v="2"/>
    <n v="115"/>
    <n v="22"/>
    <x v="1"/>
    <x v="3"/>
    <x v="2"/>
    <s v="Expedited Rules"/>
    <n v="0"/>
    <n v="0"/>
    <x v="1"/>
    <s v=""/>
    <n v="1"/>
  </r>
  <r>
    <n v="1791"/>
    <s v="225 Pine St, CityB"/>
    <d v="2023-09-03T08:55:00"/>
    <x v="0"/>
    <x v="27"/>
    <s v="Van A"/>
    <x v="2"/>
    <n v="140"/>
    <n v="9"/>
    <x v="2"/>
    <x v="4"/>
    <x v="1"/>
    <s v="Standard Rules"/>
    <n v="0"/>
    <n v="1"/>
    <x v="0"/>
    <n v="810"/>
    <n v="1"/>
  </r>
  <r>
    <n v="1792"/>
    <s v="948 Pine St, CityA"/>
    <d v="2023-09-02T16:13:00"/>
    <x v="1"/>
    <x v="26"/>
    <s v="Van A"/>
    <x v="2"/>
    <n v="198"/>
    <n v="5"/>
    <x v="0"/>
    <x v="4"/>
    <x v="0"/>
    <s v="Custom Rules"/>
    <n v="0"/>
    <n v="0"/>
    <x v="4"/>
    <s v=""/>
    <n v="1"/>
  </r>
  <r>
    <n v="1801"/>
    <s v="835 Main St, CityD"/>
    <d v="2023-09-07T14:53:00"/>
    <x v="0"/>
    <x v="17"/>
    <s v="Van A"/>
    <x v="2"/>
    <n v="121"/>
    <n v="16"/>
    <x v="0"/>
    <x v="1"/>
    <x v="0"/>
    <s v="Standard Rules"/>
    <n v="0"/>
    <n v="0"/>
    <x v="3"/>
    <n v="806"/>
    <n v="1"/>
  </r>
  <r>
    <n v="1803"/>
    <s v="963 Cedar St, CityC"/>
    <d v="2023-09-07T14:14:00"/>
    <x v="0"/>
    <x v="92"/>
    <s v="Van A"/>
    <x v="2"/>
    <n v="125"/>
    <n v="10"/>
    <x v="0"/>
    <x v="4"/>
    <x v="2"/>
    <s v="Custom Rules"/>
    <n v="0"/>
    <n v="0"/>
    <x v="3"/>
    <n v="806"/>
    <n v="1"/>
  </r>
  <r>
    <n v="1808"/>
    <s v="229 Elm St, CityB"/>
    <d v="2023-09-07T15:27:00"/>
    <x v="1"/>
    <x v="22"/>
    <s v="Van A"/>
    <x v="2"/>
    <n v="150"/>
    <n v="6"/>
    <x v="0"/>
    <x v="2"/>
    <x v="2"/>
    <s v="Custom Rules"/>
    <n v="0"/>
    <n v="0"/>
    <x v="3"/>
    <s v=""/>
    <n v="1"/>
  </r>
  <r>
    <n v="1823"/>
    <s v="441 Elm St, CityC"/>
    <d v="2023-09-07T09:47:00"/>
    <x v="0"/>
    <x v="53"/>
    <s v="Van A"/>
    <x v="2"/>
    <n v="231"/>
    <n v="9"/>
    <x v="1"/>
    <x v="2"/>
    <x v="1"/>
    <s v="Custom Rules"/>
    <n v="0"/>
    <n v="0"/>
    <x v="3"/>
    <n v="806"/>
    <n v="1"/>
  </r>
  <r>
    <n v="1824"/>
    <s v="250 Cedar St, CityB"/>
    <d v="2023-09-04T10:40:00"/>
    <x v="1"/>
    <x v="88"/>
    <s v="Van A"/>
    <x v="2"/>
    <n v="203"/>
    <n v="10"/>
    <x v="2"/>
    <x v="2"/>
    <x v="0"/>
    <s v="Expedited Rules"/>
    <n v="0"/>
    <n v="1"/>
    <x v="2"/>
    <s v=""/>
    <n v="1"/>
  </r>
  <r>
    <n v="1829"/>
    <s v="154 Cedar St, CityD"/>
    <d v="2023-09-03T12:29:00"/>
    <x v="1"/>
    <x v="8"/>
    <s v="Van A"/>
    <x v="2"/>
    <n v="131"/>
    <n v="3"/>
    <x v="0"/>
    <x v="2"/>
    <x v="2"/>
    <s v="Custom Rules"/>
    <n v="0"/>
    <n v="0"/>
    <x v="0"/>
    <s v=""/>
    <n v="1"/>
  </r>
  <r>
    <n v="1836"/>
    <s v="339 Main St, CityA"/>
    <d v="2023-09-06T14:01:00"/>
    <x v="0"/>
    <x v="91"/>
    <s v="Van A"/>
    <x v="2"/>
    <n v="70"/>
    <n v="21"/>
    <x v="0"/>
    <x v="3"/>
    <x v="2"/>
    <s v="Custom Rules"/>
    <n v="0"/>
    <n v="0"/>
    <x v="1"/>
    <n v="807"/>
    <n v="1"/>
  </r>
  <r>
    <n v="1844"/>
    <s v="142 Main St, CityD"/>
    <d v="2023-09-07T14:24:00"/>
    <x v="1"/>
    <x v="67"/>
    <s v="Van A"/>
    <x v="2"/>
    <n v="95"/>
    <n v="4"/>
    <x v="2"/>
    <x v="0"/>
    <x v="2"/>
    <s v="Expedited Rules"/>
    <n v="0"/>
    <n v="1"/>
    <x v="3"/>
    <s v=""/>
    <n v="1"/>
  </r>
  <r>
    <n v="1854"/>
    <s v="683 Oak St, CityB"/>
    <d v="2023-09-02T15:11:00"/>
    <x v="0"/>
    <x v="10"/>
    <s v="Van A"/>
    <x v="2"/>
    <n v="173"/>
    <n v="29"/>
    <x v="0"/>
    <x v="2"/>
    <x v="0"/>
    <s v="Expedited Rules"/>
    <n v="0"/>
    <n v="0"/>
    <x v="4"/>
    <n v="811"/>
    <n v="1"/>
  </r>
  <r>
    <n v="1880"/>
    <s v="981 Oak St, CityB"/>
    <d v="2023-09-07T08:44:00"/>
    <x v="0"/>
    <x v="92"/>
    <s v="Van A"/>
    <x v="2"/>
    <n v="167"/>
    <n v="4"/>
    <x v="2"/>
    <x v="3"/>
    <x v="2"/>
    <s v="Expedited Rules"/>
    <n v="0"/>
    <n v="1"/>
    <x v="3"/>
    <n v="806"/>
    <n v="1"/>
  </r>
  <r>
    <n v="1883"/>
    <s v="729 Oak St, CityE"/>
    <d v="2023-09-03T15:28:00"/>
    <x v="0"/>
    <x v="8"/>
    <s v="Van A"/>
    <x v="2"/>
    <n v="74"/>
    <n v="24"/>
    <x v="1"/>
    <x v="0"/>
    <x v="2"/>
    <s v="Standard Rules"/>
    <n v="0"/>
    <n v="0"/>
    <x v="0"/>
    <n v="810"/>
    <n v="1"/>
  </r>
  <r>
    <n v="1884"/>
    <s v="382 Oak St, CityA"/>
    <d v="2023-09-06T14:25:00"/>
    <x v="1"/>
    <x v="33"/>
    <s v="Van A"/>
    <x v="2"/>
    <n v="209"/>
    <n v="8"/>
    <x v="0"/>
    <x v="1"/>
    <x v="0"/>
    <s v="Standard Rules"/>
    <n v="0"/>
    <n v="0"/>
    <x v="1"/>
    <s v=""/>
    <n v="1"/>
  </r>
  <r>
    <n v="1886"/>
    <s v="207 Elm St, CityB"/>
    <d v="2023-09-02T15:00:00"/>
    <x v="0"/>
    <x v="9"/>
    <s v="Van A"/>
    <x v="2"/>
    <n v="71"/>
    <n v="25"/>
    <x v="2"/>
    <x v="1"/>
    <x v="1"/>
    <s v="Custom Rules"/>
    <n v="0"/>
    <n v="1"/>
    <x v="4"/>
    <n v="811"/>
    <n v="1"/>
  </r>
  <r>
    <n v="1907"/>
    <s v="549 Cedar St, CityD"/>
    <d v="2023-09-08T10:36:00"/>
    <x v="1"/>
    <x v="12"/>
    <s v="Van A"/>
    <x v="2"/>
    <n v="125"/>
    <n v="8"/>
    <x v="1"/>
    <x v="2"/>
    <x v="2"/>
    <s v="Expedited Rules"/>
    <n v="0"/>
    <n v="0"/>
    <x v="5"/>
    <s v=""/>
    <n v="1"/>
  </r>
  <r>
    <n v="1915"/>
    <s v="559 Elm St, CityA"/>
    <d v="2023-09-04T15:44:00"/>
    <x v="1"/>
    <x v="31"/>
    <s v="Van A"/>
    <x v="2"/>
    <n v="214"/>
    <n v="13"/>
    <x v="2"/>
    <x v="0"/>
    <x v="2"/>
    <s v="Expedited Rules"/>
    <n v="0"/>
    <n v="1"/>
    <x v="2"/>
    <s v=""/>
    <n v="1"/>
  </r>
  <r>
    <n v="2001"/>
    <s v="897 Oak St, CityE"/>
    <d v="2023-09-05T14:19:00"/>
    <x v="0"/>
    <x v="66"/>
    <s v="Van A"/>
    <x v="2"/>
    <n v="168"/>
    <n v="13"/>
    <x v="1"/>
    <x v="1"/>
    <x v="0"/>
    <s v="Expedited Rules"/>
    <n v="0"/>
    <n v="0"/>
    <x v="7"/>
    <n v="808"/>
    <n v="1"/>
  </r>
  <r>
    <n v="2024"/>
    <s v="850 Main St, CityD"/>
    <d v="2023-09-04T14:19:00"/>
    <x v="1"/>
    <x v="48"/>
    <s v="Van A"/>
    <x v="2"/>
    <n v="218"/>
    <n v="24"/>
    <x v="2"/>
    <x v="3"/>
    <x v="1"/>
    <s v="Expedited Rules"/>
    <n v="0"/>
    <n v="1"/>
    <x v="2"/>
    <s v=""/>
    <n v="1"/>
  </r>
  <r>
    <n v="2041"/>
    <s v="485 Cedar St, CityA"/>
    <d v="2023-09-08T10:38:00"/>
    <x v="0"/>
    <x v="1"/>
    <s v="Van A"/>
    <x v="2"/>
    <n v="218"/>
    <n v="28"/>
    <x v="2"/>
    <x v="1"/>
    <x v="0"/>
    <s v="Expedited Rules"/>
    <n v="0"/>
    <n v="1"/>
    <x v="5"/>
    <n v="805"/>
    <n v="1"/>
  </r>
  <r>
    <n v="2052"/>
    <s v="261 Main St, CityC"/>
    <d v="2023-09-01T08:15:00"/>
    <x v="0"/>
    <x v="22"/>
    <s v="Van A"/>
    <x v="2"/>
    <n v="172"/>
    <n v="3"/>
    <x v="1"/>
    <x v="0"/>
    <x v="1"/>
    <s v="Standard Rules"/>
    <n v="0"/>
    <n v="0"/>
    <x v="6"/>
    <n v="812"/>
    <n v="1"/>
  </r>
  <r>
    <n v="2055"/>
    <s v="65 Cedar St, CityA"/>
    <d v="2023-09-02T14:59:00"/>
    <x v="0"/>
    <x v="77"/>
    <s v="Van A"/>
    <x v="2"/>
    <n v="92"/>
    <n v="29"/>
    <x v="2"/>
    <x v="0"/>
    <x v="1"/>
    <s v="Standard Rules"/>
    <n v="0"/>
    <n v="1"/>
    <x v="4"/>
    <n v="811"/>
    <n v="1"/>
  </r>
  <r>
    <n v="2111"/>
    <s v="158 Main St, CityB"/>
    <d v="2023-09-06T13:48:00"/>
    <x v="1"/>
    <x v="71"/>
    <s v="Van A"/>
    <x v="2"/>
    <n v="75"/>
    <n v="3"/>
    <x v="0"/>
    <x v="1"/>
    <x v="2"/>
    <s v="Standard Rules"/>
    <n v="0"/>
    <n v="0"/>
    <x v="1"/>
    <s v=""/>
    <n v="1"/>
  </r>
  <r>
    <n v="2115"/>
    <s v="112 Main St, CityB"/>
    <d v="2023-09-04T10:58:00"/>
    <x v="1"/>
    <x v="37"/>
    <s v="Van A"/>
    <x v="2"/>
    <n v="62"/>
    <n v="27"/>
    <x v="2"/>
    <x v="4"/>
    <x v="1"/>
    <s v="Standard Rules"/>
    <n v="0"/>
    <n v="1"/>
    <x v="2"/>
    <s v=""/>
    <n v="1"/>
  </r>
  <r>
    <n v="2161"/>
    <s v="737 Elm St, CityC"/>
    <d v="2023-09-04T14:54:00"/>
    <x v="0"/>
    <x v="59"/>
    <s v="Van A"/>
    <x v="2"/>
    <n v="60"/>
    <n v="16"/>
    <x v="1"/>
    <x v="0"/>
    <x v="2"/>
    <s v="Standard Rules"/>
    <n v="0"/>
    <n v="0"/>
    <x v="2"/>
    <n v="809"/>
    <n v="1"/>
  </r>
  <r>
    <n v="2176"/>
    <s v="908 Elm St, CityD"/>
    <d v="2023-09-06T10:56:00"/>
    <x v="0"/>
    <x v="54"/>
    <s v="Van A"/>
    <x v="2"/>
    <n v="105"/>
    <n v="29"/>
    <x v="1"/>
    <x v="0"/>
    <x v="2"/>
    <s v="Expedited Rules"/>
    <n v="0"/>
    <n v="0"/>
    <x v="1"/>
    <n v="807"/>
    <n v="1"/>
  </r>
  <r>
    <n v="2192"/>
    <s v="806 Main St, CityE"/>
    <d v="2023-09-03T15:42:00"/>
    <x v="0"/>
    <x v="0"/>
    <s v="Van A"/>
    <x v="2"/>
    <n v="174"/>
    <n v="22"/>
    <x v="2"/>
    <x v="2"/>
    <x v="1"/>
    <s v="Standard Rules"/>
    <n v="0"/>
    <n v="1"/>
    <x v="0"/>
    <n v="810"/>
    <n v="1"/>
  </r>
  <r>
    <n v="2193"/>
    <s v="798 Cedar St, CityB"/>
    <d v="2023-09-05T14:11:00"/>
    <x v="0"/>
    <x v="19"/>
    <s v="Van A"/>
    <x v="2"/>
    <n v="155"/>
    <n v="1"/>
    <x v="0"/>
    <x v="3"/>
    <x v="1"/>
    <s v="Standard Rules"/>
    <n v="0"/>
    <n v="0"/>
    <x v="7"/>
    <n v="808"/>
    <n v="1"/>
  </r>
  <r>
    <n v="2194"/>
    <s v="129 Main St, CityA"/>
    <d v="2023-09-07T10:02:00"/>
    <x v="0"/>
    <x v="45"/>
    <s v="Van A"/>
    <x v="2"/>
    <n v="138"/>
    <n v="20"/>
    <x v="2"/>
    <x v="2"/>
    <x v="0"/>
    <s v="Standard Rules"/>
    <n v="0"/>
    <n v="1"/>
    <x v="3"/>
    <n v="806"/>
    <n v="1"/>
  </r>
  <r>
    <n v="2196"/>
    <s v="887 Pine St, CityC"/>
    <d v="2023-09-01T12:39:00"/>
    <x v="0"/>
    <x v="34"/>
    <s v="Van A"/>
    <x v="2"/>
    <n v="183"/>
    <n v="2"/>
    <x v="2"/>
    <x v="1"/>
    <x v="1"/>
    <s v="Standard Rules"/>
    <n v="0"/>
    <n v="1"/>
    <x v="6"/>
    <n v="812"/>
    <n v="1"/>
  </r>
  <r>
    <n v="2203"/>
    <s v="199 Pine St, CityB"/>
    <d v="2023-09-03T09:53:00"/>
    <x v="1"/>
    <x v="58"/>
    <s v="Van A"/>
    <x v="2"/>
    <n v="105"/>
    <n v="21"/>
    <x v="1"/>
    <x v="2"/>
    <x v="2"/>
    <s v="Standard Rules"/>
    <n v="0"/>
    <n v="0"/>
    <x v="0"/>
    <s v=""/>
    <n v="1"/>
  </r>
  <r>
    <n v="2256"/>
    <s v="841 Main St, CityA"/>
    <d v="2023-09-07T16:39:00"/>
    <x v="0"/>
    <x v="6"/>
    <s v="Van A"/>
    <x v="2"/>
    <n v="96"/>
    <n v="27"/>
    <x v="1"/>
    <x v="1"/>
    <x v="0"/>
    <s v="Standard Rules"/>
    <n v="0"/>
    <n v="0"/>
    <x v="3"/>
    <n v="806"/>
    <n v="1"/>
  </r>
  <r>
    <n v="2284"/>
    <s v="533 Cedar St, CityD"/>
    <d v="2023-09-07T10:44:00"/>
    <x v="1"/>
    <x v="13"/>
    <s v="Van A"/>
    <x v="2"/>
    <n v="94"/>
    <n v="13"/>
    <x v="0"/>
    <x v="2"/>
    <x v="2"/>
    <s v="Expedited Rules"/>
    <n v="0"/>
    <n v="0"/>
    <x v="3"/>
    <s v=""/>
    <n v="1"/>
  </r>
  <r>
    <n v="2312"/>
    <s v="884 Cedar St, CityE"/>
    <d v="2023-09-07T16:51:00"/>
    <x v="1"/>
    <x v="93"/>
    <s v="Van A"/>
    <x v="2"/>
    <n v="130"/>
    <n v="28"/>
    <x v="2"/>
    <x v="3"/>
    <x v="1"/>
    <s v="Expedited Rules"/>
    <n v="0"/>
    <n v="1"/>
    <x v="3"/>
    <s v=""/>
    <n v="1"/>
  </r>
  <r>
    <n v="2329"/>
    <s v="92 Cedar St, CityC"/>
    <d v="2023-09-06T11:02:00"/>
    <x v="1"/>
    <x v="0"/>
    <s v="Van A"/>
    <x v="2"/>
    <n v="127"/>
    <n v="17"/>
    <x v="2"/>
    <x v="1"/>
    <x v="2"/>
    <s v="Standard Rules"/>
    <n v="0"/>
    <n v="1"/>
    <x v="1"/>
    <s v=""/>
    <n v="1"/>
  </r>
  <r>
    <n v="2333"/>
    <s v="579 Main St, CityC"/>
    <d v="2023-09-02T14:18:00"/>
    <x v="0"/>
    <x v="56"/>
    <s v="Van A"/>
    <x v="2"/>
    <n v="160"/>
    <n v="11"/>
    <x v="2"/>
    <x v="3"/>
    <x v="2"/>
    <s v="Custom Rules"/>
    <n v="0"/>
    <n v="1"/>
    <x v="4"/>
    <n v="811"/>
    <n v="1"/>
  </r>
  <r>
    <n v="2354"/>
    <s v="909 Main St, CityB"/>
    <d v="2023-09-03T10:54:00"/>
    <x v="1"/>
    <x v="13"/>
    <s v="Van A"/>
    <x v="2"/>
    <n v="99"/>
    <n v="7"/>
    <x v="1"/>
    <x v="3"/>
    <x v="1"/>
    <s v="Expedited Rules"/>
    <n v="0"/>
    <n v="0"/>
    <x v="0"/>
    <s v=""/>
    <n v="1"/>
  </r>
  <r>
    <n v="2364"/>
    <s v="16 Cedar St, CityD"/>
    <d v="2023-09-06T16:14:00"/>
    <x v="0"/>
    <x v="55"/>
    <s v="Van A"/>
    <x v="2"/>
    <n v="202"/>
    <n v="6"/>
    <x v="1"/>
    <x v="1"/>
    <x v="2"/>
    <s v="Custom Rules"/>
    <n v="0"/>
    <n v="0"/>
    <x v="1"/>
    <n v="807"/>
    <n v="1"/>
  </r>
  <r>
    <n v="2382"/>
    <s v="343 Main St, CityA"/>
    <d v="2023-09-08T16:20:00"/>
    <x v="0"/>
    <x v="85"/>
    <s v="Van A"/>
    <x v="2"/>
    <n v="136"/>
    <n v="12"/>
    <x v="1"/>
    <x v="2"/>
    <x v="1"/>
    <s v="Standard Rules"/>
    <n v="0"/>
    <n v="0"/>
    <x v="5"/>
    <n v="805"/>
    <n v="1"/>
  </r>
  <r>
    <n v="2393"/>
    <s v="653 Oak St, CityC"/>
    <d v="2023-09-08T09:53:00"/>
    <x v="0"/>
    <x v="20"/>
    <s v="Van A"/>
    <x v="2"/>
    <n v="81"/>
    <n v="20"/>
    <x v="1"/>
    <x v="4"/>
    <x v="1"/>
    <s v="Standard Rules"/>
    <n v="0"/>
    <n v="0"/>
    <x v="5"/>
    <n v="805"/>
    <n v="1"/>
  </r>
  <r>
    <n v="2399"/>
    <s v="688 Elm St, CityE"/>
    <d v="2023-09-02T11:12:00"/>
    <x v="0"/>
    <x v="58"/>
    <s v="Van A"/>
    <x v="2"/>
    <n v="178"/>
    <n v="6"/>
    <x v="1"/>
    <x v="3"/>
    <x v="1"/>
    <s v="Custom Rules"/>
    <n v="0"/>
    <n v="0"/>
    <x v="4"/>
    <n v="811"/>
    <n v="1"/>
  </r>
  <r>
    <n v="2404"/>
    <s v="579 Cedar St, CityA"/>
    <d v="2023-09-03T16:30:00"/>
    <x v="1"/>
    <x v="39"/>
    <s v="Van A"/>
    <x v="2"/>
    <n v="187"/>
    <n v="6"/>
    <x v="2"/>
    <x v="4"/>
    <x v="0"/>
    <s v="Standard Rules"/>
    <n v="0"/>
    <n v="1"/>
    <x v="0"/>
    <s v=""/>
    <n v="1"/>
  </r>
  <r>
    <n v="2410"/>
    <s v="978 Oak St, CityC"/>
    <d v="2023-09-02T13:11:00"/>
    <x v="0"/>
    <x v="40"/>
    <s v="Van A"/>
    <x v="2"/>
    <n v="156"/>
    <n v="16"/>
    <x v="0"/>
    <x v="0"/>
    <x v="2"/>
    <s v="Custom Rules"/>
    <n v="0"/>
    <n v="0"/>
    <x v="4"/>
    <n v="811"/>
    <n v="1"/>
  </r>
  <r>
    <n v="2416"/>
    <s v="81 Cedar St, CityB"/>
    <d v="2023-09-08T13:27:00"/>
    <x v="1"/>
    <x v="42"/>
    <s v="Van A"/>
    <x v="2"/>
    <n v="150"/>
    <n v="14"/>
    <x v="1"/>
    <x v="0"/>
    <x v="2"/>
    <s v="Custom Rules"/>
    <n v="0"/>
    <n v="0"/>
    <x v="5"/>
    <s v=""/>
    <n v="1"/>
  </r>
  <r>
    <n v="2446"/>
    <s v="249 Main St, CityE"/>
    <d v="2023-09-05T16:19:00"/>
    <x v="0"/>
    <x v="19"/>
    <s v="Van A"/>
    <x v="2"/>
    <n v="215"/>
    <n v="23"/>
    <x v="2"/>
    <x v="0"/>
    <x v="2"/>
    <s v="Custom Rules"/>
    <n v="0"/>
    <n v="1"/>
    <x v="7"/>
    <n v="808"/>
    <n v="1"/>
  </r>
  <r>
    <n v="2450"/>
    <s v="983 Main St, CityD"/>
    <d v="2023-09-02T16:25:00"/>
    <x v="0"/>
    <x v="29"/>
    <s v="Van A"/>
    <x v="2"/>
    <n v="199"/>
    <n v="5"/>
    <x v="2"/>
    <x v="4"/>
    <x v="1"/>
    <s v="Standard Rules"/>
    <n v="0"/>
    <n v="1"/>
    <x v="4"/>
    <n v="811"/>
    <n v="1"/>
  </r>
  <r>
    <n v="2457"/>
    <s v="799 Elm St, CityA"/>
    <d v="2023-09-01T08:56:00"/>
    <x v="0"/>
    <x v="69"/>
    <s v="Van A"/>
    <x v="2"/>
    <n v="189"/>
    <n v="24"/>
    <x v="2"/>
    <x v="4"/>
    <x v="2"/>
    <s v="Custom Rules"/>
    <n v="0"/>
    <n v="1"/>
    <x v="6"/>
    <n v="812"/>
    <n v="1"/>
  </r>
  <r>
    <n v="2484"/>
    <s v="567 Main St, CityA"/>
    <d v="2023-09-06T09:13:00"/>
    <x v="1"/>
    <x v="82"/>
    <s v="Van A"/>
    <x v="2"/>
    <n v="115"/>
    <n v="1"/>
    <x v="2"/>
    <x v="4"/>
    <x v="1"/>
    <s v="Expedited Rules"/>
    <n v="0"/>
    <n v="1"/>
    <x v="1"/>
    <s v=""/>
    <n v="1"/>
  </r>
  <r>
    <n v="2495"/>
    <s v="737 Pine St, CityD"/>
    <d v="2023-09-06T10:22:00"/>
    <x v="1"/>
    <x v="74"/>
    <s v="Van A"/>
    <x v="2"/>
    <n v="226"/>
    <n v="8"/>
    <x v="2"/>
    <x v="1"/>
    <x v="0"/>
    <s v="Custom Rules"/>
    <n v="0"/>
    <n v="1"/>
    <x v="1"/>
    <s v=""/>
    <n v="1"/>
  </r>
  <r>
    <n v="1017"/>
    <s v="267 Pine St, CityB"/>
    <d v="2023-09-04T10:40:00"/>
    <x v="0"/>
    <x v="92"/>
    <s v="Van A"/>
    <x v="3"/>
    <n v="174"/>
    <n v="16"/>
    <x v="2"/>
    <x v="1"/>
    <x v="0"/>
    <s v="Expedited Rules"/>
    <n v="0"/>
    <n v="1"/>
    <x v="2"/>
    <n v="809"/>
    <n v="1"/>
  </r>
  <r>
    <n v="1019"/>
    <s v="348 Pine St, CityA"/>
    <d v="2023-09-04T14:53:00"/>
    <x v="0"/>
    <x v="38"/>
    <s v="Van A"/>
    <x v="3"/>
    <n v="219"/>
    <n v="13"/>
    <x v="2"/>
    <x v="2"/>
    <x v="0"/>
    <s v="Expedited Rules"/>
    <n v="0"/>
    <n v="1"/>
    <x v="2"/>
    <n v="809"/>
    <n v="1"/>
  </r>
  <r>
    <n v="1027"/>
    <s v="577 Oak St, CityA"/>
    <d v="2023-09-06T11:21:00"/>
    <x v="1"/>
    <x v="4"/>
    <s v="Van A"/>
    <x v="3"/>
    <n v="153"/>
    <n v="22"/>
    <x v="0"/>
    <x v="3"/>
    <x v="0"/>
    <s v="Custom Rules"/>
    <n v="0"/>
    <n v="0"/>
    <x v="1"/>
    <s v=""/>
    <n v="1"/>
  </r>
  <r>
    <n v="1033"/>
    <s v="384 Cedar St, CityB"/>
    <d v="2023-09-06T08:39:00"/>
    <x v="0"/>
    <x v="82"/>
    <s v="Van A"/>
    <x v="3"/>
    <n v="172"/>
    <n v="20"/>
    <x v="0"/>
    <x v="4"/>
    <x v="1"/>
    <s v="Standard Rules"/>
    <n v="0"/>
    <n v="0"/>
    <x v="1"/>
    <n v="807"/>
    <n v="1"/>
  </r>
  <r>
    <n v="1039"/>
    <s v="111 Oak St, CityB"/>
    <d v="2023-09-01T15:10:00"/>
    <x v="1"/>
    <x v="14"/>
    <s v="Van A"/>
    <x v="3"/>
    <n v="110"/>
    <n v="7"/>
    <x v="0"/>
    <x v="0"/>
    <x v="2"/>
    <s v="Standard Rules"/>
    <n v="0"/>
    <n v="0"/>
    <x v="6"/>
    <s v=""/>
    <n v="1"/>
  </r>
  <r>
    <n v="1050"/>
    <s v="367 Main St, CityD"/>
    <d v="2023-09-07T11:51:00"/>
    <x v="0"/>
    <x v="80"/>
    <s v="Van A"/>
    <x v="3"/>
    <n v="94"/>
    <n v="15"/>
    <x v="1"/>
    <x v="3"/>
    <x v="1"/>
    <s v="Custom Rules"/>
    <n v="0"/>
    <n v="0"/>
    <x v="3"/>
    <n v="806"/>
    <n v="1"/>
  </r>
  <r>
    <n v="1070"/>
    <s v="757 Main St, CityE"/>
    <d v="2023-09-06T16:40:00"/>
    <x v="1"/>
    <x v="42"/>
    <s v="Van A"/>
    <x v="3"/>
    <n v="172"/>
    <n v="6"/>
    <x v="1"/>
    <x v="2"/>
    <x v="0"/>
    <s v="Expedited Rules"/>
    <n v="0"/>
    <n v="0"/>
    <x v="1"/>
    <s v=""/>
    <n v="1"/>
  </r>
  <r>
    <n v="1078"/>
    <s v="914 Elm St, CityC"/>
    <d v="2023-09-04T13:40:00"/>
    <x v="0"/>
    <x v="2"/>
    <s v="Van A"/>
    <x v="3"/>
    <n v="232"/>
    <n v="21"/>
    <x v="2"/>
    <x v="3"/>
    <x v="0"/>
    <s v="Standard Rules"/>
    <n v="0"/>
    <n v="1"/>
    <x v="2"/>
    <n v="809"/>
    <n v="1"/>
  </r>
  <r>
    <n v="1089"/>
    <s v="728 Oak St, CityB"/>
    <d v="2023-09-04T10:31:00"/>
    <x v="0"/>
    <x v="43"/>
    <s v="Van A"/>
    <x v="3"/>
    <n v="78"/>
    <n v="6"/>
    <x v="1"/>
    <x v="0"/>
    <x v="2"/>
    <s v="Expedited Rules"/>
    <n v="0"/>
    <n v="0"/>
    <x v="2"/>
    <n v="809"/>
    <n v="1"/>
  </r>
  <r>
    <n v="1120"/>
    <s v="924 Main St, CityD"/>
    <d v="2023-09-08T11:12:00"/>
    <x v="1"/>
    <x v="41"/>
    <s v="Van A"/>
    <x v="3"/>
    <n v="152"/>
    <n v="26"/>
    <x v="0"/>
    <x v="1"/>
    <x v="2"/>
    <s v="Standard Rules"/>
    <n v="0"/>
    <n v="0"/>
    <x v="5"/>
    <s v=""/>
    <n v="1"/>
  </r>
  <r>
    <n v="1124"/>
    <s v="674 Pine St, CityA"/>
    <d v="2023-09-03T14:56:00"/>
    <x v="1"/>
    <x v="59"/>
    <s v="Van A"/>
    <x v="3"/>
    <n v="83"/>
    <n v="2"/>
    <x v="2"/>
    <x v="4"/>
    <x v="1"/>
    <s v="Standard Rules"/>
    <n v="0"/>
    <n v="1"/>
    <x v="0"/>
    <s v=""/>
    <n v="1"/>
  </r>
  <r>
    <n v="1125"/>
    <s v="893 Pine St, CityA"/>
    <d v="2023-09-07T09:46:00"/>
    <x v="0"/>
    <x v="18"/>
    <s v="Van A"/>
    <x v="3"/>
    <n v="178"/>
    <n v="28"/>
    <x v="2"/>
    <x v="2"/>
    <x v="1"/>
    <s v="Custom Rules"/>
    <n v="0"/>
    <n v="1"/>
    <x v="3"/>
    <n v="806"/>
    <n v="1"/>
  </r>
  <r>
    <n v="1128"/>
    <s v="165 Elm St, CityE"/>
    <d v="2023-09-03T11:57:00"/>
    <x v="1"/>
    <x v="42"/>
    <s v="Van A"/>
    <x v="3"/>
    <n v="117"/>
    <n v="10"/>
    <x v="1"/>
    <x v="4"/>
    <x v="1"/>
    <s v="Custom Rules"/>
    <n v="0"/>
    <n v="0"/>
    <x v="0"/>
    <s v=""/>
    <n v="1"/>
  </r>
  <r>
    <n v="1136"/>
    <s v="577 Main St, CityD"/>
    <d v="2023-09-06T08:36:00"/>
    <x v="0"/>
    <x v="67"/>
    <s v="Van A"/>
    <x v="3"/>
    <n v="217"/>
    <n v="27"/>
    <x v="1"/>
    <x v="0"/>
    <x v="1"/>
    <s v="Expedited Rules"/>
    <n v="0"/>
    <n v="0"/>
    <x v="1"/>
    <n v="807"/>
    <n v="1"/>
  </r>
  <r>
    <n v="1160"/>
    <s v="373 Oak St, CityC"/>
    <d v="2023-09-06T09:52:00"/>
    <x v="0"/>
    <x v="78"/>
    <s v="Van A"/>
    <x v="3"/>
    <n v="214"/>
    <n v="14"/>
    <x v="2"/>
    <x v="4"/>
    <x v="2"/>
    <s v="Expedited Rules"/>
    <n v="0"/>
    <n v="1"/>
    <x v="1"/>
    <n v="807"/>
    <n v="1"/>
  </r>
  <r>
    <n v="1197"/>
    <s v="163 Cedar St, CityE"/>
    <d v="2023-09-06T11:44:00"/>
    <x v="0"/>
    <x v="60"/>
    <s v="Van A"/>
    <x v="3"/>
    <n v="124"/>
    <n v="13"/>
    <x v="0"/>
    <x v="2"/>
    <x v="1"/>
    <s v="Custom Rules"/>
    <n v="0"/>
    <n v="0"/>
    <x v="1"/>
    <n v="807"/>
    <n v="1"/>
  </r>
  <r>
    <n v="1219"/>
    <s v="533 Main St, CityD"/>
    <d v="2023-09-02T16:41:00"/>
    <x v="1"/>
    <x v="81"/>
    <s v="Van A"/>
    <x v="3"/>
    <n v="223"/>
    <n v="13"/>
    <x v="2"/>
    <x v="1"/>
    <x v="1"/>
    <s v="Expedited Rules"/>
    <n v="0"/>
    <n v="1"/>
    <x v="4"/>
    <s v=""/>
    <n v="1"/>
  </r>
  <r>
    <n v="1241"/>
    <s v="249 Main St, CityB"/>
    <d v="2023-09-06T16:06:00"/>
    <x v="1"/>
    <x v="55"/>
    <s v="Van A"/>
    <x v="3"/>
    <n v="225"/>
    <n v="5"/>
    <x v="2"/>
    <x v="2"/>
    <x v="0"/>
    <s v="Custom Rules"/>
    <n v="0"/>
    <n v="1"/>
    <x v="1"/>
    <s v=""/>
    <n v="1"/>
  </r>
  <r>
    <n v="1251"/>
    <s v="941 Main St, CityB"/>
    <d v="2023-09-04T15:19:00"/>
    <x v="1"/>
    <x v="2"/>
    <s v="Van A"/>
    <x v="3"/>
    <n v="79"/>
    <n v="26"/>
    <x v="1"/>
    <x v="3"/>
    <x v="2"/>
    <s v="Expedited Rules"/>
    <n v="0"/>
    <n v="0"/>
    <x v="2"/>
    <s v=""/>
    <n v="1"/>
  </r>
  <r>
    <n v="1265"/>
    <s v="192 Oak St, CityB"/>
    <d v="2023-09-01T15:01:00"/>
    <x v="1"/>
    <x v="36"/>
    <s v="Van A"/>
    <x v="3"/>
    <n v="123"/>
    <n v="2"/>
    <x v="1"/>
    <x v="4"/>
    <x v="2"/>
    <s v="Expedited Rules"/>
    <n v="0"/>
    <n v="0"/>
    <x v="6"/>
    <s v=""/>
    <n v="1"/>
  </r>
  <r>
    <n v="1271"/>
    <s v="8 Oak St, CityC"/>
    <d v="2023-09-05T15:07:00"/>
    <x v="0"/>
    <x v="4"/>
    <s v="Van A"/>
    <x v="3"/>
    <n v="187"/>
    <n v="16"/>
    <x v="2"/>
    <x v="4"/>
    <x v="0"/>
    <s v="Custom Rules"/>
    <n v="0"/>
    <n v="1"/>
    <x v="7"/>
    <n v="808"/>
    <n v="1"/>
  </r>
  <r>
    <n v="1306"/>
    <s v="976 Oak St, CityD"/>
    <d v="2023-09-07T16:59:00"/>
    <x v="0"/>
    <x v="71"/>
    <s v="Van A"/>
    <x v="3"/>
    <n v="171"/>
    <n v="15"/>
    <x v="2"/>
    <x v="1"/>
    <x v="1"/>
    <s v="Custom Rules"/>
    <n v="0"/>
    <n v="1"/>
    <x v="3"/>
    <n v="806"/>
    <n v="1"/>
  </r>
  <r>
    <n v="1310"/>
    <s v="503 Main St, CityC"/>
    <d v="2023-09-04T16:32:00"/>
    <x v="0"/>
    <x v="50"/>
    <s v="Van A"/>
    <x v="3"/>
    <n v="227"/>
    <n v="12"/>
    <x v="2"/>
    <x v="2"/>
    <x v="1"/>
    <s v="Standard Rules"/>
    <n v="0"/>
    <n v="1"/>
    <x v="2"/>
    <n v="809"/>
    <n v="1"/>
  </r>
  <r>
    <n v="1324"/>
    <s v="716 Elm St, CityB"/>
    <d v="2023-09-07T15:46:00"/>
    <x v="0"/>
    <x v="48"/>
    <s v="Van A"/>
    <x v="3"/>
    <n v="119"/>
    <n v="10"/>
    <x v="0"/>
    <x v="3"/>
    <x v="1"/>
    <s v="Custom Rules"/>
    <n v="0"/>
    <n v="0"/>
    <x v="3"/>
    <n v="806"/>
    <n v="1"/>
  </r>
  <r>
    <n v="1330"/>
    <s v="524 Main St, CityD"/>
    <d v="2023-09-08T14:02:00"/>
    <x v="0"/>
    <x v="34"/>
    <s v="Van A"/>
    <x v="3"/>
    <n v="84"/>
    <n v="15"/>
    <x v="2"/>
    <x v="1"/>
    <x v="1"/>
    <s v="Standard Rules"/>
    <n v="0"/>
    <n v="1"/>
    <x v="5"/>
    <n v="805"/>
    <n v="1"/>
  </r>
  <r>
    <n v="1375"/>
    <s v="347 Main St, CityD"/>
    <d v="2023-09-01T12:38:00"/>
    <x v="0"/>
    <x v="59"/>
    <s v="Van A"/>
    <x v="3"/>
    <n v="61"/>
    <n v="20"/>
    <x v="1"/>
    <x v="1"/>
    <x v="0"/>
    <s v="Expedited Rules"/>
    <n v="0"/>
    <n v="0"/>
    <x v="6"/>
    <n v="812"/>
    <n v="1"/>
  </r>
  <r>
    <n v="1402"/>
    <s v="855 Elm St, CityE"/>
    <d v="2023-09-05T08:01:00"/>
    <x v="0"/>
    <x v="55"/>
    <s v="Van A"/>
    <x v="3"/>
    <n v="216"/>
    <n v="20"/>
    <x v="2"/>
    <x v="3"/>
    <x v="1"/>
    <s v="Standard Rules"/>
    <n v="0"/>
    <n v="1"/>
    <x v="7"/>
    <n v="808"/>
    <n v="1"/>
  </r>
  <r>
    <n v="1408"/>
    <s v="210 Elm St, CityA"/>
    <d v="2023-09-07T08:20:00"/>
    <x v="1"/>
    <x v="52"/>
    <s v="Van A"/>
    <x v="3"/>
    <n v="178"/>
    <n v="5"/>
    <x v="0"/>
    <x v="4"/>
    <x v="1"/>
    <s v="Expedited Rules"/>
    <n v="0"/>
    <n v="0"/>
    <x v="3"/>
    <s v=""/>
    <n v="1"/>
  </r>
  <r>
    <n v="1455"/>
    <s v="856 Pine St, CityE"/>
    <d v="2023-09-05T16:20:00"/>
    <x v="1"/>
    <x v="4"/>
    <s v="Van A"/>
    <x v="3"/>
    <n v="182"/>
    <n v="15"/>
    <x v="1"/>
    <x v="0"/>
    <x v="1"/>
    <s v="Custom Rules"/>
    <n v="0"/>
    <n v="0"/>
    <x v="7"/>
    <s v=""/>
    <n v="1"/>
  </r>
  <r>
    <n v="1466"/>
    <s v="786 Oak St, CityB"/>
    <d v="2023-09-04T14:48:00"/>
    <x v="0"/>
    <x v="11"/>
    <s v="Van A"/>
    <x v="3"/>
    <n v="178"/>
    <n v="2"/>
    <x v="0"/>
    <x v="0"/>
    <x v="0"/>
    <s v="Expedited Rules"/>
    <n v="0"/>
    <n v="0"/>
    <x v="2"/>
    <n v="809"/>
    <n v="1"/>
  </r>
  <r>
    <n v="1482"/>
    <s v="681 Elm St, CityB"/>
    <d v="2023-09-02T16:18:00"/>
    <x v="0"/>
    <x v="12"/>
    <s v="Van A"/>
    <x v="3"/>
    <n v="222"/>
    <n v="10"/>
    <x v="0"/>
    <x v="0"/>
    <x v="2"/>
    <s v="Standard Rules"/>
    <n v="0"/>
    <n v="0"/>
    <x v="4"/>
    <n v="811"/>
    <n v="1"/>
  </r>
  <r>
    <n v="1543"/>
    <s v="104 Elm St, CityB"/>
    <d v="2023-09-08T12:00:00"/>
    <x v="1"/>
    <x v="10"/>
    <s v="Van A"/>
    <x v="3"/>
    <n v="123"/>
    <n v="10"/>
    <x v="1"/>
    <x v="2"/>
    <x v="2"/>
    <s v="Standard Rules"/>
    <n v="0"/>
    <n v="0"/>
    <x v="5"/>
    <s v=""/>
    <n v="1"/>
  </r>
  <r>
    <n v="1587"/>
    <s v="491 Cedar St, CityE"/>
    <d v="2023-09-06T11:59:00"/>
    <x v="0"/>
    <x v="16"/>
    <s v="Van A"/>
    <x v="3"/>
    <n v="178"/>
    <n v="5"/>
    <x v="1"/>
    <x v="0"/>
    <x v="2"/>
    <s v="Expedited Rules"/>
    <n v="0"/>
    <n v="0"/>
    <x v="1"/>
    <n v="807"/>
    <n v="1"/>
  </r>
  <r>
    <n v="1594"/>
    <s v="379 Oak St, CityD"/>
    <d v="2023-09-03T09:31:00"/>
    <x v="1"/>
    <x v="72"/>
    <s v="Van A"/>
    <x v="3"/>
    <n v="169"/>
    <n v="20"/>
    <x v="0"/>
    <x v="4"/>
    <x v="0"/>
    <s v="Expedited Rules"/>
    <n v="0"/>
    <n v="0"/>
    <x v="0"/>
    <s v=""/>
    <n v="1"/>
  </r>
  <r>
    <n v="1668"/>
    <s v="730 Pine St, CityD"/>
    <d v="2023-09-01T14:48:00"/>
    <x v="0"/>
    <x v="36"/>
    <s v="Van A"/>
    <x v="3"/>
    <n v="161"/>
    <n v="21"/>
    <x v="2"/>
    <x v="2"/>
    <x v="2"/>
    <s v="Custom Rules"/>
    <n v="0"/>
    <n v="1"/>
    <x v="6"/>
    <n v="812"/>
    <n v="1"/>
  </r>
  <r>
    <n v="1677"/>
    <s v="211 Oak St, CityB"/>
    <d v="2023-09-01T15:38:00"/>
    <x v="0"/>
    <x v="67"/>
    <s v="Van A"/>
    <x v="3"/>
    <n v="87"/>
    <n v="16"/>
    <x v="0"/>
    <x v="2"/>
    <x v="0"/>
    <s v="Custom Rules"/>
    <n v="0"/>
    <n v="0"/>
    <x v="6"/>
    <n v="812"/>
    <n v="1"/>
  </r>
  <r>
    <n v="1686"/>
    <s v="250 Main St, CityD"/>
    <d v="2023-09-05T14:02:00"/>
    <x v="1"/>
    <x v="50"/>
    <s v="Van A"/>
    <x v="3"/>
    <n v="206"/>
    <n v="3"/>
    <x v="0"/>
    <x v="4"/>
    <x v="1"/>
    <s v="Custom Rules"/>
    <n v="0"/>
    <n v="0"/>
    <x v="7"/>
    <s v=""/>
    <n v="1"/>
  </r>
  <r>
    <n v="1723"/>
    <s v="139 Elm St, CityA"/>
    <d v="2023-09-02T08:09:00"/>
    <x v="0"/>
    <x v="11"/>
    <s v="Van A"/>
    <x v="3"/>
    <n v="112"/>
    <n v="1"/>
    <x v="1"/>
    <x v="4"/>
    <x v="2"/>
    <s v="Custom Rules"/>
    <n v="0"/>
    <n v="0"/>
    <x v="4"/>
    <n v="811"/>
    <n v="1"/>
  </r>
  <r>
    <n v="1740"/>
    <s v="825 Main St, CityB"/>
    <d v="2023-09-01T10:14:00"/>
    <x v="0"/>
    <x v="27"/>
    <s v="Van A"/>
    <x v="3"/>
    <n v="159"/>
    <n v="28"/>
    <x v="2"/>
    <x v="2"/>
    <x v="1"/>
    <s v="Standard Rules"/>
    <n v="0"/>
    <n v="1"/>
    <x v="6"/>
    <n v="812"/>
    <n v="1"/>
  </r>
  <r>
    <n v="1741"/>
    <s v="76 Cedar St, CityC"/>
    <d v="2023-09-07T10:12:00"/>
    <x v="1"/>
    <x v="57"/>
    <s v="Van A"/>
    <x v="3"/>
    <n v="181"/>
    <n v="19"/>
    <x v="0"/>
    <x v="3"/>
    <x v="0"/>
    <s v="Custom Rules"/>
    <n v="0"/>
    <n v="0"/>
    <x v="3"/>
    <s v=""/>
    <n v="1"/>
  </r>
  <r>
    <n v="1779"/>
    <s v="677 Pine St, CityC"/>
    <d v="2023-09-07T16:05:00"/>
    <x v="0"/>
    <x v="63"/>
    <s v="Van A"/>
    <x v="3"/>
    <n v="98"/>
    <n v="1"/>
    <x v="0"/>
    <x v="0"/>
    <x v="2"/>
    <s v="Custom Rules"/>
    <n v="0"/>
    <n v="0"/>
    <x v="3"/>
    <n v="806"/>
    <n v="1"/>
  </r>
  <r>
    <n v="1822"/>
    <s v="603 Elm St, CityD"/>
    <d v="2023-09-08T16:47:00"/>
    <x v="0"/>
    <x v="63"/>
    <s v="Van A"/>
    <x v="3"/>
    <n v="113"/>
    <n v="8"/>
    <x v="2"/>
    <x v="3"/>
    <x v="0"/>
    <s v="Expedited Rules"/>
    <n v="0"/>
    <n v="1"/>
    <x v="5"/>
    <n v="805"/>
    <n v="1"/>
  </r>
  <r>
    <n v="1830"/>
    <s v="505 Main St, CityB"/>
    <d v="2023-09-01T13:42:00"/>
    <x v="0"/>
    <x v="93"/>
    <s v="Van A"/>
    <x v="3"/>
    <n v="80"/>
    <n v="8"/>
    <x v="0"/>
    <x v="4"/>
    <x v="0"/>
    <s v="Custom Rules"/>
    <n v="0"/>
    <n v="0"/>
    <x v="6"/>
    <n v="812"/>
    <n v="1"/>
  </r>
  <r>
    <n v="1840"/>
    <s v="844 Pine St, CityA"/>
    <d v="2023-09-05T14:37:00"/>
    <x v="1"/>
    <x v="62"/>
    <s v="Van A"/>
    <x v="3"/>
    <n v="134"/>
    <n v="5"/>
    <x v="1"/>
    <x v="0"/>
    <x v="1"/>
    <s v="Standard Rules"/>
    <n v="0"/>
    <n v="0"/>
    <x v="7"/>
    <s v=""/>
    <n v="1"/>
  </r>
  <r>
    <n v="1842"/>
    <s v="631 Cedar St, CityA"/>
    <d v="2023-09-06T11:27:00"/>
    <x v="1"/>
    <x v="42"/>
    <s v="Van A"/>
    <x v="3"/>
    <n v="121"/>
    <n v="4"/>
    <x v="0"/>
    <x v="1"/>
    <x v="2"/>
    <s v="Standard Rules"/>
    <n v="0"/>
    <n v="0"/>
    <x v="1"/>
    <s v=""/>
    <n v="1"/>
  </r>
  <r>
    <n v="1853"/>
    <s v="827 Elm St, CityC"/>
    <d v="2023-09-05T14:25:00"/>
    <x v="1"/>
    <x v="3"/>
    <s v="Van A"/>
    <x v="3"/>
    <n v="111"/>
    <n v="4"/>
    <x v="1"/>
    <x v="3"/>
    <x v="1"/>
    <s v="Expedited Rules"/>
    <n v="0"/>
    <n v="0"/>
    <x v="7"/>
    <s v=""/>
    <n v="1"/>
  </r>
  <r>
    <n v="1891"/>
    <s v="466 Cedar St, CityE"/>
    <d v="2023-09-01T13:20:00"/>
    <x v="1"/>
    <x v="12"/>
    <s v="Van A"/>
    <x v="3"/>
    <n v="232"/>
    <n v="23"/>
    <x v="1"/>
    <x v="0"/>
    <x v="1"/>
    <s v="Expedited Rules"/>
    <n v="0"/>
    <n v="0"/>
    <x v="6"/>
    <s v=""/>
    <n v="1"/>
  </r>
  <r>
    <n v="1895"/>
    <s v="643 Main St, CityD"/>
    <d v="2023-09-08T10:20:00"/>
    <x v="0"/>
    <x v="75"/>
    <s v="Van A"/>
    <x v="3"/>
    <n v="181"/>
    <n v="11"/>
    <x v="0"/>
    <x v="3"/>
    <x v="1"/>
    <s v="Custom Rules"/>
    <n v="0"/>
    <n v="0"/>
    <x v="5"/>
    <n v="805"/>
    <n v="1"/>
  </r>
  <r>
    <n v="1903"/>
    <s v="544 Elm St, CityA"/>
    <d v="2023-09-06T14:39:00"/>
    <x v="1"/>
    <x v="53"/>
    <s v="Van A"/>
    <x v="3"/>
    <n v="234"/>
    <n v="28"/>
    <x v="1"/>
    <x v="0"/>
    <x v="1"/>
    <s v="Standard Rules"/>
    <n v="0"/>
    <n v="0"/>
    <x v="1"/>
    <s v=""/>
    <n v="1"/>
  </r>
  <r>
    <n v="1918"/>
    <s v="22 Main St, CityB"/>
    <d v="2023-09-06T09:32:00"/>
    <x v="1"/>
    <x v="94"/>
    <s v="Van A"/>
    <x v="3"/>
    <n v="106"/>
    <n v="14"/>
    <x v="1"/>
    <x v="2"/>
    <x v="0"/>
    <s v="Custom Rules"/>
    <n v="0"/>
    <n v="0"/>
    <x v="1"/>
    <s v=""/>
    <n v="1"/>
  </r>
  <r>
    <n v="1934"/>
    <s v="181 Pine St, CityB"/>
    <d v="2023-09-05T13:28:00"/>
    <x v="1"/>
    <x v="21"/>
    <s v="Van A"/>
    <x v="3"/>
    <n v="206"/>
    <n v="13"/>
    <x v="1"/>
    <x v="3"/>
    <x v="2"/>
    <s v="Standard Rules"/>
    <n v="0"/>
    <n v="0"/>
    <x v="7"/>
    <s v=""/>
    <n v="1"/>
  </r>
  <r>
    <n v="1940"/>
    <s v="491 Oak St, CityA"/>
    <d v="2023-09-03T16:42:00"/>
    <x v="0"/>
    <x v="12"/>
    <s v="Van A"/>
    <x v="3"/>
    <n v="143"/>
    <n v="23"/>
    <x v="2"/>
    <x v="3"/>
    <x v="2"/>
    <s v="Standard Rules"/>
    <n v="0"/>
    <n v="1"/>
    <x v="0"/>
    <n v="810"/>
    <n v="1"/>
  </r>
  <r>
    <n v="1951"/>
    <s v="585 Oak St, CityA"/>
    <d v="2023-09-05T11:54:00"/>
    <x v="1"/>
    <x v="42"/>
    <s v="Van A"/>
    <x v="3"/>
    <n v="207"/>
    <n v="19"/>
    <x v="0"/>
    <x v="3"/>
    <x v="0"/>
    <s v="Standard Rules"/>
    <n v="0"/>
    <n v="0"/>
    <x v="7"/>
    <s v=""/>
    <n v="1"/>
  </r>
  <r>
    <n v="2014"/>
    <s v="605 Elm St, CityC"/>
    <d v="2023-09-07T12:36:00"/>
    <x v="0"/>
    <x v="3"/>
    <s v="Van A"/>
    <x v="3"/>
    <n v="221"/>
    <n v="8"/>
    <x v="1"/>
    <x v="0"/>
    <x v="2"/>
    <s v="Standard Rules"/>
    <n v="0"/>
    <n v="0"/>
    <x v="3"/>
    <n v="806"/>
    <n v="1"/>
  </r>
  <r>
    <n v="2016"/>
    <s v="189 Cedar St, CityA"/>
    <d v="2023-09-06T09:07:00"/>
    <x v="1"/>
    <x v="35"/>
    <s v="Van A"/>
    <x v="3"/>
    <n v="111"/>
    <n v="8"/>
    <x v="2"/>
    <x v="4"/>
    <x v="1"/>
    <s v="Standard Rules"/>
    <n v="0"/>
    <n v="1"/>
    <x v="1"/>
    <s v=""/>
    <n v="1"/>
  </r>
  <r>
    <n v="2044"/>
    <s v="206 Oak St, CityD"/>
    <d v="2023-09-08T09:00:00"/>
    <x v="1"/>
    <x v="67"/>
    <s v="Van A"/>
    <x v="3"/>
    <n v="182"/>
    <n v="17"/>
    <x v="1"/>
    <x v="4"/>
    <x v="2"/>
    <s v="Expedited Rules"/>
    <n v="0"/>
    <n v="0"/>
    <x v="5"/>
    <s v=""/>
    <n v="1"/>
  </r>
  <r>
    <n v="2059"/>
    <s v="819 Cedar St, CityB"/>
    <d v="2023-09-02T09:08:00"/>
    <x v="1"/>
    <x v="23"/>
    <s v="Van A"/>
    <x v="3"/>
    <n v="183"/>
    <n v="14"/>
    <x v="1"/>
    <x v="3"/>
    <x v="0"/>
    <s v="Custom Rules"/>
    <n v="0"/>
    <n v="0"/>
    <x v="4"/>
    <s v=""/>
    <n v="1"/>
  </r>
  <r>
    <n v="2069"/>
    <s v="99 Pine St, CityD"/>
    <d v="2023-09-04T14:24:00"/>
    <x v="0"/>
    <x v="59"/>
    <s v="Van A"/>
    <x v="3"/>
    <n v="199"/>
    <n v="9"/>
    <x v="0"/>
    <x v="2"/>
    <x v="2"/>
    <s v="Standard Rules"/>
    <n v="0"/>
    <n v="0"/>
    <x v="2"/>
    <n v="809"/>
    <n v="1"/>
  </r>
  <r>
    <n v="2085"/>
    <s v="419 Main St, CityC"/>
    <d v="2023-09-05T10:36:00"/>
    <x v="0"/>
    <x v="42"/>
    <s v="Van A"/>
    <x v="3"/>
    <n v="112"/>
    <n v="13"/>
    <x v="2"/>
    <x v="3"/>
    <x v="1"/>
    <s v="Standard Rules"/>
    <n v="0"/>
    <n v="1"/>
    <x v="7"/>
    <n v="808"/>
    <n v="1"/>
  </r>
  <r>
    <n v="2088"/>
    <s v="349 Elm St, CityE"/>
    <d v="2023-09-05T15:28:00"/>
    <x v="1"/>
    <x v="46"/>
    <s v="Van A"/>
    <x v="3"/>
    <n v="77"/>
    <n v="21"/>
    <x v="0"/>
    <x v="0"/>
    <x v="0"/>
    <s v="Standard Rules"/>
    <n v="0"/>
    <n v="0"/>
    <x v="7"/>
    <s v=""/>
    <n v="1"/>
  </r>
  <r>
    <n v="2097"/>
    <s v="235 Cedar St, CityC"/>
    <d v="2023-09-06T10:28:00"/>
    <x v="0"/>
    <x v="72"/>
    <s v="Van A"/>
    <x v="3"/>
    <n v="168"/>
    <n v="15"/>
    <x v="2"/>
    <x v="3"/>
    <x v="1"/>
    <s v="Standard Rules"/>
    <n v="0"/>
    <n v="1"/>
    <x v="1"/>
    <n v="807"/>
    <n v="1"/>
  </r>
  <r>
    <n v="2099"/>
    <s v="958 Oak St, CityD"/>
    <d v="2023-09-03T10:33:00"/>
    <x v="0"/>
    <x v="4"/>
    <s v="Van A"/>
    <x v="3"/>
    <n v="237"/>
    <n v="16"/>
    <x v="2"/>
    <x v="2"/>
    <x v="0"/>
    <s v="Custom Rules"/>
    <n v="0"/>
    <n v="1"/>
    <x v="0"/>
    <n v="810"/>
    <n v="1"/>
  </r>
  <r>
    <n v="2112"/>
    <s v="486 Pine St, CityA"/>
    <d v="2023-09-01T11:57:00"/>
    <x v="0"/>
    <x v="40"/>
    <s v="Van A"/>
    <x v="3"/>
    <n v="64"/>
    <n v="10"/>
    <x v="0"/>
    <x v="1"/>
    <x v="0"/>
    <s v="Custom Rules"/>
    <n v="0"/>
    <n v="0"/>
    <x v="6"/>
    <n v="812"/>
    <n v="1"/>
  </r>
  <r>
    <n v="2117"/>
    <s v="426 Main St, CityD"/>
    <d v="2023-09-04T15:10:00"/>
    <x v="1"/>
    <x v="45"/>
    <s v="Van A"/>
    <x v="3"/>
    <n v="184"/>
    <n v="18"/>
    <x v="0"/>
    <x v="2"/>
    <x v="2"/>
    <s v="Custom Rules"/>
    <n v="0"/>
    <n v="0"/>
    <x v="2"/>
    <s v=""/>
    <n v="1"/>
  </r>
  <r>
    <n v="2125"/>
    <s v="977 Pine St, CityD"/>
    <d v="2023-09-07T08:28:00"/>
    <x v="0"/>
    <x v="32"/>
    <s v="Van A"/>
    <x v="3"/>
    <n v="154"/>
    <n v="13"/>
    <x v="1"/>
    <x v="3"/>
    <x v="2"/>
    <s v="Expedited Rules"/>
    <n v="0"/>
    <n v="0"/>
    <x v="3"/>
    <n v="806"/>
    <n v="1"/>
  </r>
  <r>
    <n v="2170"/>
    <s v="180 Oak St, CityE"/>
    <d v="2023-09-06T08:55:00"/>
    <x v="1"/>
    <x v="41"/>
    <s v="Van A"/>
    <x v="3"/>
    <n v="164"/>
    <n v="27"/>
    <x v="1"/>
    <x v="0"/>
    <x v="1"/>
    <s v="Standard Rules"/>
    <n v="0"/>
    <n v="0"/>
    <x v="1"/>
    <s v=""/>
    <n v="1"/>
  </r>
  <r>
    <n v="2179"/>
    <s v="543 Elm St, CityD"/>
    <d v="2023-09-03T15:20:00"/>
    <x v="1"/>
    <x v="80"/>
    <s v="Van A"/>
    <x v="3"/>
    <n v="194"/>
    <n v="6"/>
    <x v="1"/>
    <x v="4"/>
    <x v="0"/>
    <s v="Expedited Rules"/>
    <n v="0"/>
    <n v="0"/>
    <x v="0"/>
    <s v=""/>
    <n v="1"/>
  </r>
  <r>
    <n v="2228"/>
    <s v="749 Main St, CityC"/>
    <d v="2023-09-05T09:02:00"/>
    <x v="0"/>
    <x v="59"/>
    <s v="Van A"/>
    <x v="3"/>
    <n v="145"/>
    <n v="5"/>
    <x v="1"/>
    <x v="0"/>
    <x v="2"/>
    <s v="Expedited Rules"/>
    <n v="0"/>
    <n v="0"/>
    <x v="7"/>
    <n v="808"/>
    <n v="1"/>
  </r>
  <r>
    <n v="2238"/>
    <s v="602 Oak St, CityA"/>
    <d v="2023-09-07T08:14:00"/>
    <x v="1"/>
    <x v="69"/>
    <s v="Van A"/>
    <x v="3"/>
    <n v="217"/>
    <n v="1"/>
    <x v="0"/>
    <x v="1"/>
    <x v="1"/>
    <s v="Standard Rules"/>
    <n v="0"/>
    <n v="0"/>
    <x v="3"/>
    <s v=""/>
    <n v="1"/>
  </r>
  <r>
    <n v="2251"/>
    <s v="509 Oak St, CityD"/>
    <d v="2023-09-08T08:03:00"/>
    <x v="0"/>
    <x v="22"/>
    <s v="Van A"/>
    <x v="3"/>
    <n v="123"/>
    <n v="4"/>
    <x v="2"/>
    <x v="2"/>
    <x v="0"/>
    <s v="Custom Rules"/>
    <n v="0"/>
    <n v="1"/>
    <x v="5"/>
    <n v="805"/>
    <n v="1"/>
  </r>
  <r>
    <n v="2252"/>
    <s v="98 Pine St, CityE"/>
    <d v="2023-09-07T14:34:00"/>
    <x v="0"/>
    <x v="88"/>
    <s v="Van A"/>
    <x v="3"/>
    <n v="158"/>
    <n v="1"/>
    <x v="2"/>
    <x v="2"/>
    <x v="1"/>
    <s v="Custom Rules"/>
    <n v="0"/>
    <n v="1"/>
    <x v="3"/>
    <n v="806"/>
    <n v="1"/>
  </r>
  <r>
    <n v="2295"/>
    <s v="91 Main St, CityD"/>
    <d v="2023-09-07T15:09:00"/>
    <x v="0"/>
    <x v="51"/>
    <s v="Van A"/>
    <x v="3"/>
    <n v="160"/>
    <n v="28"/>
    <x v="2"/>
    <x v="2"/>
    <x v="2"/>
    <s v="Custom Rules"/>
    <n v="0"/>
    <n v="1"/>
    <x v="3"/>
    <n v="806"/>
    <n v="1"/>
  </r>
  <r>
    <n v="2301"/>
    <s v="564 Elm St, CityD"/>
    <d v="2023-09-06T12:35:00"/>
    <x v="1"/>
    <x v="65"/>
    <s v="Van A"/>
    <x v="3"/>
    <n v="144"/>
    <n v="23"/>
    <x v="0"/>
    <x v="1"/>
    <x v="1"/>
    <s v="Custom Rules"/>
    <n v="0"/>
    <n v="0"/>
    <x v="1"/>
    <s v=""/>
    <n v="1"/>
  </r>
  <r>
    <n v="2316"/>
    <s v="105 Oak St, CityD"/>
    <d v="2023-09-07T15:02:00"/>
    <x v="0"/>
    <x v="94"/>
    <s v="Van A"/>
    <x v="3"/>
    <n v="99"/>
    <n v="17"/>
    <x v="1"/>
    <x v="3"/>
    <x v="1"/>
    <s v="Standard Rules"/>
    <n v="0"/>
    <n v="0"/>
    <x v="3"/>
    <n v="806"/>
    <n v="1"/>
  </r>
  <r>
    <n v="2326"/>
    <s v="587 Pine St, CityC"/>
    <d v="2023-09-03T11:00:00"/>
    <x v="0"/>
    <x v="59"/>
    <s v="Van A"/>
    <x v="3"/>
    <n v="230"/>
    <n v="26"/>
    <x v="2"/>
    <x v="4"/>
    <x v="0"/>
    <s v="Standard Rules"/>
    <n v="0"/>
    <n v="1"/>
    <x v="0"/>
    <n v="810"/>
    <n v="1"/>
  </r>
  <r>
    <n v="2339"/>
    <s v="414 Cedar St, CityE"/>
    <d v="2023-09-03T16:30:00"/>
    <x v="0"/>
    <x v="24"/>
    <s v="Van A"/>
    <x v="3"/>
    <n v="145"/>
    <n v="19"/>
    <x v="1"/>
    <x v="3"/>
    <x v="0"/>
    <s v="Expedited Rules"/>
    <n v="0"/>
    <n v="0"/>
    <x v="0"/>
    <n v="810"/>
    <n v="1"/>
  </r>
  <r>
    <n v="2349"/>
    <s v="687 Cedar St, CityC"/>
    <d v="2023-09-03T08:24:00"/>
    <x v="1"/>
    <x v="66"/>
    <s v="Van A"/>
    <x v="3"/>
    <n v="61"/>
    <n v="27"/>
    <x v="2"/>
    <x v="0"/>
    <x v="1"/>
    <s v="Expedited Rules"/>
    <n v="0"/>
    <n v="1"/>
    <x v="0"/>
    <s v=""/>
    <n v="1"/>
  </r>
  <r>
    <n v="2356"/>
    <s v="445 Oak St, CityA"/>
    <d v="2023-09-04T13:15:00"/>
    <x v="1"/>
    <x v="62"/>
    <s v="Van A"/>
    <x v="3"/>
    <n v="180"/>
    <n v="11"/>
    <x v="1"/>
    <x v="2"/>
    <x v="2"/>
    <s v="Custom Rules"/>
    <n v="0"/>
    <n v="0"/>
    <x v="2"/>
    <s v=""/>
    <n v="1"/>
  </r>
  <r>
    <n v="2357"/>
    <s v="563 Elm St, CityD"/>
    <d v="2023-09-01T12:28:00"/>
    <x v="0"/>
    <x v="95"/>
    <s v="Van A"/>
    <x v="3"/>
    <n v="134"/>
    <n v="17"/>
    <x v="2"/>
    <x v="0"/>
    <x v="1"/>
    <s v="Expedited Rules"/>
    <n v="0"/>
    <n v="1"/>
    <x v="6"/>
    <n v="812"/>
    <n v="1"/>
  </r>
  <r>
    <n v="2369"/>
    <s v="258 Elm St, CityC"/>
    <d v="2023-09-04T08:47:00"/>
    <x v="0"/>
    <x v="40"/>
    <s v="Van A"/>
    <x v="3"/>
    <n v="207"/>
    <n v="2"/>
    <x v="2"/>
    <x v="0"/>
    <x v="0"/>
    <s v="Standard Rules"/>
    <n v="0"/>
    <n v="1"/>
    <x v="2"/>
    <n v="809"/>
    <n v="1"/>
  </r>
  <r>
    <n v="2372"/>
    <s v="871 Cedar St, CityC"/>
    <d v="2023-09-03T15:15:00"/>
    <x v="0"/>
    <x v="50"/>
    <s v="Van A"/>
    <x v="3"/>
    <n v="210"/>
    <n v="21"/>
    <x v="2"/>
    <x v="0"/>
    <x v="1"/>
    <s v="Custom Rules"/>
    <n v="0"/>
    <n v="1"/>
    <x v="0"/>
    <n v="810"/>
    <n v="1"/>
  </r>
  <r>
    <n v="2378"/>
    <s v="65 Main St, CityA"/>
    <d v="2023-09-05T10:11:00"/>
    <x v="1"/>
    <x v="56"/>
    <s v="Van A"/>
    <x v="3"/>
    <n v="237"/>
    <n v="9"/>
    <x v="1"/>
    <x v="0"/>
    <x v="2"/>
    <s v="Custom Rules"/>
    <n v="0"/>
    <n v="0"/>
    <x v="7"/>
    <s v=""/>
    <n v="1"/>
  </r>
  <r>
    <n v="2397"/>
    <s v="732 Pine St, CityB"/>
    <d v="2023-09-04T08:21:00"/>
    <x v="1"/>
    <x v="62"/>
    <s v="Van A"/>
    <x v="3"/>
    <n v="101"/>
    <n v="5"/>
    <x v="1"/>
    <x v="4"/>
    <x v="1"/>
    <s v="Standard Rules"/>
    <n v="0"/>
    <n v="0"/>
    <x v="2"/>
    <s v=""/>
    <n v="1"/>
  </r>
  <r>
    <n v="2408"/>
    <s v="204 Elm St, CityD"/>
    <d v="2023-09-03T16:27:00"/>
    <x v="1"/>
    <x v="82"/>
    <s v="Van A"/>
    <x v="3"/>
    <n v="175"/>
    <n v="13"/>
    <x v="2"/>
    <x v="4"/>
    <x v="1"/>
    <s v="Expedited Rules"/>
    <n v="0"/>
    <n v="1"/>
    <x v="0"/>
    <s v=""/>
    <n v="1"/>
  </r>
  <r>
    <n v="2409"/>
    <s v="238 Main St, CityB"/>
    <d v="2023-09-02T13:43:00"/>
    <x v="0"/>
    <x v="26"/>
    <s v="Van A"/>
    <x v="3"/>
    <n v="195"/>
    <n v="21"/>
    <x v="2"/>
    <x v="4"/>
    <x v="0"/>
    <s v="Custom Rules"/>
    <n v="0"/>
    <n v="1"/>
    <x v="4"/>
    <n v="811"/>
    <n v="1"/>
  </r>
  <r>
    <n v="2415"/>
    <s v="870 Elm St, CityA"/>
    <d v="2023-09-02T09:32:00"/>
    <x v="0"/>
    <x v="14"/>
    <s v="Van A"/>
    <x v="3"/>
    <n v="198"/>
    <n v="20"/>
    <x v="0"/>
    <x v="4"/>
    <x v="1"/>
    <s v="Expedited Rules"/>
    <n v="0"/>
    <n v="0"/>
    <x v="4"/>
    <n v="811"/>
    <n v="1"/>
  </r>
  <r>
    <n v="2427"/>
    <s v="331 Main St, CityB"/>
    <d v="2023-09-01T08:07:00"/>
    <x v="1"/>
    <x v="74"/>
    <s v="Van A"/>
    <x v="3"/>
    <n v="166"/>
    <n v="26"/>
    <x v="0"/>
    <x v="4"/>
    <x v="1"/>
    <s v="Expedited Rules"/>
    <n v="0"/>
    <n v="0"/>
    <x v="6"/>
    <s v=""/>
    <n v="1"/>
  </r>
  <r>
    <n v="2443"/>
    <s v="753 Pine St, CityE"/>
    <d v="2023-09-04T10:19:00"/>
    <x v="0"/>
    <x v="1"/>
    <s v="Van A"/>
    <x v="3"/>
    <n v="80"/>
    <n v="7"/>
    <x v="0"/>
    <x v="4"/>
    <x v="1"/>
    <s v="Custom Rules"/>
    <n v="0"/>
    <n v="0"/>
    <x v="2"/>
    <n v="809"/>
    <n v="1"/>
  </r>
  <r>
    <n v="2444"/>
    <s v="449 Elm St, CityD"/>
    <d v="2023-09-02T15:57:00"/>
    <x v="0"/>
    <x v="5"/>
    <s v="Van A"/>
    <x v="3"/>
    <n v="133"/>
    <n v="15"/>
    <x v="0"/>
    <x v="4"/>
    <x v="2"/>
    <s v="Expedited Rules"/>
    <n v="0"/>
    <n v="0"/>
    <x v="4"/>
    <n v="811"/>
    <n v="1"/>
  </r>
  <r>
    <n v="2456"/>
    <s v="922 Pine St, CityE"/>
    <d v="2023-09-06T12:58:00"/>
    <x v="1"/>
    <x v="75"/>
    <s v="Van A"/>
    <x v="3"/>
    <n v="147"/>
    <n v="5"/>
    <x v="0"/>
    <x v="1"/>
    <x v="2"/>
    <s v="Custom Rules"/>
    <n v="0"/>
    <n v="0"/>
    <x v="1"/>
    <s v=""/>
    <n v="1"/>
  </r>
  <r>
    <n v="2462"/>
    <s v="691 Elm St, CityA"/>
    <d v="2023-09-04T14:37:00"/>
    <x v="0"/>
    <x v="19"/>
    <s v="Van A"/>
    <x v="3"/>
    <n v="72"/>
    <n v="17"/>
    <x v="1"/>
    <x v="1"/>
    <x v="0"/>
    <s v="Standard Rules"/>
    <n v="0"/>
    <n v="0"/>
    <x v="2"/>
    <n v="809"/>
    <n v="1"/>
  </r>
  <r>
    <n v="2469"/>
    <s v="585 Elm St, CityC"/>
    <d v="2023-09-04T09:36:00"/>
    <x v="0"/>
    <x v="47"/>
    <s v="Van A"/>
    <x v="3"/>
    <n v="130"/>
    <n v="24"/>
    <x v="0"/>
    <x v="2"/>
    <x v="0"/>
    <s v="Standard Rules"/>
    <n v="0"/>
    <n v="0"/>
    <x v="2"/>
    <n v="809"/>
    <n v="1"/>
  </r>
  <r>
    <n v="2472"/>
    <s v="571 Cedar St, CityE"/>
    <d v="2023-09-06T12:08:00"/>
    <x v="1"/>
    <x v="34"/>
    <s v="Van A"/>
    <x v="3"/>
    <n v="169"/>
    <n v="26"/>
    <x v="0"/>
    <x v="4"/>
    <x v="1"/>
    <s v="Expedited Rules"/>
    <n v="0"/>
    <n v="0"/>
    <x v="1"/>
    <s v=""/>
    <n v="1"/>
  </r>
  <r>
    <n v="1013"/>
    <s v="868 Oak St, CityB"/>
    <d v="2023-09-03T12:16:00"/>
    <x v="1"/>
    <x v="83"/>
    <s v="Van A"/>
    <x v="4"/>
    <n v="127"/>
    <n v="17"/>
    <x v="1"/>
    <x v="1"/>
    <x v="2"/>
    <s v="Expedited Rules"/>
    <n v="0"/>
    <n v="0"/>
    <x v="0"/>
    <s v=""/>
    <n v="1"/>
  </r>
  <r>
    <n v="1016"/>
    <s v="512 Main St, CityB"/>
    <d v="2023-09-05T13:52:00"/>
    <x v="0"/>
    <x v="96"/>
    <s v="Van A"/>
    <x v="4"/>
    <n v="163"/>
    <n v="6"/>
    <x v="0"/>
    <x v="0"/>
    <x v="2"/>
    <s v="Standard Rules"/>
    <n v="0"/>
    <n v="0"/>
    <x v="7"/>
    <n v="808"/>
    <n v="1"/>
  </r>
  <r>
    <n v="1046"/>
    <s v="685 Cedar St, CityA"/>
    <d v="2023-09-02T13:12:00"/>
    <x v="1"/>
    <x v="18"/>
    <s v="Van A"/>
    <x v="4"/>
    <n v="94"/>
    <n v="4"/>
    <x v="1"/>
    <x v="3"/>
    <x v="1"/>
    <s v="Expedited Rules"/>
    <n v="0"/>
    <n v="0"/>
    <x v="4"/>
    <s v=""/>
    <n v="1"/>
  </r>
  <r>
    <n v="1047"/>
    <s v="347 Elm St, CityC"/>
    <d v="2023-09-03T11:46:00"/>
    <x v="1"/>
    <x v="11"/>
    <s v="Van A"/>
    <x v="4"/>
    <n v="123"/>
    <n v="14"/>
    <x v="0"/>
    <x v="3"/>
    <x v="2"/>
    <s v="Custom Rules"/>
    <n v="0"/>
    <n v="0"/>
    <x v="0"/>
    <s v=""/>
    <n v="1"/>
  </r>
  <r>
    <n v="1090"/>
    <s v="963 Oak St, CityD"/>
    <d v="2023-09-08T14:28:00"/>
    <x v="1"/>
    <x v="7"/>
    <s v="Van A"/>
    <x v="4"/>
    <n v="185"/>
    <n v="27"/>
    <x v="2"/>
    <x v="2"/>
    <x v="0"/>
    <s v="Standard Rules"/>
    <n v="0"/>
    <n v="1"/>
    <x v="5"/>
    <s v=""/>
    <n v="1"/>
  </r>
  <r>
    <n v="1091"/>
    <s v="707 Main St, CityD"/>
    <d v="2023-09-07T12:41:00"/>
    <x v="0"/>
    <x v="0"/>
    <s v="Van A"/>
    <x v="4"/>
    <n v="125"/>
    <n v="4"/>
    <x v="0"/>
    <x v="4"/>
    <x v="0"/>
    <s v="Custom Rules"/>
    <n v="0"/>
    <n v="0"/>
    <x v="3"/>
    <n v="806"/>
    <n v="1"/>
  </r>
  <r>
    <n v="1135"/>
    <s v="7 Pine St, CityA"/>
    <d v="2023-09-04T14:18:00"/>
    <x v="0"/>
    <x v="41"/>
    <s v="Van A"/>
    <x v="4"/>
    <n v="185"/>
    <n v="5"/>
    <x v="0"/>
    <x v="2"/>
    <x v="0"/>
    <s v="Custom Rules"/>
    <n v="0"/>
    <n v="0"/>
    <x v="2"/>
    <n v="809"/>
    <n v="1"/>
  </r>
  <r>
    <n v="1203"/>
    <s v="389 Pine St, CityB"/>
    <d v="2023-09-02T11:29:00"/>
    <x v="1"/>
    <x v="56"/>
    <s v="Van A"/>
    <x v="4"/>
    <n v="77"/>
    <n v="1"/>
    <x v="0"/>
    <x v="0"/>
    <x v="0"/>
    <s v="Standard Rules"/>
    <n v="0"/>
    <n v="0"/>
    <x v="4"/>
    <s v=""/>
    <n v="1"/>
  </r>
  <r>
    <n v="1208"/>
    <s v="970 Cedar St, CityC"/>
    <d v="2023-09-01T11:54:00"/>
    <x v="1"/>
    <x v="1"/>
    <s v="Van A"/>
    <x v="4"/>
    <n v="135"/>
    <n v="21"/>
    <x v="0"/>
    <x v="3"/>
    <x v="0"/>
    <s v="Standard Rules"/>
    <n v="0"/>
    <n v="0"/>
    <x v="6"/>
    <s v=""/>
    <n v="1"/>
  </r>
  <r>
    <n v="1209"/>
    <s v="907 Oak St, CityA"/>
    <d v="2023-09-03T12:04:00"/>
    <x v="0"/>
    <x v="7"/>
    <s v="Van A"/>
    <x v="4"/>
    <n v="224"/>
    <n v="9"/>
    <x v="0"/>
    <x v="3"/>
    <x v="1"/>
    <s v="Custom Rules"/>
    <n v="0"/>
    <n v="0"/>
    <x v="0"/>
    <n v="810"/>
    <n v="1"/>
  </r>
  <r>
    <n v="1216"/>
    <s v="637 Cedar St, CityD"/>
    <d v="2023-09-01T14:27:00"/>
    <x v="0"/>
    <x v="29"/>
    <s v="Van A"/>
    <x v="4"/>
    <n v="136"/>
    <n v="2"/>
    <x v="0"/>
    <x v="1"/>
    <x v="2"/>
    <s v="Custom Rules"/>
    <n v="0"/>
    <n v="0"/>
    <x v="6"/>
    <n v="812"/>
    <n v="1"/>
  </r>
  <r>
    <n v="1223"/>
    <s v="346 Main St, CityC"/>
    <d v="2023-09-01T08:15:00"/>
    <x v="1"/>
    <x v="59"/>
    <s v="Van A"/>
    <x v="4"/>
    <n v="103"/>
    <n v="15"/>
    <x v="2"/>
    <x v="3"/>
    <x v="0"/>
    <s v="Standard Rules"/>
    <n v="0"/>
    <n v="1"/>
    <x v="6"/>
    <s v=""/>
    <n v="1"/>
  </r>
  <r>
    <n v="1227"/>
    <s v="753 Cedar St, CityA"/>
    <d v="2023-09-08T09:23:00"/>
    <x v="1"/>
    <x v="49"/>
    <s v="Van A"/>
    <x v="4"/>
    <n v="92"/>
    <n v="21"/>
    <x v="1"/>
    <x v="3"/>
    <x v="0"/>
    <s v="Standard Rules"/>
    <n v="0"/>
    <n v="0"/>
    <x v="5"/>
    <s v=""/>
    <n v="1"/>
  </r>
  <r>
    <n v="1243"/>
    <s v="586 Elm St, CityA"/>
    <d v="2023-09-02T08:55:00"/>
    <x v="0"/>
    <x v="51"/>
    <s v="Van A"/>
    <x v="4"/>
    <n v="180"/>
    <n v="2"/>
    <x v="1"/>
    <x v="2"/>
    <x v="0"/>
    <s v="Custom Rules"/>
    <n v="0"/>
    <n v="0"/>
    <x v="4"/>
    <n v="811"/>
    <n v="1"/>
  </r>
  <r>
    <n v="1264"/>
    <s v="720 Main St, CityB"/>
    <d v="2023-09-03T16:15:00"/>
    <x v="1"/>
    <x v="7"/>
    <s v="Van A"/>
    <x v="4"/>
    <n v="76"/>
    <n v="14"/>
    <x v="0"/>
    <x v="0"/>
    <x v="0"/>
    <s v="Custom Rules"/>
    <n v="0"/>
    <n v="0"/>
    <x v="0"/>
    <s v=""/>
    <n v="1"/>
  </r>
  <r>
    <n v="1309"/>
    <s v="823 Elm St, CityD"/>
    <d v="2023-09-06T15:56:00"/>
    <x v="1"/>
    <x v="61"/>
    <s v="Van A"/>
    <x v="4"/>
    <n v="201"/>
    <n v="11"/>
    <x v="2"/>
    <x v="3"/>
    <x v="1"/>
    <s v="Custom Rules"/>
    <n v="0"/>
    <n v="1"/>
    <x v="1"/>
    <s v=""/>
    <n v="1"/>
  </r>
  <r>
    <n v="1315"/>
    <s v="289 Oak St, CityC"/>
    <d v="2023-09-06T14:30:00"/>
    <x v="1"/>
    <x v="17"/>
    <s v="Van A"/>
    <x v="4"/>
    <n v="171"/>
    <n v="2"/>
    <x v="0"/>
    <x v="0"/>
    <x v="1"/>
    <s v="Custom Rules"/>
    <n v="0"/>
    <n v="0"/>
    <x v="1"/>
    <s v=""/>
    <n v="1"/>
  </r>
  <r>
    <n v="1335"/>
    <s v="461 Pine St, CityB"/>
    <d v="2023-09-08T13:06:00"/>
    <x v="0"/>
    <x v="58"/>
    <s v="Van A"/>
    <x v="4"/>
    <n v="118"/>
    <n v="18"/>
    <x v="1"/>
    <x v="1"/>
    <x v="0"/>
    <s v="Custom Rules"/>
    <n v="0"/>
    <n v="0"/>
    <x v="5"/>
    <n v="805"/>
    <n v="1"/>
  </r>
  <r>
    <n v="1343"/>
    <s v="905 Cedar St, CityB"/>
    <d v="2023-09-01T09:28:00"/>
    <x v="1"/>
    <x v="33"/>
    <s v="Van A"/>
    <x v="4"/>
    <n v="106"/>
    <n v="24"/>
    <x v="0"/>
    <x v="2"/>
    <x v="0"/>
    <s v="Expedited Rules"/>
    <n v="0"/>
    <n v="0"/>
    <x v="6"/>
    <s v=""/>
    <n v="1"/>
  </r>
  <r>
    <n v="1360"/>
    <s v="601 Elm St, CityC"/>
    <d v="2023-09-04T09:14:00"/>
    <x v="1"/>
    <x v="19"/>
    <s v="Van A"/>
    <x v="4"/>
    <n v="171"/>
    <n v="27"/>
    <x v="1"/>
    <x v="4"/>
    <x v="0"/>
    <s v="Expedited Rules"/>
    <n v="0"/>
    <n v="0"/>
    <x v="2"/>
    <s v=""/>
    <n v="1"/>
  </r>
  <r>
    <n v="1367"/>
    <s v="628 Main St, CityC"/>
    <d v="2023-09-03T12:31:00"/>
    <x v="1"/>
    <x v="86"/>
    <s v="Van A"/>
    <x v="4"/>
    <n v="222"/>
    <n v="5"/>
    <x v="0"/>
    <x v="0"/>
    <x v="0"/>
    <s v="Custom Rules"/>
    <n v="0"/>
    <n v="0"/>
    <x v="0"/>
    <s v=""/>
    <n v="1"/>
  </r>
  <r>
    <n v="1388"/>
    <s v="328 Oak St, CityD"/>
    <d v="2023-09-05T13:21:00"/>
    <x v="0"/>
    <x v="21"/>
    <s v="Van A"/>
    <x v="4"/>
    <n v="143"/>
    <n v="17"/>
    <x v="1"/>
    <x v="0"/>
    <x v="1"/>
    <s v="Standard Rules"/>
    <n v="0"/>
    <n v="0"/>
    <x v="7"/>
    <n v="808"/>
    <n v="1"/>
  </r>
  <r>
    <n v="1401"/>
    <s v="524 Pine St, CityB"/>
    <d v="2023-09-01T14:31:00"/>
    <x v="1"/>
    <x v="74"/>
    <s v="Van A"/>
    <x v="4"/>
    <n v="88"/>
    <n v="28"/>
    <x v="0"/>
    <x v="3"/>
    <x v="0"/>
    <s v="Standard Rules"/>
    <n v="0"/>
    <n v="0"/>
    <x v="6"/>
    <s v=""/>
    <n v="1"/>
  </r>
  <r>
    <n v="1422"/>
    <s v="492 Cedar St, CityE"/>
    <d v="2023-09-06T13:38:00"/>
    <x v="1"/>
    <x v="44"/>
    <s v="Van A"/>
    <x v="4"/>
    <n v="231"/>
    <n v="10"/>
    <x v="0"/>
    <x v="2"/>
    <x v="1"/>
    <s v="Standard Rules"/>
    <n v="0"/>
    <n v="0"/>
    <x v="1"/>
    <s v=""/>
    <n v="1"/>
  </r>
  <r>
    <n v="1465"/>
    <s v="382 Pine St, CityC"/>
    <d v="2023-09-08T09:28:00"/>
    <x v="0"/>
    <x v="91"/>
    <s v="Van A"/>
    <x v="4"/>
    <n v="80"/>
    <n v="9"/>
    <x v="0"/>
    <x v="0"/>
    <x v="0"/>
    <s v="Custom Rules"/>
    <n v="0"/>
    <n v="0"/>
    <x v="5"/>
    <n v="805"/>
    <n v="1"/>
  </r>
  <r>
    <n v="1476"/>
    <s v="872 Cedar St, CityB"/>
    <d v="2023-09-03T13:46:00"/>
    <x v="1"/>
    <x v="89"/>
    <s v="Van A"/>
    <x v="4"/>
    <n v="71"/>
    <n v="14"/>
    <x v="0"/>
    <x v="2"/>
    <x v="0"/>
    <s v="Standard Rules"/>
    <n v="0"/>
    <n v="0"/>
    <x v="0"/>
    <s v=""/>
    <n v="1"/>
  </r>
  <r>
    <n v="1493"/>
    <s v="712 Oak St, CityB"/>
    <d v="2023-09-05T16:32:00"/>
    <x v="1"/>
    <x v="14"/>
    <s v="Van A"/>
    <x v="4"/>
    <n v="218"/>
    <n v="4"/>
    <x v="2"/>
    <x v="4"/>
    <x v="0"/>
    <s v="Expedited Rules"/>
    <n v="0"/>
    <n v="1"/>
    <x v="7"/>
    <s v=""/>
    <n v="1"/>
  </r>
  <r>
    <n v="1494"/>
    <s v="774 Pine St, CityC"/>
    <d v="2023-09-07T16:47:00"/>
    <x v="0"/>
    <x v="17"/>
    <s v="Van A"/>
    <x v="4"/>
    <n v="67"/>
    <n v="24"/>
    <x v="0"/>
    <x v="3"/>
    <x v="1"/>
    <s v="Expedited Rules"/>
    <n v="0"/>
    <n v="0"/>
    <x v="3"/>
    <n v="806"/>
    <n v="1"/>
  </r>
  <r>
    <n v="1503"/>
    <s v="352 Pine St, CityC"/>
    <d v="2023-09-05T12:11:00"/>
    <x v="1"/>
    <x v="6"/>
    <s v="Van A"/>
    <x v="4"/>
    <n v="122"/>
    <n v="1"/>
    <x v="0"/>
    <x v="0"/>
    <x v="1"/>
    <s v="Expedited Rules"/>
    <n v="0"/>
    <n v="0"/>
    <x v="7"/>
    <s v=""/>
    <n v="1"/>
  </r>
  <r>
    <n v="1508"/>
    <s v="512 Oak St, CityC"/>
    <d v="2023-09-08T10:07:00"/>
    <x v="0"/>
    <x v="49"/>
    <s v="Van A"/>
    <x v="4"/>
    <n v="69"/>
    <n v="9"/>
    <x v="1"/>
    <x v="4"/>
    <x v="0"/>
    <s v="Standard Rules"/>
    <n v="0"/>
    <n v="0"/>
    <x v="5"/>
    <n v="805"/>
    <n v="1"/>
  </r>
  <r>
    <n v="1590"/>
    <s v="295 Pine St, CityA"/>
    <d v="2023-09-08T10:17:00"/>
    <x v="0"/>
    <x v="96"/>
    <s v="Van A"/>
    <x v="4"/>
    <n v="187"/>
    <n v="14"/>
    <x v="1"/>
    <x v="0"/>
    <x v="0"/>
    <s v="Expedited Rules"/>
    <n v="0"/>
    <n v="0"/>
    <x v="5"/>
    <n v="805"/>
    <n v="1"/>
  </r>
  <r>
    <n v="1599"/>
    <s v="776 Cedar St, CityE"/>
    <d v="2023-09-02T08:30:00"/>
    <x v="0"/>
    <x v="32"/>
    <s v="Van A"/>
    <x v="4"/>
    <n v="134"/>
    <n v="11"/>
    <x v="2"/>
    <x v="1"/>
    <x v="0"/>
    <s v="Custom Rules"/>
    <n v="0"/>
    <n v="1"/>
    <x v="4"/>
    <n v="811"/>
    <n v="1"/>
  </r>
  <r>
    <n v="1602"/>
    <s v="481 Oak St, CityA"/>
    <d v="2023-09-06T09:07:00"/>
    <x v="0"/>
    <x v="35"/>
    <s v="Van A"/>
    <x v="4"/>
    <n v="60"/>
    <n v="18"/>
    <x v="1"/>
    <x v="0"/>
    <x v="2"/>
    <s v="Standard Rules"/>
    <n v="0"/>
    <n v="0"/>
    <x v="1"/>
    <n v="807"/>
    <n v="1"/>
  </r>
  <r>
    <n v="1626"/>
    <s v="471 Cedar St, CityC"/>
    <d v="2023-09-07T13:49:00"/>
    <x v="0"/>
    <x v="93"/>
    <s v="Van A"/>
    <x v="4"/>
    <n v="189"/>
    <n v="26"/>
    <x v="1"/>
    <x v="0"/>
    <x v="1"/>
    <s v="Standard Rules"/>
    <n v="0"/>
    <n v="0"/>
    <x v="3"/>
    <n v="806"/>
    <n v="1"/>
  </r>
  <r>
    <n v="1635"/>
    <s v="273 Main St, CityD"/>
    <d v="2023-09-04T14:28:00"/>
    <x v="0"/>
    <x v="11"/>
    <s v="Van A"/>
    <x v="4"/>
    <n v="129"/>
    <n v="24"/>
    <x v="2"/>
    <x v="1"/>
    <x v="1"/>
    <s v="Standard Rules"/>
    <n v="0"/>
    <n v="1"/>
    <x v="2"/>
    <n v="809"/>
    <n v="1"/>
  </r>
  <r>
    <n v="1657"/>
    <s v="585 Cedar St, CityC"/>
    <d v="2023-09-05T10:21:00"/>
    <x v="0"/>
    <x v="83"/>
    <s v="Van A"/>
    <x v="4"/>
    <n v="110"/>
    <n v="4"/>
    <x v="2"/>
    <x v="3"/>
    <x v="0"/>
    <s v="Standard Rules"/>
    <n v="0"/>
    <n v="1"/>
    <x v="7"/>
    <n v="808"/>
    <n v="1"/>
  </r>
  <r>
    <n v="1675"/>
    <s v="520 Cedar St, CityD"/>
    <d v="2023-09-08T09:48:00"/>
    <x v="1"/>
    <x v="56"/>
    <s v="Van A"/>
    <x v="4"/>
    <n v="103"/>
    <n v="13"/>
    <x v="1"/>
    <x v="2"/>
    <x v="1"/>
    <s v="Standard Rules"/>
    <n v="0"/>
    <n v="0"/>
    <x v="5"/>
    <s v=""/>
    <n v="1"/>
  </r>
  <r>
    <n v="1684"/>
    <s v="389 Cedar St, CityD"/>
    <d v="2023-09-06T08:17:00"/>
    <x v="1"/>
    <x v="34"/>
    <s v="Van A"/>
    <x v="4"/>
    <n v="82"/>
    <n v="6"/>
    <x v="0"/>
    <x v="4"/>
    <x v="1"/>
    <s v="Standard Rules"/>
    <n v="0"/>
    <n v="0"/>
    <x v="1"/>
    <s v=""/>
    <n v="1"/>
  </r>
  <r>
    <n v="1685"/>
    <s v="984 Main St, CityE"/>
    <d v="2023-09-04T10:02:00"/>
    <x v="0"/>
    <x v="63"/>
    <s v="Van A"/>
    <x v="4"/>
    <n v="228"/>
    <n v="20"/>
    <x v="0"/>
    <x v="4"/>
    <x v="0"/>
    <s v="Expedited Rules"/>
    <n v="0"/>
    <n v="0"/>
    <x v="2"/>
    <n v="809"/>
    <n v="1"/>
  </r>
  <r>
    <n v="1690"/>
    <s v="447 Pine St, CityD"/>
    <d v="2023-09-04T13:48:00"/>
    <x v="1"/>
    <x v="97"/>
    <s v="Van A"/>
    <x v="4"/>
    <n v="90"/>
    <n v="4"/>
    <x v="1"/>
    <x v="0"/>
    <x v="1"/>
    <s v="Standard Rules"/>
    <n v="0"/>
    <n v="0"/>
    <x v="2"/>
    <s v=""/>
    <n v="1"/>
  </r>
  <r>
    <n v="1693"/>
    <s v="376 Oak St, CityD"/>
    <d v="2023-09-01T14:04:00"/>
    <x v="0"/>
    <x v="2"/>
    <s v="Van A"/>
    <x v="4"/>
    <n v="199"/>
    <n v="21"/>
    <x v="2"/>
    <x v="4"/>
    <x v="2"/>
    <s v="Custom Rules"/>
    <n v="0"/>
    <n v="1"/>
    <x v="6"/>
    <n v="812"/>
    <n v="1"/>
  </r>
  <r>
    <n v="1714"/>
    <s v="792 Main St, CityC"/>
    <d v="2023-09-01T10:37:00"/>
    <x v="1"/>
    <x v="59"/>
    <s v="Van A"/>
    <x v="4"/>
    <n v="150"/>
    <n v="27"/>
    <x v="1"/>
    <x v="0"/>
    <x v="0"/>
    <s v="Custom Rules"/>
    <n v="0"/>
    <n v="0"/>
    <x v="6"/>
    <s v=""/>
    <n v="1"/>
  </r>
  <r>
    <n v="1720"/>
    <s v="876 Elm St, CityC"/>
    <d v="2023-09-04T08:22:00"/>
    <x v="1"/>
    <x v="13"/>
    <s v="Van A"/>
    <x v="4"/>
    <n v="148"/>
    <n v="1"/>
    <x v="1"/>
    <x v="1"/>
    <x v="2"/>
    <s v="Expedited Rules"/>
    <n v="0"/>
    <n v="0"/>
    <x v="2"/>
    <s v=""/>
    <n v="1"/>
  </r>
  <r>
    <n v="1725"/>
    <s v="248 Cedar St, CityC"/>
    <d v="2023-09-03T15:14:00"/>
    <x v="1"/>
    <x v="7"/>
    <s v="Van A"/>
    <x v="4"/>
    <n v="60"/>
    <n v="20"/>
    <x v="1"/>
    <x v="1"/>
    <x v="1"/>
    <s v="Expedited Rules"/>
    <n v="0"/>
    <n v="0"/>
    <x v="0"/>
    <s v=""/>
    <n v="1"/>
  </r>
  <r>
    <n v="1735"/>
    <s v="986 Cedar St, CityC"/>
    <d v="2023-09-02T16:11:00"/>
    <x v="0"/>
    <x v="45"/>
    <s v="Van A"/>
    <x v="4"/>
    <n v="228"/>
    <n v="1"/>
    <x v="0"/>
    <x v="2"/>
    <x v="0"/>
    <s v="Standard Rules"/>
    <n v="0"/>
    <n v="0"/>
    <x v="4"/>
    <n v="811"/>
    <n v="1"/>
  </r>
  <r>
    <n v="1747"/>
    <s v="446 Elm St, CityD"/>
    <d v="2023-09-07T09:32:00"/>
    <x v="0"/>
    <x v="7"/>
    <s v="Van A"/>
    <x v="4"/>
    <n v="149"/>
    <n v="19"/>
    <x v="0"/>
    <x v="0"/>
    <x v="2"/>
    <s v="Expedited Rules"/>
    <n v="0"/>
    <n v="0"/>
    <x v="3"/>
    <n v="806"/>
    <n v="1"/>
  </r>
  <r>
    <n v="1771"/>
    <s v="356 Cedar St, CityC"/>
    <d v="2023-09-01T10:47:00"/>
    <x v="1"/>
    <x v="59"/>
    <s v="Van A"/>
    <x v="4"/>
    <n v="61"/>
    <n v="10"/>
    <x v="2"/>
    <x v="4"/>
    <x v="0"/>
    <s v="Standard Rules"/>
    <n v="0"/>
    <n v="1"/>
    <x v="6"/>
    <s v=""/>
    <n v="1"/>
  </r>
  <r>
    <n v="1807"/>
    <s v="844 Elm St, CityE"/>
    <d v="2023-09-01T12:19:00"/>
    <x v="1"/>
    <x v="96"/>
    <s v="Van A"/>
    <x v="4"/>
    <n v="157"/>
    <n v="10"/>
    <x v="0"/>
    <x v="2"/>
    <x v="0"/>
    <s v="Custom Rules"/>
    <n v="0"/>
    <n v="0"/>
    <x v="6"/>
    <s v=""/>
    <n v="1"/>
  </r>
  <r>
    <n v="1912"/>
    <s v="799 Main St, CityB"/>
    <d v="2023-09-04T15:14:00"/>
    <x v="1"/>
    <x v="2"/>
    <s v="Van A"/>
    <x v="4"/>
    <n v="85"/>
    <n v="2"/>
    <x v="0"/>
    <x v="0"/>
    <x v="2"/>
    <s v="Custom Rules"/>
    <n v="0"/>
    <n v="0"/>
    <x v="2"/>
    <s v=""/>
    <n v="1"/>
  </r>
  <r>
    <n v="1923"/>
    <s v="100 Oak St, CityC"/>
    <d v="2023-09-02T15:50:00"/>
    <x v="0"/>
    <x v="85"/>
    <s v="Van A"/>
    <x v="4"/>
    <n v="90"/>
    <n v="9"/>
    <x v="1"/>
    <x v="4"/>
    <x v="2"/>
    <s v="Custom Rules"/>
    <n v="0"/>
    <n v="0"/>
    <x v="4"/>
    <n v="811"/>
    <n v="1"/>
  </r>
  <r>
    <n v="1927"/>
    <s v="68 Oak St, CityB"/>
    <d v="2023-09-07T09:09:00"/>
    <x v="0"/>
    <x v="82"/>
    <s v="Van A"/>
    <x v="4"/>
    <n v="72"/>
    <n v="27"/>
    <x v="2"/>
    <x v="0"/>
    <x v="2"/>
    <s v="Custom Rules"/>
    <n v="0"/>
    <n v="1"/>
    <x v="3"/>
    <n v="806"/>
    <n v="1"/>
  </r>
  <r>
    <n v="1937"/>
    <s v="65 Elm St, CityB"/>
    <d v="2023-09-01T10:10:00"/>
    <x v="0"/>
    <x v="89"/>
    <s v="Van A"/>
    <x v="4"/>
    <n v="222"/>
    <n v="7"/>
    <x v="0"/>
    <x v="2"/>
    <x v="1"/>
    <s v="Expedited Rules"/>
    <n v="0"/>
    <n v="0"/>
    <x v="6"/>
    <n v="812"/>
    <n v="1"/>
  </r>
  <r>
    <n v="1967"/>
    <s v="871 Pine St, CityA"/>
    <d v="2023-09-04T14:37:00"/>
    <x v="0"/>
    <x v="60"/>
    <s v="Van A"/>
    <x v="4"/>
    <n v="202"/>
    <n v="14"/>
    <x v="0"/>
    <x v="1"/>
    <x v="1"/>
    <s v="Standard Rules"/>
    <n v="0"/>
    <n v="0"/>
    <x v="2"/>
    <n v="809"/>
    <n v="1"/>
  </r>
  <r>
    <n v="1981"/>
    <s v="862 Cedar St, CityE"/>
    <d v="2023-09-08T14:31:00"/>
    <x v="1"/>
    <x v="48"/>
    <s v="Van A"/>
    <x v="4"/>
    <n v="123"/>
    <n v="11"/>
    <x v="2"/>
    <x v="1"/>
    <x v="0"/>
    <s v="Custom Rules"/>
    <n v="0"/>
    <n v="1"/>
    <x v="5"/>
    <s v=""/>
    <n v="1"/>
  </r>
  <r>
    <n v="1990"/>
    <s v="5 Main St, CityD"/>
    <d v="2023-09-04T13:19:00"/>
    <x v="0"/>
    <x v="92"/>
    <s v="Van A"/>
    <x v="4"/>
    <n v="75"/>
    <n v="28"/>
    <x v="0"/>
    <x v="4"/>
    <x v="0"/>
    <s v="Expedited Rules"/>
    <n v="0"/>
    <n v="0"/>
    <x v="2"/>
    <n v="809"/>
    <n v="1"/>
  </r>
  <r>
    <n v="2028"/>
    <s v="333 Pine St, CityD"/>
    <d v="2023-09-07T14:42:00"/>
    <x v="1"/>
    <x v="85"/>
    <s v="Van A"/>
    <x v="4"/>
    <n v="157"/>
    <n v="20"/>
    <x v="2"/>
    <x v="3"/>
    <x v="0"/>
    <s v="Standard Rules"/>
    <n v="0"/>
    <n v="1"/>
    <x v="3"/>
    <s v=""/>
    <n v="1"/>
  </r>
  <r>
    <n v="2038"/>
    <s v="424 Main St, CityC"/>
    <d v="2023-09-03T16:48:00"/>
    <x v="1"/>
    <x v="83"/>
    <s v="Van A"/>
    <x v="4"/>
    <n v="173"/>
    <n v="21"/>
    <x v="1"/>
    <x v="3"/>
    <x v="2"/>
    <s v="Standard Rules"/>
    <n v="0"/>
    <n v="0"/>
    <x v="0"/>
    <s v=""/>
    <n v="1"/>
  </r>
  <r>
    <n v="2074"/>
    <s v="234 Pine St, CityE"/>
    <d v="2023-09-07T11:53:00"/>
    <x v="0"/>
    <x v="92"/>
    <s v="Van A"/>
    <x v="4"/>
    <n v="117"/>
    <n v="13"/>
    <x v="0"/>
    <x v="0"/>
    <x v="1"/>
    <s v="Custom Rules"/>
    <n v="0"/>
    <n v="0"/>
    <x v="3"/>
    <n v="806"/>
    <n v="1"/>
  </r>
  <r>
    <n v="2075"/>
    <s v="17 Main St, CityA"/>
    <d v="2023-09-03T10:59:00"/>
    <x v="0"/>
    <x v="88"/>
    <s v="Van A"/>
    <x v="4"/>
    <n v="131"/>
    <n v="24"/>
    <x v="2"/>
    <x v="3"/>
    <x v="0"/>
    <s v="Standard Rules"/>
    <n v="0"/>
    <n v="1"/>
    <x v="0"/>
    <n v="810"/>
    <n v="1"/>
  </r>
  <r>
    <n v="2082"/>
    <s v="756 Elm St, CityB"/>
    <d v="2023-09-07T16:47:00"/>
    <x v="1"/>
    <x v="6"/>
    <s v="Van A"/>
    <x v="4"/>
    <n v="92"/>
    <n v="16"/>
    <x v="1"/>
    <x v="0"/>
    <x v="1"/>
    <s v="Custom Rules"/>
    <n v="0"/>
    <n v="0"/>
    <x v="3"/>
    <s v=""/>
    <n v="1"/>
  </r>
  <r>
    <n v="2089"/>
    <s v="122 Main St, CityC"/>
    <d v="2023-09-05T09:29:00"/>
    <x v="0"/>
    <x v="48"/>
    <s v="Van A"/>
    <x v="4"/>
    <n v="127"/>
    <n v="9"/>
    <x v="0"/>
    <x v="1"/>
    <x v="0"/>
    <s v="Custom Rules"/>
    <n v="0"/>
    <n v="0"/>
    <x v="7"/>
    <n v="808"/>
    <n v="1"/>
  </r>
  <r>
    <n v="2103"/>
    <s v="177 Elm St, CityB"/>
    <d v="2023-09-01T11:13:00"/>
    <x v="0"/>
    <x v="24"/>
    <s v="Van A"/>
    <x v="4"/>
    <n v="188"/>
    <n v="1"/>
    <x v="2"/>
    <x v="4"/>
    <x v="2"/>
    <s v="Standard Rules"/>
    <n v="0"/>
    <n v="1"/>
    <x v="6"/>
    <n v="812"/>
    <n v="1"/>
  </r>
  <r>
    <n v="2122"/>
    <s v="908 Pine St, CityB"/>
    <d v="2023-09-03T09:29:00"/>
    <x v="0"/>
    <x v="50"/>
    <s v="Van A"/>
    <x v="4"/>
    <n v="74"/>
    <n v="19"/>
    <x v="1"/>
    <x v="1"/>
    <x v="1"/>
    <s v="Standard Rules"/>
    <n v="0"/>
    <n v="0"/>
    <x v="0"/>
    <n v="810"/>
    <n v="1"/>
  </r>
  <r>
    <n v="2135"/>
    <s v="932 Cedar St, CityB"/>
    <d v="2023-09-06T10:09:00"/>
    <x v="0"/>
    <x v="32"/>
    <s v="Van A"/>
    <x v="4"/>
    <n v="101"/>
    <n v="25"/>
    <x v="1"/>
    <x v="3"/>
    <x v="0"/>
    <s v="Standard Rules"/>
    <n v="0"/>
    <n v="0"/>
    <x v="1"/>
    <n v="807"/>
    <n v="1"/>
  </r>
  <r>
    <n v="2152"/>
    <s v="169 Oak St, CityC"/>
    <d v="2023-09-02T09:31:00"/>
    <x v="1"/>
    <x v="26"/>
    <s v="Van A"/>
    <x v="4"/>
    <n v="84"/>
    <n v="7"/>
    <x v="1"/>
    <x v="1"/>
    <x v="2"/>
    <s v="Standard Rules"/>
    <n v="0"/>
    <n v="0"/>
    <x v="4"/>
    <s v=""/>
    <n v="1"/>
  </r>
  <r>
    <n v="2168"/>
    <s v="489 Oak St, CityD"/>
    <d v="2023-09-08T08:17:00"/>
    <x v="1"/>
    <x v="24"/>
    <s v="Van A"/>
    <x v="4"/>
    <n v="138"/>
    <n v="19"/>
    <x v="0"/>
    <x v="2"/>
    <x v="0"/>
    <s v="Custom Rules"/>
    <n v="0"/>
    <n v="0"/>
    <x v="5"/>
    <s v=""/>
    <n v="1"/>
  </r>
  <r>
    <n v="2172"/>
    <s v="389 Pine St, CityA"/>
    <d v="2023-09-06T09:39:00"/>
    <x v="1"/>
    <x v="64"/>
    <s v="Van A"/>
    <x v="4"/>
    <n v="164"/>
    <n v="6"/>
    <x v="0"/>
    <x v="1"/>
    <x v="1"/>
    <s v="Custom Rules"/>
    <n v="0"/>
    <n v="0"/>
    <x v="1"/>
    <s v=""/>
    <n v="1"/>
  </r>
  <r>
    <n v="2174"/>
    <s v="27 Main St, CityE"/>
    <d v="2023-09-03T15:16:00"/>
    <x v="0"/>
    <x v="55"/>
    <s v="Van A"/>
    <x v="4"/>
    <n v="89"/>
    <n v="18"/>
    <x v="1"/>
    <x v="3"/>
    <x v="1"/>
    <s v="Expedited Rules"/>
    <n v="0"/>
    <n v="0"/>
    <x v="0"/>
    <n v="810"/>
    <n v="1"/>
  </r>
  <r>
    <n v="2180"/>
    <s v="387 Cedar St, CityA"/>
    <d v="2023-09-06T10:58:00"/>
    <x v="0"/>
    <x v="72"/>
    <s v="Van A"/>
    <x v="4"/>
    <n v="105"/>
    <n v="13"/>
    <x v="1"/>
    <x v="3"/>
    <x v="1"/>
    <s v="Custom Rules"/>
    <n v="0"/>
    <n v="0"/>
    <x v="1"/>
    <n v="807"/>
    <n v="1"/>
  </r>
  <r>
    <n v="2227"/>
    <s v="518 Main St, CityB"/>
    <d v="2023-09-05T10:01:00"/>
    <x v="1"/>
    <x v="73"/>
    <s v="Van A"/>
    <x v="4"/>
    <n v="94"/>
    <n v="19"/>
    <x v="1"/>
    <x v="1"/>
    <x v="1"/>
    <s v="Custom Rules"/>
    <n v="0"/>
    <n v="0"/>
    <x v="7"/>
    <s v=""/>
    <n v="1"/>
  </r>
  <r>
    <n v="2254"/>
    <s v="738 Cedar St, CityA"/>
    <d v="2023-09-04T14:59:00"/>
    <x v="1"/>
    <x v="26"/>
    <s v="Van A"/>
    <x v="4"/>
    <n v="75"/>
    <n v="8"/>
    <x v="1"/>
    <x v="2"/>
    <x v="2"/>
    <s v="Standard Rules"/>
    <n v="0"/>
    <n v="0"/>
    <x v="2"/>
    <s v=""/>
    <n v="1"/>
  </r>
  <r>
    <n v="2261"/>
    <s v="705 Pine St, CityC"/>
    <d v="2023-09-08T10:25:00"/>
    <x v="0"/>
    <x v="95"/>
    <s v="Van A"/>
    <x v="4"/>
    <n v="96"/>
    <n v="21"/>
    <x v="0"/>
    <x v="0"/>
    <x v="0"/>
    <s v="Custom Rules"/>
    <n v="0"/>
    <n v="0"/>
    <x v="5"/>
    <n v="805"/>
    <n v="1"/>
  </r>
  <r>
    <n v="2275"/>
    <s v="859 Main St, CityE"/>
    <d v="2023-09-02T12:15:00"/>
    <x v="1"/>
    <x v="74"/>
    <s v="Van A"/>
    <x v="4"/>
    <n v="178"/>
    <n v="29"/>
    <x v="2"/>
    <x v="1"/>
    <x v="2"/>
    <s v="Custom Rules"/>
    <n v="0"/>
    <n v="1"/>
    <x v="4"/>
    <s v=""/>
    <n v="1"/>
  </r>
  <r>
    <n v="2292"/>
    <s v="967 Elm St, CityA"/>
    <d v="2023-09-08T08:48:00"/>
    <x v="0"/>
    <x v="34"/>
    <s v="Van A"/>
    <x v="4"/>
    <n v="191"/>
    <n v="19"/>
    <x v="0"/>
    <x v="2"/>
    <x v="2"/>
    <s v="Expedited Rules"/>
    <n v="0"/>
    <n v="0"/>
    <x v="5"/>
    <n v="805"/>
    <n v="1"/>
  </r>
  <r>
    <n v="2317"/>
    <s v="708 Main St, CityE"/>
    <d v="2023-09-01T14:18:00"/>
    <x v="0"/>
    <x v="25"/>
    <s v="Van A"/>
    <x v="4"/>
    <n v="67"/>
    <n v="26"/>
    <x v="0"/>
    <x v="0"/>
    <x v="1"/>
    <s v="Custom Rules"/>
    <n v="0"/>
    <n v="0"/>
    <x v="6"/>
    <n v="812"/>
    <n v="1"/>
  </r>
  <r>
    <n v="2338"/>
    <s v="302 Elm St, CityD"/>
    <d v="2023-09-02T08:41:00"/>
    <x v="1"/>
    <x v="62"/>
    <s v="Van A"/>
    <x v="4"/>
    <n v="218"/>
    <n v="4"/>
    <x v="0"/>
    <x v="3"/>
    <x v="1"/>
    <s v="Custom Rules"/>
    <n v="0"/>
    <n v="0"/>
    <x v="4"/>
    <s v=""/>
    <n v="1"/>
  </r>
  <r>
    <n v="2340"/>
    <s v="984 Main St, CityD"/>
    <d v="2023-09-01T14:56:00"/>
    <x v="1"/>
    <x v="80"/>
    <s v="Van A"/>
    <x v="4"/>
    <n v="191"/>
    <n v="18"/>
    <x v="2"/>
    <x v="0"/>
    <x v="2"/>
    <s v="Custom Rules"/>
    <n v="0"/>
    <n v="1"/>
    <x v="6"/>
    <s v=""/>
    <n v="1"/>
  </r>
  <r>
    <n v="2353"/>
    <s v="919 Oak St, CityD"/>
    <d v="2023-09-03T14:49:00"/>
    <x v="0"/>
    <x v="6"/>
    <s v="Van A"/>
    <x v="4"/>
    <n v="162"/>
    <n v="2"/>
    <x v="1"/>
    <x v="3"/>
    <x v="2"/>
    <s v="Standard Rules"/>
    <n v="0"/>
    <n v="0"/>
    <x v="0"/>
    <n v="810"/>
    <n v="1"/>
  </r>
  <r>
    <n v="2374"/>
    <s v="853 Elm St, CityD"/>
    <d v="2023-09-05T14:49:00"/>
    <x v="0"/>
    <x v="24"/>
    <s v="Van A"/>
    <x v="4"/>
    <n v="167"/>
    <n v="7"/>
    <x v="0"/>
    <x v="0"/>
    <x v="0"/>
    <s v="Expedited Rules"/>
    <n v="0"/>
    <n v="0"/>
    <x v="7"/>
    <n v="808"/>
    <n v="1"/>
  </r>
  <r>
    <n v="2390"/>
    <s v="893 Cedar St, CityD"/>
    <d v="2023-09-06T11:48:00"/>
    <x v="0"/>
    <x v="91"/>
    <s v="Van A"/>
    <x v="4"/>
    <n v="166"/>
    <n v="1"/>
    <x v="0"/>
    <x v="2"/>
    <x v="1"/>
    <s v="Custom Rules"/>
    <n v="0"/>
    <n v="0"/>
    <x v="1"/>
    <n v="807"/>
    <n v="1"/>
  </r>
  <r>
    <n v="2398"/>
    <s v="744 Pine St, CityD"/>
    <d v="2023-09-01T15:32:00"/>
    <x v="0"/>
    <x v="58"/>
    <s v="Van A"/>
    <x v="4"/>
    <n v="77"/>
    <n v="27"/>
    <x v="2"/>
    <x v="3"/>
    <x v="1"/>
    <s v="Expedited Rules"/>
    <n v="0"/>
    <n v="1"/>
    <x v="6"/>
    <n v="812"/>
    <n v="1"/>
  </r>
  <r>
    <n v="2407"/>
    <s v="270 Main St, CityB"/>
    <d v="2023-09-05T11:00:00"/>
    <x v="1"/>
    <x v="5"/>
    <s v="Van A"/>
    <x v="4"/>
    <n v="177"/>
    <n v="3"/>
    <x v="1"/>
    <x v="1"/>
    <x v="0"/>
    <s v="Custom Rules"/>
    <n v="0"/>
    <n v="0"/>
    <x v="7"/>
    <s v=""/>
    <n v="1"/>
  </r>
  <r>
    <n v="2426"/>
    <s v="51 Elm St, CityE"/>
    <d v="2023-09-01T08:39:00"/>
    <x v="0"/>
    <x v="26"/>
    <s v="Van A"/>
    <x v="4"/>
    <n v="194"/>
    <n v="23"/>
    <x v="2"/>
    <x v="4"/>
    <x v="2"/>
    <s v="Standard Rules"/>
    <n v="0"/>
    <n v="1"/>
    <x v="6"/>
    <n v="812"/>
    <n v="1"/>
  </r>
  <r>
    <n v="2437"/>
    <s v="15 Elm St, CityA"/>
    <d v="2023-09-06T15:10:00"/>
    <x v="1"/>
    <x v="39"/>
    <s v="Van A"/>
    <x v="4"/>
    <n v="101"/>
    <n v="17"/>
    <x v="0"/>
    <x v="3"/>
    <x v="1"/>
    <s v="Standard Rules"/>
    <n v="0"/>
    <n v="0"/>
    <x v="1"/>
    <s v=""/>
    <n v="1"/>
  </r>
  <r>
    <n v="2448"/>
    <s v="419 Main St, CityC"/>
    <d v="2023-09-04T12:50:00"/>
    <x v="0"/>
    <x v="23"/>
    <s v="Van A"/>
    <x v="4"/>
    <n v="232"/>
    <n v="5"/>
    <x v="0"/>
    <x v="0"/>
    <x v="1"/>
    <s v="Standard Rules"/>
    <n v="0"/>
    <n v="0"/>
    <x v="2"/>
    <n v="809"/>
    <n v="1"/>
  </r>
  <r>
    <n v="2461"/>
    <s v="230 Oak St, CityC"/>
    <d v="2023-09-07T16:55:00"/>
    <x v="0"/>
    <x v="15"/>
    <s v="Van A"/>
    <x v="4"/>
    <n v="136"/>
    <n v="18"/>
    <x v="0"/>
    <x v="4"/>
    <x v="1"/>
    <s v="Expedited Rules"/>
    <n v="0"/>
    <n v="0"/>
    <x v="3"/>
    <n v="806"/>
    <n v="1"/>
  </r>
  <r>
    <n v="2467"/>
    <s v="751 Main St, CityE"/>
    <d v="2023-09-03T13:12:00"/>
    <x v="1"/>
    <x v="15"/>
    <s v="Van A"/>
    <x v="4"/>
    <n v="162"/>
    <n v="16"/>
    <x v="1"/>
    <x v="3"/>
    <x v="1"/>
    <s v="Custom Rules"/>
    <n v="0"/>
    <n v="0"/>
    <x v="0"/>
    <s v=""/>
    <n v="1"/>
  </r>
  <r>
    <n v="1029"/>
    <s v="652 Cedar St, CityD"/>
    <d v="2023-09-07T16:45:00"/>
    <x v="0"/>
    <x v="79"/>
    <s v="Bike C"/>
    <x v="1"/>
    <n v="196"/>
    <n v="13"/>
    <x v="1"/>
    <x v="3"/>
    <x v="0"/>
    <s v="Expedited Rules"/>
    <n v="0"/>
    <n v="0"/>
    <x v="3"/>
    <n v="806"/>
    <n v="1"/>
  </r>
  <r>
    <n v="1034"/>
    <s v="913 Pine St, CityB"/>
    <d v="2023-09-05T15:49:00"/>
    <x v="0"/>
    <x v="68"/>
    <s v="Bike C"/>
    <x v="4"/>
    <n v="215"/>
    <n v="26"/>
    <x v="2"/>
    <x v="4"/>
    <x v="0"/>
    <s v="Expedited Rules"/>
    <n v="0"/>
    <n v="1"/>
    <x v="7"/>
    <n v="808"/>
    <n v="1"/>
  </r>
  <r>
    <n v="1049"/>
    <s v="193 Pine St, CityA"/>
    <d v="2023-09-02T14:30:00"/>
    <x v="0"/>
    <x v="13"/>
    <s v="Bike C"/>
    <x v="2"/>
    <n v="67"/>
    <n v="14"/>
    <x v="1"/>
    <x v="2"/>
    <x v="0"/>
    <s v="Standard Rules"/>
    <n v="0"/>
    <n v="0"/>
    <x v="4"/>
    <n v="811"/>
    <n v="1"/>
  </r>
  <r>
    <n v="1052"/>
    <s v="869 Cedar St, CityA"/>
    <d v="2023-09-05T08:01:00"/>
    <x v="0"/>
    <x v="34"/>
    <s v="Bike C"/>
    <x v="3"/>
    <n v="204"/>
    <n v="14"/>
    <x v="2"/>
    <x v="0"/>
    <x v="0"/>
    <s v="Standard Rules"/>
    <n v="0"/>
    <n v="1"/>
    <x v="7"/>
    <n v="808"/>
    <n v="1"/>
  </r>
  <r>
    <n v="1062"/>
    <s v="107 Oak St, CityE"/>
    <d v="2023-09-03T14:10:00"/>
    <x v="0"/>
    <x v="14"/>
    <s v="Bike C"/>
    <x v="2"/>
    <n v="76"/>
    <n v="4"/>
    <x v="0"/>
    <x v="1"/>
    <x v="0"/>
    <s v="Standard Rules"/>
    <n v="0"/>
    <n v="0"/>
    <x v="0"/>
    <n v="810"/>
    <n v="1"/>
  </r>
  <r>
    <n v="1076"/>
    <s v="380 Main St, CityB"/>
    <d v="2023-09-01T08:56:00"/>
    <x v="1"/>
    <x v="35"/>
    <s v="Bike C"/>
    <x v="2"/>
    <n v="126"/>
    <n v="7"/>
    <x v="0"/>
    <x v="4"/>
    <x v="0"/>
    <s v="Expedited Rules"/>
    <n v="0"/>
    <n v="0"/>
    <x v="6"/>
    <s v=""/>
    <n v="1"/>
  </r>
  <r>
    <n v="1080"/>
    <s v="212 Cedar St, CityE"/>
    <d v="2023-09-02T10:41:00"/>
    <x v="1"/>
    <x v="87"/>
    <s v="Bike C"/>
    <x v="3"/>
    <n v="85"/>
    <n v="10"/>
    <x v="1"/>
    <x v="3"/>
    <x v="0"/>
    <s v="Standard Rules"/>
    <n v="0"/>
    <n v="0"/>
    <x v="4"/>
    <s v=""/>
    <n v="1"/>
  </r>
  <r>
    <n v="1094"/>
    <s v="260 Cedar St, CityA"/>
    <d v="2023-09-04T13:18:00"/>
    <x v="1"/>
    <x v="98"/>
    <s v="Bike C"/>
    <x v="1"/>
    <n v="225"/>
    <n v="18"/>
    <x v="1"/>
    <x v="4"/>
    <x v="0"/>
    <s v="Expedited Rules"/>
    <n v="0"/>
    <n v="0"/>
    <x v="2"/>
    <s v=""/>
    <n v="1"/>
  </r>
  <r>
    <n v="1106"/>
    <s v="569 Pine St, CityB"/>
    <d v="2023-09-02T15:25:00"/>
    <x v="0"/>
    <x v="53"/>
    <s v="Bike C"/>
    <x v="0"/>
    <n v="195"/>
    <n v="5"/>
    <x v="0"/>
    <x v="4"/>
    <x v="0"/>
    <s v="Expedited Rules"/>
    <n v="0"/>
    <n v="0"/>
    <x v="4"/>
    <n v="811"/>
    <n v="1"/>
  </r>
  <r>
    <n v="1108"/>
    <s v="481 Pine St, CityA"/>
    <d v="2023-09-08T13:30:00"/>
    <x v="0"/>
    <x v="1"/>
    <s v="Bike C"/>
    <x v="3"/>
    <n v="203"/>
    <n v="24"/>
    <x v="0"/>
    <x v="3"/>
    <x v="0"/>
    <s v="Standard Rules"/>
    <n v="0"/>
    <n v="0"/>
    <x v="5"/>
    <n v="805"/>
    <n v="1"/>
  </r>
  <r>
    <n v="1109"/>
    <s v="115 Elm St, CityA"/>
    <d v="2023-09-06T13:16:00"/>
    <x v="1"/>
    <x v="97"/>
    <s v="Bike C"/>
    <x v="0"/>
    <n v="219"/>
    <n v="19"/>
    <x v="0"/>
    <x v="2"/>
    <x v="0"/>
    <s v="Expedited Rules"/>
    <n v="0"/>
    <n v="0"/>
    <x v="1"/>
    <s v=""/>
    <n v="1"/>
  </r>
  <r>
    <n v="1114"/>
    <s v="612 Main St, CityE"/>
    <d v="2023-09-08T16:52:00"/>
    <x v="1"/>
    <x v="5"/>
    <s v="Bike C"/>
    <x v="3"/>
    <n v="233"/>
    <n v="1"/>
    <x v="1"/>
    <x v="4"/>
    <x v="0"/>
    <s v="Custom Rules"/>
    <n v="0"/>
    <n v="0"/>
    <x v="5"/>
    <s v=""/>
    <n v="1"/>
  </r>
  <r>
    <n v="1138"/>
    <s v="878 Elm St, CityA"/>
    <d v="2023-09-02T15:39:00"/>
    <x v="1"/>
    <x v="55"/>
    <s v="Bike C"/>
    <x v="4"/>
    <n v="72"/>
    <n v="11"/>
    <x v="0"/>
    <x v="3"/>
    <x v="0"/>
    <s v="Standard Rules"/>
    <n v="0"/>
    <n v="0"/>
    <x v="4"/>
    <s v=""/>
    <n v="1"/>
  </r>
  <r>
    <n v="1142"/>
    <s v="703 Cedar St, CityD"/>
    <d v="2023-09-06T10:03:00"/>
    <x v="0"/>
    <x v="63"/>
    <s v="Bike C"/>
    <x v="0"/>
    <n v="138"/>
    <n v="21"/>
    <x v="1"/>
    <x v="2"/>
    <x v="0"/>
    <s v="Expedited Rules"/>
    <n v="0"/>
    <n v="0"/>
    <x v="1"/>
    <n v="807"/>
    <n v="1"/>
  </r>
  <r>
    <n v="1146"/>
    <s v="942 Elm St, CityD"/>
    <d v="2023-09-04T13:08:00"/>
    <x v="0"/>
    <x v="59"/>
    <s v="Bike C"/>
    <x v="4"/>
    <n v="172"/>
    <n v="15"/>
    <x v="1"/>
    <x v="3"/>
    <x v="0"/>
    <s v="Custom Rules"/>
    <n v="0"/>
    <n v="0"/>
    <x v="2"/>
    <n v="809"/>
    <n v="1"/>
  </r>
  <r>
    <n v="1167"/>
    <s v="660 Oak St, CityB"/>
    <d v="2023-09-05T11:30:00"/>
    <x v="1"/>
    <x v="34"/>
    <s v="Bike C"/>
    <x v="4"/>
    <n v="69"/>
    <n v="8"/>
    <x v="2"/>
    <x v="3"/>
    <x v="0"/>
    <s v="Standard Rules"/>
    <n v="0"/>
    <n v="1"/>
    <x v="7"/>
    <s v=""/>
    <n v="1"/>
  </r>
  <r>
    <n v="1170"/>
    <s v="308 Cedar St, CityD"/>
    <d v="2023-09-02T14:30:00"/>
    <x v="0"/>
    <x v="49"/>
    <s v="Bike C"/>
    <x v="4"/>
    <n v="64"/>
    <n v="25"/>
    <x v="0"/>
    <x v="4"/>
    <x v="0"/>
    <s v="Expedited Rules"/>
    <n v="0"/>
    <n v="0"/>
    <x v="4"/>
    <n v="811"/>
    <n v="1"/>
  </r>
  <r>
    <n v="1174"/>
    <s v="443 Elm St, CityD"/>
    <d v="2023-09-03T10:46:00"/>
    <x v="1"/>
    <x v="31"/>
    <s v="Bike C"/>
    <x v="4"/>
    <n v="178"/>
    <n v="10"/>
    <x v="0"/>
    <x v="2"/>
    <x v="0"/>
    <s v="Expedited Rules"/>
    <n v="0"/>
    <n v="0"/>
    <x v="0"/>
    <s v=""/>
    <n v="1"/>
  </r>
  <r>
    <n v="1186"/>
    <s v="340 Main St, CityC"/>
    <d v="2023-09-06T14:24:00"/>
    <x v="1"/>
    <x v="87"/>
    <s v="Bike C"/>
    <x v="3"/>
    <n v="196"/>
    <n v="15"/>
    <x v="0"/>
    <x v="2"/>
    <x v="0"/>
    <s v="Expedited Rules"/>
    <n v="0"/>
    <n v="0"/>
    <x v="1"/>
    <s v=""/>
    <n v="1"/>
  </r>
  <r>
    <n v="1189"/>
    <s v="315 Main St, CityC"/>
    <d v="2023-09-03T16:06:00"/>
    <x v="1"/>
    <x v="99"/>
    <s v="Bike C"/>
    <x v="3"/>
    <n v="224"/>
    <n v="23"/>
    <x v="1"/>
    <x v="0"/>
    <x v="0"/>
    <s v="Standard Rules"/>
    <n v="0"/>
    <n v="0"/>
    <x v="0"/>
    <s v=""/>
    <n v="1"/>
  </r>
  <r>
    <n v="1194"/>
    <s v="164 Elm St, CityB"/>
    <d v="2023-09-06T08:36:00"/>
    <x v="1"/>
    <x v="27"/>
    <s v="Bike C"/>
    <x v="4"/>
    <n v="234"/>
    <n v="8"/>
    <x v="2"/>
    <x v="1"/>
    <x v="0"/>
    <s v="Standard Rules"/>
    <n v="0"/>
    <n v="1"/>
    <x v="1"/>
    <s v=""/>
    <n v="1"/>
  </r>
  <r>
    <n v="1207"/>
    <s v="459 Main St, CityD"/>
    <d v="2023-09-03T14:19:00"/>
    <x v="1"/>
    <x v="26"/>
    <s v="Bike C"/>
    <x v="1"/>
    <n v="107"/>
    <n v="11"/>
    <x v="1"/>
    <x v="0"/>
    <x v="0"/>
    <s v="Expedited Rules"/>
    <n v="0"/>
    <n v="0"/>
    <x v="0"/>
    <s v=""/>
    <n v="1"/>
  </r>
  <r>
    <n v="1218"/>
    <s v="197 Cedar St, CityC"/>
    <d v="2023-09-05T10:55:00"/>
    <x v="1"/>
    <x v="85"/>
    <s v="Bike C"/>
    <x v="2"/>
    <n v="164"/>
    <n v="6"/>
    <x v="1"/>
    <x v="0"/>
    <x v="0"/>
    <s v="Standard Rules"/>
    <n v="0"/>
    <n v="0"/>
    <x v="7"/>
    <s v=""/>
    <n v="1"/>
  </r>
  <r>
    <n v="1226"/>
    <s v="134 Cedar St, CityA"/>
    <d v="2023-09-05T13:27:00"/>
    <x v="1"/>
    <x v="26"/>
    <s v="Bike C"/>
    <x v="2"/>
    <n v="88"/>
    <n v="27"/>
    <x v="0"/>
    <x v="4"/>
    <x v="0"/>
    <s v="Custom Rules"/>
    <n v="0"/>
    <n v="0"/>
    <x v="7"/>
    <s v=""/>
    <n v="1"/>
  </r>
  <r>
    <n v="1236"/>
    <s v="289 Oak St, CityA"/>
    <d v="2023-09-04T14:35:00"/>
    <x v="1"/>
    <x v="42"/>
    <s v="Bike C"/>
    <x v="0"/>
    <n v="232"/>
    <n v="4"/>
    <x v="2"/>
    <x v="4"/>
    <x v="0"/>
    <s v="Standard Rules"/>
    <n v="0"/>
    <n v="1"/>
    <x v="2"/>
    <s v=""/>
    <n v="1"/>
  </r>
  <r>
    <n v="1237"/>
    <s v="936 Pine St, CityA"/>
    <d v="2023-09-07T09:28:00"/>
    <x v="0"/>
    <x v="86"/>
    <s v="Bike C"/>
    <x v="1"/>
    <n v="79"/>
    <n v="19"/>
    <x v="2"/>
    <x v="0"/>
    <x v="0"/>
    <s v="Custom Rules"/>
    <n v="0"/>
    <n v="1"/>
    <x v="3"/>
    <n v="806"/>
    <n v="1"/>
  </r>
  <r>
    <n v="1239"/>
    <s v="918 Main St, CityA"/>
    <d v="2023-09-07T15:10:00"/>
    <x v="1"/>
    <x v="58"/>
    <s v="Bike C"/>
    <x v="0"/>
    <n v="89"/>
    <n v="26"/>
    <x v="2"/>
    <x v="1"/>
    <x v="0"/>
    <s v="Standard Rules"/>
    <n v="0"/>
    <n v="1"/>
    <x v="3"/>
    <s v=""/>
    <n v="1"/>
  </r>
  <r>
    <n v="1281"/>
    <s v="367 Pine St, CityC"/>
    <d v="2023-09-08T11:29:00"/>
    <x v="0"/>
    <x v="48"/>
    <s v="Bike C"/>
    <x v="1"/>
    <n v="220"/>
    <n v="27"/>
    <x v="0"/>
    <x v="0"/>
    <x v="0"/>
    <s v="Standard Rules"/>
    <n v="0"/>
    <n v="0"/>
    <x v="5"/>
    <n v="805"/>
    <n v="1"/>
  </r>
  <r>
    <n v="1299"/>
    <s v="510 Pine St, CityB"/>
    <d v="2023-09-05T08:40:00"/>
    <x v="1"/>
    <x v="27"/>
    <s v="Bike C"/>
    <x v="3"/>
    <n v="153"/>
    <n v="2"/>
    <x v="2"/>
    <x v="0"/>
    <x v="0"/>
    <s v="Custom Rules"/>
    <n v="0"/>
    <n v="1"/>
    <x v="7"/>
    <s v=""/>
    <n v="1"/>
  </r>
  <r>
    <n v="1314"/>
    <s v="614 Elm St, CityE"/>
    <d v="2023-09-01T08:16:00"/>
    <x v="1"/>
    <x v="37"/>
    <s v="Bike C"/>
    <x v="2"/>
    <n v="96"/>
    <n v="4"/>
    <x v="0"/>
    <x v="4"/>
    <x v="0"/>
    <s v="Expedited Rules"/>
    <n v="0"/>
    <n v="0"/>
    <x v="6"/>
    <s v=""/>
    <n v="1"/>
  </r>
  <r>
    <n v="1318"/>
    <s v="19 Pine St, CityC"/>
    <d v="2023-09-02T14:36:00"/>
    <x v="1"/>
    <x v="58"/>
    <s v="Bike C"/>
    <x v="4"/>
    <n v="135"/>
    <n v="11"/>
    <x v="1"/>
    <x v="0"/>
    <x v="0"/>
    <s v="Standard Rules"/>
    <n v="0"/>
    <n v="0"/>
    <x v="4"/>
    <s v=""/>
    <n v="1"/>
  </r>
  <r>
    <n v="1326"/>
    <s v="995 Elm St, CityE"/>
    <d v="2023-09-06T12:02:00"/>
    <x v="1"/>
    <x v="83"/>
    <s v="Bike C"/>
    <x v="0"/>
    <n v="122"/>
    <n v="8"/>
    <x v="1"/>
    <x v="3"/>
    <x v="0"/>
    <s v="Standard Rules"/>
    <n v="0"/>
    <n v="0"/>
    <x v="1"/>
    <s v=""/>
    <n v="1"/>
  </r>
  <r>
    <n v="1340"/>
    <s v="495 Cedar St, CityB"/>
    <d v="2023-09-07T12:59:00"/>
    <x v="0"/>
    <x v="27"/>
    <s v="Bike C"/>
    <x v="2"/>
    <n v="215"/>
    <n v="9"/>
    <x v="1"/>
    <x v="3"/>
    <x v="0"/>
    <s v="Custom Rules"/>
    <n v="0"/>
    <n v="0"/>
    <x v="3"/>
    <n v="806"/>
    <n v="1"/>
  </r>
  <r>
    <n v="1347"/>
    <s v="537 Cedar St, CityC"/>
    <d v="2023-09-07T11:52:00"/>
    <x v="1"/>
    <x v="82"/>
    <s v="Bike C"/>
    <x v="2"/>
    <n v="185"/>
    <n v="12"/>
    <x v="2"/>
    <x v="4"/>
    <x v="0"/>
    <s v="Standard Rules"/>
    <n v="0"/>
    <n v="1"/>
    <x v="3"/>
    <s v=""/>
    <n v="1"/>
  </r>
  <r>
    <n v="1351"/>
    <s v="304 Main St, CityA"/>
    <d v="2023-09-04T16:44:00"/>
    <x v="1"/>
    <x v="87"/>
    <s v="Bike C"/>
    <x v="1"/>
    <n v="176"/>
    <n v="16"/>
    <x v="2"/>
    <x v="1"/>
    <x v="0"/>
    <s v="Expedited Rules"/>
    <n v="0"/>
    <n v="1"/>
    <x v="2"/>
    <s v=""/>
    <n v="1"/>
  </r>
  <r>
    <n v="1370"/>
    <s v="741 Elm St, CityD"/>
    <d v="2023-09-05T11:44:00"/>
    <x v="1"/>
    <x v="6"/>
    <s v="Bike C"/>
    <x v="2"/>
    <n v="69"/>
    <n v="29"/>
    <x v="1"/>
    <x v="3"/>
    <x v="0"/>
    <s v="Standard Rules"/>
    <n v="0"/>
    <n v="0"/>
    <x v="7"/>
    <s v=""/>
    <n v="1"/>
  </r>
  <r>
    <n v="1373"/>
    <s v="168 Elm St, CityA"/>
    <d v="2023-09-08T15:48:00"/>
    <x v="1"/>
    <x v="29"/>
    <s v="Bike C"/>
    <x v="3"/>
    <n v="165"/>
    <n v="6"/>
    <x v="0"/>
    <x v="3"/>
    <x v="0"/>
    <s v="Standard Rules"/>
    <n v="0"/>
    <n v="0"/>
    <x v="5"/>
    <s v=""/>
    <n v="1"/>
  </r>
  <r>
    <n v="1376"/>
    <s v="352 Main St, CityD"/>
    <d v="2023-09-01T16:34:00"/>
    <x v="0"/>
    <x v="63"/>
    <s v="Bike C"/>
    <x v="1"/>
    <n v="108"/>
    <n v="5"/>
    <x v="2"/>
    <x v="1"/>
    <x v="0"/>
    <s v="Custom Rules"/>
    <n v="0"/>
    <n v="1"/>
    <x v="6"/>
    <n v="812"/>
    <n v="1"/>
  </r>
  <r>
    <n v="1382"/>
    <s v="782 Oak St, CityB"/>
    <d v="2023-09-07T10:58:00"/>
    <x v="1"/>
    <x v="83"/>
    <s v="Bike C"/>
    <x v="3"/>
    <n v="90"/>
    <n v="3"/>
    <x v="2"/>
    <x v="2"/>
    <x v="0"/>
    <s v="Standard Rules"/>
    <n v="0"/>
    <n v="1"/>
    <x v="3"/>
    <s v=""/>
    <n v="1"/>
  </r>
  <r>
    <n v="1389"/>
    <s v="775 Pine St, CityA"/>
    <d v="2023-09-01T13:51:00"/>
    <x v="0"/>
    <x v="94"/>
    <s v="Bike C"/>
    <x v="0"/>
    <n v="127"/>
    <n v="28"/>
    <x v="1"/>
    <x v="4"/>
    <x v="0"/>
    <s v="Standard Rules"/>
    <n v="0"/>
    <n v="0"/>
    <x v="6"/>
    <n v="812"/>
    <n v="1"/>
  </r>
  <r>
    <n v="1392"/>
    <s v="70 Main St, CityB"/>
    <d v="2023-09-07T13:15:00"/>
    <x v="1"/>
    <x v="50"/>
    <s v="Bike C"/>
    <x v="0"/>
    <n v="193"/>
    <n v="16"/>
    <x v="0"/>
    <x v="2"/>
    <x v="0"/>
    <s v="Custom Rules"/>
    <n v="0"/>
    <n v="0"/>
    <x v="3"/>
    <s v=""/>
    <n v="1"/>
  </r>
  <r>
    <n v="1399"/>
    <s v="8 Cedar St, CityC"/>
    <d v="2023-09-05T09:32:00"/>
    <x v="1"/>
    <x v="66"/>
    <s v="Bike C"/>
    <x v="4"/>
    <n v="96"/>
    <n v="18"/>
    <x v="1"/>
    <x v="4"/>
    <x v="0"/>
    <s v="Standard Rules"/>
    <n v="0"/>
    <n v="0"/>
    <x v="7"/>
    <s v=""/>
    <n v="1"/>
  </r>
  <r>
    <n v="1400"/>
    <s v="273 Cedar St, CityC"/>
    <d v="2023-09-01T13:23:00"/>
    <x v="1"/>
    <x v="19"/>
    <s v="Bike C"/>
    <x v="3"/>
    <n v="63"/>
    <n v="21"/>
    <x v="2"/>
    <x v="0"/>
    <x v="0"/>
    <s v="Expedited Rules"/>
    <n v="0"/>
    <n v="1"/>
    <x v="6"/>
    <s v=""/>
    <n v="1"/>
  </r>
  <r>
    <n v="1411"/>
    <s v="778 Cedar St, CityC"/>
    <d v="2023-09-08T13:31:00"/>
    <x v="1"/>
    <x v="37"/>
    <s v="Bike C"/>
    <x v="3"/>
    <n v="203"/>
    <n v="14"/>
    <x v="2"/>
    <x v="2"/>
    <x v="0"/>
    <s v="Standard Rules"/>
    <n v="0"/>
    <n v="1"/>
    <x v="5"/>
    <s v=""/>
    <n v="1"/>
  </r>
  <r>
    <n v="1412"/>
    <s v="853 Elm St, CityE"/>
    <d v="2023-09-01T13:34:00"/>
    <x v="1"/>
    <x v="81"/>
    <s v="Bike C"/>
    <x v="1"/>
    <n v="183"/>
    <n v="21"/>
    <x v="2"/>
    <x v="3"/>
    <x v="0"/>
    <s v="Standard Rules"/>
    <n v="0"/>
    <n v="1"/>
    <x v="6"/>
    <s v=""/>
    <n v="1"/>
  </r>
  <r>
    <n v="1417"/>
    <s v="13 Elm St, CityB"/>
    <d v="2023-09-07T13:16:00"/>
    <x v="1"/>
    <x v="19"/>
    <s v="Bike C"/>
    <x v="0"/>
    <n v="216"/>
    <n v="9"/>
    <x v="2"/>
    <x v="0"/>
    <x v="0"/>
    <s v="Custom Rules"/>
    <n v="0"/>
    <n v="1"/>
    <x v="3"/>
    <s v=""/>
    <n v="1"/>
  </r>
  <r>
    <n v="1431"/>
    <s v="662 Elm St, CityD"/>
    <d v="2023-09-01T09:24:00"/>
    <x v="0"/>
    <x v="12"/>
    <s v="Bike C"/>
    <x v="4"/>
    <n v="140"/>
    <n v="10"/>
    <x v="0"/>
    <x v="4"/>
    <x v="0"/>
    <s v="Custom Rules"/>
    <n v="0"/>
    <n v="0"/>
    <x v="6"/>
    <n v="812"/>
    <n v="1"/>
  </r>
  <r>
    <n v="1435"/>
    <s v="310 Elm St, CityC"/>
    <d v="2023-09-07T16:51:00"/>
    <x v="1"/>
    <x v="99"/>
    <s v="Bike C"/>
    <x v="0"/>
    <n v="184"/>
    <n v="11"/>
    <x v="1"/>
    <x v="1"/>
    <x v="0"/>
    <s v="Expedited Rules"/>
    <n v="0"/>
    <n v="0"/>
    <x v="3"/>
    <s v=""/>
    <n v="1"/>
  </r>
  <r>
    <n v="1445"/>
    <s v="31 Main St, CityD"/>
    <d v="2023-09-02T09:09:00"/>
    <x v="0"/>
    <x v="53"/>
    <s v="Bike C"/>
    <x v="1"/>
    <n v="81"/>
    <n v="2"/>
    <x v="1"/>
    <x v="0"/>
    <x v="0"/>
    <s v="Expedited Rules"/>
    <n v="0"/>
    <n v="0"/>
    <x v="4"/>
    <n v="811"/>
    <n v="1"/>
  </r>
  <r>
    <n v="1463"/>
    <s v="753 Oak St, CityD"/>
    <d v="2023-09-08T10:59:00"/>
    <x v="0"/>
    <x v="88"/>
    <s v="Bike C"/>
    <x v="4"/>
    <n v="176"/>
    <n v="29"/>
    <x v="1"/>
    <x v="3"/>
    <x v="0"/>
    <s v="Standard Rules"/>
    <n v="0"/>
    <n v="0"/>
    <x v="5"/>
    <n v="805"/>
    <n v="1"/>
  </r>
  <r>
    <n v="1470"/>
    <s v="907 Elm St, CityC"/>
    <d v="2023-09-02T10:52:00"/>
    <x v="1"/>
    <x v="45"/>
    <s v="Bike C"/>
    <x v="4"/>
    <n v="86"/>
    <n v="18"/>
    <x v="2"/>
    <x v="0"/>
    <x v="0"/>
    <s v="Expedited Rules"/>
    <n v="0"/>
    <n v="1"/>
    <x v="4"/>
    <s v=""/>
    <n v="1"/>
  </r>
  <r>
    <n v="1472"/>
    <s v="462 Cedar St, CityB"/>
    <d v="2023-09-02T16:03:00"/>
    <x v="0"/>
    <x v="76"/>
    <s v="Bike C"/>
    <x v="1"/>
    <n v="204"/>
    <n v="5"/>
    <x v="1"/>
    <x v="4"/>
    <x v="0"/>
    <s v="Expedited Rules"/>
    <n v="0"/>
    <n v="0"/>
    <x v="4"/>
    <n v="811"/>
    <n v="1"/>
  </r>
  <r>
    <n v="1483"/>
    <s v="701 Oak St, CityD"/>
    <d v="2023-09-03T14:22:00"/>
    <x v="0"/>
    <x v="74"/>
    <s v="Bike C"/>
    <x v="1"/>
    <n v="69"/>
    <n v="22"/>
    <x v="0"/>
    <x v="0"/>
    <x v="0"/>
    <s v="Custom Rules"/>
    <n v="0"/>
    <n v="0"/>
    <x v="0"/>
    <n v="810"/>
    <n v="1"/>
  </r>
  <r>
    <n v="1489"/>
    <s v="656 Pine St, CityB"/>
    <d v="2023-09-02T15:45:00"/>
    <x v="0"/>
    <x v="57"/>
    <s v="Bike C"/>
    <x v="0"/>
    <n v="172"/>
    <n v="12"/>
    <x v="2"/>
    <x v="3"/>
    <x v="0"/>
    <s v="Custom Rules"/>
    <n v="0"/>
    <n v="1"/>
    <x v="4"/>
    <n v="811"/>
    <n v="1"/>
  </r>
  <r>
    <n v="1492"/>
    <s v="508 Elm St, CityA"/>
    <d v="2023-09-08T10:34:00"/>
    <x v="0"/>
    <x v="5"/>
    <s v="Bike C"/>
    <x v="0"/>
    <n v="235"/>
    <n v="1"/>
    <x v="0"/>
    <x v="0"/>
    <x v="0"/>
    <s v="Standard Rules"/>
    <n v="0"/>
    <n v="0"/>
    <x v="5"/>
    <n v="805"/>
    <n v="1"/>
  </r>
  <r>
    <n v="1501"/>
    <s v="433 Oak St, CityD"/>
    <d v="2023-09-02T08:51:00"/>
    <x v="0"/>
    <x v="88"/>
    <s v="Bike C"/>
    <x v="0"/>
    <n v="197"/>
    <n v="19"/>
    <x v="1"/>
    <x v="4"/>
    <x v="0"/>
    <s v="Standard Rules"/>
    <n v="0"/>
    <n v="0"/>
    <x v="4"/>
    <n v="811"/>
    <n v="1"/>
  </r>
  <r>
    <n v="1527"/>
    <s v="186 Pine St, CityC"/>
    <d v="2023-09-07T15:17:00"/>
    <x v="1"/>
    <x v="43"/>
    <s v="Bike C"/>
    <x v="4"/>
    <n v="159"/>
    <n v="27"/>
    <x v="1"/>
    <x v="1"/>
    <x v="0"/>
    <s v="Standard Rules"/>
    <n v="0"/>
    <n v="0"/>
    <x v="3"/>
    <s v=""/>
    <n v="1"/>
  </r>
  <r>
    <n v="1539"/>
    <s v="792 Pine St, CityA"/>
    <d v="2023-09-02T14:17:00"/>
    <x v="0"/>
    <x v="87"/>
    <s v="Bike C"/>
    <x v="3"/>
    <n v="173"/>
    <n v="17"/>
    <x v="0"/>
    <x v="1"/>
    <x v="0"/>
    <s v="Custom Rules"/>
    <n v="0"/>
    <n v="0"/>
    <x v="4"/>
    <n v="811"/>
    <n v="1"/>
  </r>
  <r>
    <n v="1548"/>
    <s v="651 Cedar St, CityA"/>
    <d v="2023-09-04T14:26:00"/>
    <x v="1"/>
    <x v="86"/>
    <s v="Bike C"/>
    <x v="4"/>
    <n v="62"/>
    <n v="25"/>
    <x v="1"/>
    <x v="1"/>
    <x v="0"/>
    <s v="Standard Rules"/>
    <n v="0"/>
    <n v="0"/>
    <x v="2"/>
    <s v=""/>
    <n v="1"/>
  </r>
  <r>
    <n v="1549"/>
    <s v="429 Pine St, CityA"/>
    <d v="2023-09-03T12:35:00"/>
    <x v="0"/>
    <x v="91"/>
    <s v="Bike C"/>
    <x v="2"/>
    <n v="75"/>
    <n v="4"/>
    <x v="1"/>
    <x v="4"/>
    <x v="0"/>
    <s v="Expedited Rules"/>
    <n v="0"/>
    <n v="0"/>
    <x v="0"/>
    <n v="810"/>
    <n v="1"/>
  </r>
  <r>
    <n v="1558"/>
    <s v="457 Cedar St, CityC"/>
    <d v="2023-09-08T09:36:00"/>
    <x v="1"/>
    <x v="46"/>
    <s v="Bike C"/>
    <x v="1"/>
    <n v="170"/>
    <n v="29"/>
    <x v="1"/>
    <x v="2"/>
    <x v="0"/>
    <s v="Expedited Rules"/>
    <n v="0"/>
    <n v="0"/>
    <x v="5"/>
    <s v=""/>
    <n v="1"/>
  </r>
  <r>
    <n v="1559"/>
    <s v="571 Oak St, CityD"/>
    <d v="2023-09-04T14:01:00"/>
    <x v="0"/>
    <x v="77"/>
    <s v="Bike C"/>
    <x v="3"/>
    <n v="195"/>
    <n v="23"/>
    <x v="1"/>
    <x v="4"/>
    <x v="0"/>
    <s v="Expedited Rules"/>
    <n v="0"/>
    <n v="0"/>
    <x v="2"/>
    <n v="809"/>
    <n v="1"/>
  </r>
  <r>
    <n v="1567"/>
    <s v="538 Oak St, CityE"/>
    <d v="2023-09-06T13:21:00"/>
    <x v="1"/>
    <x v="0"/>
    <s v="Bike C"/>
    <x v="1"/>
    <n v="168"/>
    <n v="19"/>
    <x v="1"/>
    <x v="3"/>
    <x v="0"/>
    <s v="Custom Rules"/>
    <n v="0"/>
    <n v="0"/>
    <x v="1"/>
    <s v=""/>
    <n v="1"/>
  </r>
  <r>
    <n v="1572"/>
    <s v="680 Pine St, CityD"/>
    <d v="2023-09-03T09:06:00"/>
    <x v="1"/>
    <x v="26"/>
    <s v="Bike C"/>
    <x v="4"/>
    <n v="114"/>
    <n v="1"/>
    <x v="0"/>
    <x v="1"/>
    <x v="0"/>
    <s v="Expedited Rules"/>
    <n v="0"/>
    <n v="0"/>
    <x v="0"/>
    <s v=""/>
    <n v="1"/>
  </r>
  <r>
    <n v="1575"/>
    <s v="649 Cedar St, CityA"/>
    <d v="2023-09-03T10:10:00"/>
    <x v="1"/>
    <x v="59"/>
    <s v="Bike C"/>
    <x v="3"/>
    <n v="165"/>
    <n v="6"/>
    <x v="0"/>
    <x v="0"/>
    <x v="0"/>
    <s v="Custom Rules"/>
    <n v="0"/>
    <n v="0"/>
    <x v="0"/>
    <s v=""/>
    <n v="1"/>
  </r>
  <r>
    <n v="1592"/>
    <s v="428 Main St, CityE"/>
    <d v="2023-09-06T16:39:00"/>
    <x v="0"/>
    <x v="61"/>
    <s v="Bike C"/>
    <x v="3"/>
    <n v="159"/>
    <n v="14"/>
    <x v="0"/>
    <x v="2"/>
    <x v="0"/>
    <s v="Expedited Rules"/>
    <n v="0"/>
    <n v="0"/>
    <x v="1"/>
    <n v="807"/>
    <n v="1"/>
  </r>
  <r>
    <n v="1608"/>
    <s v="526 Elm St, CityC"/>
    <d v="2023-09-03T08:52:00"/>
    <x v="0"/>
    <x v="51"/>
    <s v="Bike C"/>
    <x v="2"/>
    <n v="119"/>
    <n v="2"/>
    <x v="0"/>
    <x v="3"/>
    <x v="0"/>
    <s v="Custom Rules"/>
    <n v="0"/>
    <n v="0"/>
    <x v="0"/>
    <n v="810"/>
    <n v="1"/>
  </r>
  <r>
    <n v="1617"/>
    <s v="195 Oak St, CityE"/>
    <d v="2023-09-04T16:36:00"/>
    <x v="0"/>
    <x v="51"/>
    <s v="Bike C"/>
    <x v="0"/>
    <n v="174"/>
    <n v="27"/>
    <x v="1"/>
    <x v="0"/>
    <x v="0"/>
    <s v="Expedited Rules"/>
    <n v="0"/>
    <n v="0"/>
    <x v="2"/>
    <n v="809"/>
    <n v="1"/>
  </r>
  <r>
    <n v="1636"/>
    <s v="644 Pine St, CityE"/>
    <d v="2023-09-05T16:14:00"/>
    <x v="1"/>
    <x v="92"/>
    <s v="Bike C"/>
    <x v="4"/>
    <n v="128"/>
    <n v="3"/>
    <x v="2"/>
    <x v="4"/>
    <x v="0"/>
    <s v="Standard Rules"/>
    <n v="0"/>
    <n v="1"/>
    <x v="7"/>
    <s v=""/>
    <n v="1"/>
  </r>
  <r>
    <n v="1655"/>
    <s v="555 Cedar St, CityA"/>
    <d v="2023-09-07T09:29:00"/>
    <x v="0"/>
    <x v="48"/>
    <s v="Bike C"/>
    <x v="1"/>
    <n v="196"/>
    <n v="28"/>
    <x v="1"/>
    <x v="1"/>
    <x v="0"/>
    <s v="Expedited Rules"/>
    <n v="0"/>
    <n v="0"/>
    <x v="3"/>
    <n v="806"/>
    <n v="1"/>
  </r>
  <r>
    <n v="1658"/>
    <s v="829 Pine St, CityA"/>
    <d v="2023-09-07T15:43:00"/>
    <x v="0"/>
    <x v="15"/>
    <s v="Bike C"/>
    <x v="2"/>
    <n v="219"/>
    <n v="28"/>
    <x v="2"/>
    <x v="4"/>
    <x v="0"/>
    <s v="Custom Rules"/>
    <n v="0"/>
    <n v="1"/>
    <x v="3"/>
    <n v="806"/>
    <n v="1"/>
  </r>
  <r>
    <n v="1672"/>
    <s v="903 Pine St, CityD"/>
    <d v="2023-09-06T15:40:00"/>
    <x v="0"/>
    <x v="68"/>
    <s v="Bike C"/>
    <x v="1"/>
    <n v="126"/>
    <n v="3"/>
    <x v="1"/>
    <x v="0"/>
    <x v="0"/>
    <s v="Standard Rules"/>
    <n v="0"/>
    <n v="0"/>
    <x v="1"/>
    <n v="807"/>
    <n v="1"/>
  </r>
  <r>
    <n v="1674"/>
    <s v="330 Main St, CityD"/>
    <d v="2023-09-08T08:53:00"/>
    <x v="1"/>
    <x v="22"/>
    <s v="Bike C"/>
    <x v="0"/>
    <n v="214"/>
    <n v="8"/>
    <x v="0"/>
    <x v="2"/>
    <x v="0"/>
    <s v="Custom Rules"/>
    <n v="0"/>
    <n v="0"/>
    <x v="5"/>
    <s v=""/>
    <n v="1"/>
  </r>
  <r>
    <n v="1678"/>
    <s v="721 Main St, CityE"/>
    <d v="2023-09-06T13:45:00"/>
    <x v="0"/>
    <x v="24"/>
    <s v="Bike C"/>
    <x v="0"/>
    <n v="99"/>
    <n v="17"/>
    <x v="0"/>
    <x v="1"/>
    <x v="0"/>
    <s v="Custom Rules"/>
    <n v="0"/>
    <n v="0"/>
    <x v="1"/>
    <n v="807"/>
    <n v="1"/>
  </r>
  <r>
    <n v="1681"/>
    <s v="224 Oak St, CityC"/>
    <d v="2023-09-04T14:18:00"/>
    <x v="1"/>
    <x v="84"/>
    <s v="Bike C"/>
    <x v="0"/>
    <n v="134"/>
    <n v="5"/>
    <x v="0"/>
    <x v="2"/>
    <x v="0"/>
    <s v="Custom Rules"/>
    <n v="0"/>
    <n v="0"/>
    <x v="2"/>
    <s v=""/>
    <n v="1"/>
  </r>
  <r>
    <n v="1709"/>
    <s v="54 Cedar St, CityB"/>
    <d v="2023-09-08T08:04:00"/>
    <x v="1"/>
    <x v="22"/>
    <s v="Bike C"/>
    <x v="0"/>
    <n v="125"/>
    <n v="4"/>
    <x v="1"/>
    <x v="3"/>
    <x v="0"/>
    <s v="Standard Rules"/>
    <n v="0"/>
    <n v="0"/>
    <x v="5"/>
    <s v=""/>
    <n v="1"/>
  </r>
  <r>
    <n v="1724"/>
    <s v="481 Elm St, CityB"/>
    <d v="2023-09-07T09:24:00"/>
    <x v="0"/>
    <x v="88"/>
    <s v="Bike C"/>
    <x v="1"/>
    <n v="96"/>
    <n v="20"/>
    <x v="1"/>
    <x v="4"/>
    <x v="0"/>
    <s v="Standard Rules"/>
    <n v="0"/>
    <n v="0"/>
    <x v="3"/>
    <n v="806"/>
    <n v="1"/>
  </r>
  <r>
    <n v="1738"/>
    <s v="537 Pine St, CityB"/>
    <d v="2023-09-08T08:58:00"/>
    <x v="1"/>
    <x v="75"/>
    <s v="Bike C"/>
    <x v="1"/>
    <n v="186"/>
    <n v="13"/>
    <x v="1"/>
    <x v="0"/>
    <x v="0"/>
    <s v="Standard Rules"/>
    <n v="0"/>
    <n v="0"/>
    <x v="5"/>
    <s v=""/>
    <n v="1"/>
  </r>
  <r>
    <n v="1746"/>
    <s v="204 Main St, CityB"/>
    <d v="2023-09-02T09:27:00"/>
    <x v="1"/>
    <x v="14"/>
    <s v="Bike C"/>
    <x v="3"/>
    <n v="233"/>
    <n v="10"/>
    <x v="1"/>
    <x v="0"/>
    <x v="0"/>
    <s v="Custom Rules"/>
    <n v="0"/>
    <n v="0"/>
    <x v="4"/>
    <s v=""/>
    <n v="1"/>
  </r>
  <r>
    <n v="1748"/>
    <s v="886 Cedar St, CityB"/>
    <d v="2023-09-06T11:34:00"/>
    <x v="0"/>
    <x v="90"/>
    <s v="Bike C"/>
    <x v="2"/>
    <n v="114"/>
    <n v="25"/>
    <x v="1"/>
    <x v="4"/>
    <x v="0"/>
    <s v="Standard Rules"/>
    <n v="0"/>
    <n v="0"/>
    <x v="1"/>
    <n v="807"/>
    <n v="1"/>
  </r>
  <r>
    <n v="1758"/>
    <s v="359 Pine St, CityD"/>
    <d v="2023-09-05T13:56:00"/>
    <x v="0"/>
    <x v="10"/>
    <s v="Bike C"/>
    <x v="1"/>
    <n v="94"/>
    <n v="23"/>
    <x v="1"/>
    <x v="3"/>
    <x v="0"/>
    <s v="Standard Rules"/>
    <n v="0"/>
    <n v="0"/>
    <x v="7"/>
    <n v="808"/>
    <n v="1"/>
  </r>
  <r>
    <n v="1763"/>
    <s v="70 Oak St, CityC"/>
    <d v="2023-09-03T12:34:00"/>
    <x v="1"/>
    <x v="94"/>
    <s v="Bike C"/>
    <x v="3"/>
    <n v="124"/>
    <n v="10"/>
    <x v="2"/>
    <x v="2"/>
    <x v="0"/>
    <s v="Custom Rules"/>
    <n v="0"/>
    <n v="1"/>
    <x v="0"/>
    <s v=""/>
    <n v="1"/>
  </r>
  <r>
    <n v="1769"/>
    <s v="25 Pine St, CityD"/>
    <d v="2023-09-06T09:26:00"/>
    <x v="0"/>
    <x v="18"/>
    <s v="Bike C"/>
    <x v="4"/>
    <n v="222"/>
    <n v="27"/>
    <x v="2"/>
    <x v="4"/>
    <x v="0"/>
    <s v="Expedited Rules"/>
    <n v="0"/>
    <n v="1"/>
    <x v="1"/>
    <n v="807"/>
    <n v="1"/>
  </r>
  <r>
    <n v="1775"/>
    <s v="444 Cedar St, CityA"/>
    <d v="2023-09-08T10:45:00"/>
    <x v="0"/>
    <x v="59"/>
    <s v="Bike C"/>
    <x v="2"/>
    <n v="125"/>
    <n v="13"/>
    <x v="1"/>
    <x v="3"/>
    <x v="0"/>
    <s v="Custom Rules"/>
    <n v="0"/>
    <n v="0"/>
    <x v="5"/>
    <n v="805"/>
    <n v="1"/>
  </r>
  <r>
    <n v="1786"/>
    <s v="428 Elm St, CityD"/>
    <d v="2023-09-03T16:14:00"/>
    <x v="1"/>
    <x v="35"/>
    <s v="Bike C"/>
    <x v="1"/>
    <n v="237"/>
    <n v="10"/>
    <x v="1"/>
    <x v="2"/>
    <x v="0"/>
    <s v="Standard Rules"/>
    <n v="0"/>
    <n v="0"/>
    <x v="0"/>
    <s v=""/>
    <n v="1"/>
  </r>
  <r>
    <n v="1816"/>
    <s v="949 Main St, CityD"/>
    <d v="2023-09-05T09:05:00"/>
    <x v="1"/>
    <x v="41"/>
    <s v="Bike C"/>
    <x v="4"/>
    <n v="68"/>
    <n v="21"/>
    <x v="1"/>
    <x v="1"/>
    <x v="0"/>
    <s v="Custom Rules"/>
    <n v="0"/>
    <n v="0"/>
    <x v="7"/>
    <s v=""/>
    <n v="1"/>
  </r>
  <r>
    <n v="1817"/>
    <s v="416 Pine St, CityB"/>
    <d v="2023-09-04T10:16:00"/>
    <x v="0"/>
    <x v="12"/>
    <s v="Bike C"/>
    <x v="2"/>
    <n v="159"/>
    <n v="1"/>
    <x v="2"/>
    <x v="0"/>
    <x v="0"/>
    <s v="Standard Rules"/>
    <n v="0"/>
    <n v="1"/>
    <x v="2"/>
    <n v="809"/>
    <n v="1"/>
  </r>
  <r>
    <n v="1863"/>
    <s v="446 Pine St, CityA"/>
    <d v="2023-09-02T14:52:00"/>
    <x v="1"/>
    <x v="97"/>
    <s v="Bike C"/>
    <x v="1"/>
    <n v="108"/>
    <n v="12"/>
    <x v="1"/>
    <x v="1"/>
    <x v="0"/>
    <s v="Expedited Rules"/>
    <n v="0"/>
    <n v="0"/>
    <x v="4"/>
    <s v=""/>
    <n v="1"/>
  </r>
  <r>
    <n v="1864"/>
    <s v="953 Cedar St, CityE"/>
    <d v="2023-09-06T12:49:00"/>
    <x v="1"/>
    <x v="0"/>
    <s v="Bike C"/>
    <x v="1"/>
    <n v="96"/>
    <n v="28"/>
    <x v="1"/>
    <x v="3"/>
    <x v="0"/>
    <s v="Custom Rules"/>
    <n v="0"/>
    <n v="0"/>
    <x v="1"/>
    <s v=""/>
    <n v="1"/>
  </r>
  <r>
    <n v="1869"/>
    <s v="33 Oak St, CityD"/>
    <d v="2023-09-02T08:34:00"/>
    <x v="1"/>
    <x v="43"/>
    <s v="Bike C"/>
    <x v="4"/>
    <n v="146"/>
    <n v="8"/>
    <x v="2"/>
    <x v="1"/>
    <x v="0"/>
    <s v="Expedited Rules"/>
    <n v="0"/>
    <n v="1"/>
    <x v="4"/>
    <s v=""/>
    <n v="1"/>
  </r>
  <r>
    <n v="1901"/>
    <s v="685 Cedar St, CityC"/>
    <d v="2023-09-01T15:10:00"/>
    <x v="0"/>
    <x v="1"/>
    <s v="Bike C"/>
    <x v="1"/>
    <n v="214"/>
    <n v="16"/>
    <x v="1"/>
    <x v="3"/>
    <x v="0"/>
    <s v="Standard Rules"/>
    <n v="0"/>
    <n v="0"/>
    <x v="6"/>
    <n v="812"/>
    <n v="1"/>
  </r>
  <r>
    <n v="1905"/>
    <s v="407 Main St, CityD"/>
    <d v="2023-09-07T16:49:00"/>
    <x v="1"/>
    <x v="25"/>
    <s v="Bike C"/>
    <x v="1"/>
    <n v="108"/>
    <n v="23"/>
    <x v="1"/>
    <x v="3"/>
    <x v="0"/>
    <s v="Standard Rules"/>
    <n v="0"/>
    <n v="0"/>
    <x v="3"/>
    <s v=""/>
    <n v="1"/>
  </r>
  <r>
    <n v="1909"/>
    <s v="788 Cedar St, CityA"/>
    <d v="2023-09-06T13:39:00"/>
    <x v="0"/>
    <x v="95"/>
    <s v="Bike C"/>
    <x v="1"/>
    <n v="128"/>
    <n v="17"/>
    <x v="1"/>
    <x v="3"/>
    <x v="0"/>
    <s v="Custom Rules"/>
    <n v="0"/>
    <n v="0"/>
    <x v="1"/>
    <n v="807"/>
    <n v="1"/>
  </r>
  <r>
    <n v="1917"/>
    <s v="337 Elm St, CityD"/>
    <d v="2023-09-07T11:27:00"/>
    <x v="1"/>
    <x v="49"/>
    <s v="Bike C"/>
    <x v="2"/>
    <n v="140"/>
    <n v="3"/>
    <x v="0"/>
    <x v="3"/>
    <x v="0"/>
    <s v="Expedited Rules"/>
    <n v="0"/>
    <n v="0"/>
    <x v="3"/>
    <s v=""/>
    <n v="1"/>
  </r>
  <r>
    <n v="1925"/>
    <s v="79 Elm St, CityA"/>
    <d v="2023-09-01T11:24:00"/>
    <x v="1"/>
    <x v="26"/>
    <s v="Bike C"/>
    <x v="2"/>
    <n v="198"/>
    <n v="17"/>
    <x v="2"/>
    <x v="2"/>
    <x v="0"/>
    <s v="Custom Rules"/>
    <n v="0"/>
    <n v="1"/>
    <x v="6"/>
    <s v=""/>
    <n v="1"/>
  </r>
  <r>
    <n v="1929"/>
    <s v="125 Cedar St, CityE"/>
    <d v="2023-09-03T16:43:00"/>
    <x v="1"/>
    <x v="34"/>
    <s v="Bike C"/>
    <x v="3"/>
    <n v="95"/>
    <n v="13"/>
    <x v="1"/>
    <x v="4"/>
    <x v="0"/>
    <s v="Standard Rules"/>
    <n v="0"/>
    <n v="0"/>
    <x v="0"/>
    <s v=""/>
    <n v="1"/>
  </r>
  <r>
    <n v="1936"/>
    <s v="933 Cedar St, CityA"/>
    <d v="2023-09-03T11:44:00"/>
    <x v="1"/>
    <x v="29"/>
    <s v="Bike C"/>
    <x v="4"/>
    <n v="173"/>
    <n v="19"/>
    <x v="2"/>
    <x v="4"/>
    <x v="0"/>
    <s v="Standard Rules"/>
    <n v="0"/>
    <n v="1"/>
    <x v="0"/>
    <s v=""/>
    <n v="1"/>
  </r>
  <r>
    <n v="1955"/>
    <s v="138 Main St, CityE"/>
    <d v="2023-09-01T10:25:00"/>
    <x v="0"/>
    <x v="6"/>
    <s v="Bike C"/>
    <x v="2"/>
    <n v="92"/>
    <n v="18"/>
    <x v="0"/>
    <x v="2"/>
    <x v="0"/>
    <s v="Standard Rules"/>
    <n v="0"/>
    <n v="0"/>
    <x v="6"/>
    <n v="812"/>
    <n v="1"/>
  </r>
  <r>
    <n v="1969"/>
    <s v="77 Pine St, CityC"/>
    <d v="2023-09-03T13:51:00"/>
    <x v="0"/>
    <x v="61"/>
    <s v="Bike C"/>
    <x v="3"/>
    <n v="219"/>
    <n v="13"/>
    <x v="2"/>
    <x v="2"/>
    <x v="0"/>
    <s v="Expedited Rules"/>
    <n v="0"/>
    <n v="1"/>
    <x v="0"/>
    <n v="810"/>
    <n v="1"/>
  </r>
  <r>
    <n v="1984"/>
    <s v="305 Cedar St, CityC"/>
    <d v="2023-09-06T08:29:00"/>
    <x v="1"/>
    <x v="16"/>
    <s v="Bike C"/>
    <x v="4"/>
    <n v="61"/>
    <n v="29"/>
    <x v="1"/>
    <x v="0"/>
    <x v="0"/>
    <s v="Standard Rules"/>
    <n v="0"/>
    <n v="0"/>
    <x v="1"/>
    <s v=""/>
    <n v="1"/>
  </r>
  <r>
    <n v="1985"/>
    <s v="103 Pine St, CityA"/>
    <d v="2023-09-08T16:34:00"/>
    <x v="1"/>
    <x v="28"/>
    <s v="Bike C"/>
    <x v="1"/>
    <n v="214"/>
    <n v="23"/>
    <x v="0"/>
    <x v="2"/>
    <x v="0"/>
    <s v="Custom Rules"/>
    <n v="0"/>
    <n v="0"/>
    <x v="5"/>
    <s v=""/>
    <n v="1"/>
  </r>
  <r>
    <n v="1987"/>
    <s v="674 Oak St, CityC"/>
    <d v="2023-09-04T11:53:00"/>
    <x v="0"/>
    <x v="41"/>
    <s v="Bike C"/>
    <x v="3"/>
    <n v="235"/>
    <n v="6"/>
    <x v="1"/>
    <x v="4"/>
    <x v="0"/>
    <s v="Custom Rules"/>
    <n v="0"/>
    <n v="0"/>
    <x v="2"/>
    <n v="809"/>
    <n v="1"/>
  </r>
  <r>
    <n v="1997"/>
    <s v="646 Main St, CityD"/>
    <d v="2023-09-08T12:18:00"/>
    <x v="1"/>
    <x v="47"/>
    <s v="Bike C"/>
    <x v="0"/>
    <n v="145"/>
    <n v="14"/>
    <x v="2"/>
    <x v="3"/>
    <x v="0"/>
    <s v="Custom Rules"/>
    <n v="0"/>
    <n v="1"/>
    <x v="5"/>
    <s v=""/>
    <n v="1"/>
  </r>
  <r>
    <n v="1999"/>
    <s v="756 Cedar St, CityB"/>
    <d v="2023-09-03T08:00:00"/>
    <x v="0"/>
    <x v="67"/>
    <s v="Bike C"/>
    <x v="3"/>
    <n v="239"/>
    <n v="10"/>
    <x v="2"/>
    <x v="4"/>
    <x v="0"/>
    <s v="Standard Rules"/>
    <n v="0"/>
    <n v="1"/>
    <x v="0"/>
    <n v="810"/>
    <n v="1"/>
  </r>
  <r>
    <n v="2011"/>
    <s v="877 Main St, CityD"/>
    <d v="2023-09-06T11:22:00"/>
    <x v="0"/>
    <x v="96"/>
    <s v="Bike C"/>
    <x v="3"/>
    <n v="217"/>
    <n v="29"/>
    <x v="2"/>
    <x v="3"/>
    <x v="0"/>
    <s v="Custom Rules"/>
    <n v="0"/>
    <n v="1"/>
    <x v="1"/>
    <n v="807"/>
    <n v="1"/>
  </r>
  <r>
    <n v="2015"/>
    <s v="708 Elm St, CityE"/>
    <d v="2023-09-08T10:29:00"/>
    <x v="1"/>
    <x v="8"/>
    <s v="Bike C"/>
    <x v="1"/>
    <n v="198"/>
    <n v="27"/>
    <x v="1"/>
    <x v="4"/>
    <x v="0"/>
    <s v="Expedited Rules"/>
    <n v="0"/>
    <n v="0"/>
    <x v="5"/>
    <s v=""/>
    <n v="1"/>
  </r>
  <r>
    <n v="2020"/>
    <s v="701 Pine St, CityB"/>
    <d v="2023-09-01T15:46:00"/>
    <x v="1"/>
    <x v="72"/>
    <s v="Bike C"/>
    <x v="0"/>
    <n v="200"/>
    <n v="10"/>
    <x v="1"/>
    <x v="0"/>
    <x v="0"/>
    <s v="Standard Rules"/>
    <n v="0"/>
    <n v="0"/>
    <x v="6"/>
    <s v=""/>
    <n v="1"/>
  </r>
  <r>
    <n v="2027"/>
    <s v="742 Main St, CityC"/>
    <d v="2023-09-05T14:22:00"/>
    <x v="1"/>
    <x v="88"/>
    <s v="Bike C"/>
    <x v="4"/>
    <n v="134"/>
    <n v="1"/>
    <x v="2"/>
    <x v="0"/>
    <x v="0"/>
    <s v="Expedited Rules"/>
    <n v="0"/>
    <n v="1"/>
    <x v="7"/>
    <s v=""/>
    <n v="1"/>
  </r>
  <r>
    <n v="2050"/>
    <s v="522 Elm St, CityA"/>
    <d v="2023-09-08T13:21:00"/>
    <x v="0"/>
    <x v="97"/>
    <s v="Bike C"/>
    <x v="3"/>
    <n v="123"/>
    <n v="26"/>
    <x v="0"/>
    <x v="2"/>
    <x v="0"/>
    <s v="Standard Rules"/>
    <n v="0"/>
    <n v="0"/>
    <x v="5"/>
    <n v="805"/>
    <n v="1"/>
  </r>
  <r>
    <n v="2076"/>
    <s v="579 Elm St, CityB"/>
    <d v="2023-09-04T08:54:00"/>
    <x v="0"/>
    <x v="86"/>
    <s v="Bike C"/>
    <x v="0"/>
    <n v="209"/>
    <n v="11"/>
    <x v="0"/>
    <x v="4"/>
    <x v="0"/>
    <s v="Standard Rules"/>
    <n v="0"/>
    <n v="0"/>
    <x v="2"/>
    <n v="809"/>
    <n v="1"/>
  </r>
  <r>
    <n v="2096"/>
    <s v="91 Cedar St, CityE"/>
    <d v="2023-09-06T14:25:00"/>
    <x v="0"/>
    <x v="87"/>
    <s v="Bike C"/>
    <x v="1"/>
    <n v="195"/>
    <n v="4"/>
    <x v="2"/>
    <x v="1"/>
    <x v="0"/>
    <s v="Standard Rules"/>
    <n v="0"/>
    <n v="1"/>
    <x v="1"/>
    <n v="807"/>
    <n v="1"/>
  </r>
  <r>
    <n v="2138"/>
    <s v="247 Main St, CityE"/>
    <d v="2023-09-03T12:58:00"/>
    <x v="0"/>
    <x v="33"/>
    <s v="Bike C"/>
    <x v="0"/>
    <n v="86"/>
    <n v="19"/>
    <x v="0"/>
    <x v="3"/>
    <x v="0"/>
    <s v="Custom Rules"/>
    <n v="0"/>
    <n v="0"/>
    <x v="0"/>
    <n v="810"/>
    <n v="1"/>
  </r>
  <r>
    <n v="2184"/>
    <s v="678 Main St, CityC"/>
    <d v="2023-09-03T10:51:00"/>
    <x v="0"/>
    <x v="80"/>
    <s v="Bike C"/>
    <x v="2"/>
    <n v="205"/>
    <n v="20"/>
    <x v="2"/>
    <x v="0"/>
    <x v="0"/>
    <s v="Standard Rules"/>
    <n v="0"/>
    <n v="1"/>
    <x v="0"/>
    <n v="810"/>
    <n v="1"/>
  </r>
  <r>
    <n v="2187"/>
    <s v="732 Main St, CityD"/>
    <d v="2023-09-06T09:04:00"/>
    <x v="0"/>
    <x v="87"/>
    <s v="Bike C"/>
    <x v="2"/>
    <n v="134"/>
    <n v="28"/>
    <x v="0"/>
    <x v="4"/>
    <x v="0"/>
    <s v="Expedited Rules"/>
    <n v="0"/>
    <n v="0"/>
    <x v="1"/>
    <n v="807"/>
    <n v="1"/>
  </r>
  <r>
    <n v="2205"/>
    <s v="275 Elm St, CityB"/>
    <d v="2023-09-02T16:42:00"/>
    <x v="0"/>
    <x v="27"/>
    <s v="Bike C"/>
    <x v="1"/>
    <n v="192"/>
    <n v="13"/>
    <x v="2"/>
    <x v="0"/>
    <x v="0"/>
    <s v="Standard Rules"/>
    <n v="0"/>
    <n v="1"/>
    <x v="4"/>
    <n v="811"/>
    <n v="1"/>
  </r>
  <r>
    <n v="2208"/>
    <s v="695 Oak St, CityB"/>
    <d v="2023-09-07T16:31:00"/>
    <x v="1"/>
    <x v="99"/>
    <s v="Bike C"/>
    <x v="1"/>
    <n v="219"/>
    <n v="17"/>
    <x v="2"/>
    <x v="2"/>
    <x v="0"/>
    <s v="Custom Rules"/>
    <n v="0"/>
    <n v="1"/>
    <x v="3"/>
    <s v=""/>
    <n v="1"/>
  </r>
  <r>
    <n v="2213"/>
    <s v="740 Cedar St, CityD"/>
    <d v="2023-09-05T14:19:00"/>
    <x v="1"/>
    <x v="62"/>
    <s v="Bike C"/>
    <x v="4"/>
    <n v="198"/>
    <n v="23"/>
    <x v="2"/>
    <x v="4"/>
    <x v="0"/>
    <s v="Custom Rules"/>
    <n v="0"/>
    <n v="1"/>
    <x v="7"/>
    <s v=""/>
    <n v="1"/>
  </r>
  <r>
    <n v="2217"/>
    <s v="299 Pine St, CityB"/>
    <d v="2023-09-08T15:40:00"/>
    <x v="0"/>
    <x v="19"/>
    <s v="Bike C"/>
    <x v="1"/>
    <n v="121"/>
    <n v="10"/>
    <x v="2"/>
    <x v="1"/>
    <x v="0"/>
    <s v="Custom Rules"/>
    <n v="0"/>
    <n v="1"/>
    <x v="5"/>
    <n v="805"/>
    <n v="1"/>
  </r>
  <r>
    <n v="2236"/>
    <s v="994 Oak St, CityB"/>
    <d v="2023-09-04T10:32:00"/>
    <x v="0"/>
    <x v="54"/>
    <s v="Bike C"/>
    <x v="1"/>
    <n v="156"/>
    <n v="13"/>
    <x v="2"/>
    <x v="2"/>
    <x v="0"/>
    <s v="Standard Rules"/>
    <n v="0"/>
    <n v="1"/>
    <x v="2"/>
    <n v="809"/>
    <n v="1"/>
  </r>
  <r>
    <n v="2248"/>
    <s v="41 Pine St, CityA"/>
    <d v="2023-09-01T16:45:00"/>
    <x v="1"/>
    <x v="50"/>
    <s v="Bike C"/>
    <x v="2"/>
    <n v="121"/>
    <n v="16"/>
    <x v="1"/>
    <x v="3"/>
    <x v="0"/>
    <s v="Custom Rules"/>
    <n v="0"/>
    <n v="0"/>
    <x v="6"/>
    <s v=""/>
    <n v="1"/>
  </r>
  <r>
    <n v="2255"/>
    <s v="11 Elm St, CityB"/>
    <d v="2023-09-04T11:11:00"/>
    <x v="1"/>
    <x v="51"/>
    <s v="Bike C"/>
    <x v="3"/>
    <n v="166"/>
    <n v="29"/>
    <x v="0"/>
    <x v="1"/>
    <x v="0"/>
    <s v="Custom Rules"/>
    <n v="0"/>
    <n v="0"/>
    <x v="2"/>
    <s v=""/>
    <n v="1"/>
  </r>
  <r>
    <n v="2258"/>
    <s v="798 Pine St, CityA"/>
    <d v="2023-09-02T14:57:00"/>
    <x v="0"/>
    <x v="21"/>
    <s v="Bike C"/>
    <x v="0"/>
    <n v="67"/>
    <n v="29"/>
    <x v="0"/>
    <x v="3"/>
    <x v="0"/>
    <s v="Expedited Rules"/>
    <n v="0"/>
    <n v="0"/>
    <x v="4"/>
    <n v="811"/>
    <n v="1"/>
  </r>
  <r>
    <n v="2270"/>
    <s v="828 Main St, CityE"/>
    <d v="2023-09-06T16:30:00"/>
    <x v="0"/>
    <x v="96"/>
    <s v="Bike C"/>
    <x v="3"/>
    <n v="226"/>
    <n v="15"/>
    <x v="0"/>
    <x v="0"/>
    <x v="0"/>
    <s v="Standard Rules"/>
    <n v="0"/>
    <n v="0"/>
    <x v="1"/>
    <n v="807"/>
    <n v="1"/>
  </r>
  <r>
    <n v="2277"/>
    <s v="175 Elm St, CityB"/>
    <d v="2023-09-08T14:07:00"/>
    <x v="0"/>
    <x v="46"/>
    <s v="Bike C"/>
    <x v="1"/>
    <n v="184"/>
    <n v="22"/>
    <x v="1"/>
    <x v="2"/>
    <x v="0"/>
    <s v="Standard Rules"/>
    <n v="0"/>
    <n v="0"/>
    <x v="5"/>
    <n v="805"/>
    <n v="1"/>
  </r>
  <r>
    <n v="2293"/>
    <s v="533 Elm St, CityC"/>
    <d v="2023-09-03T12:56:00"/>
    <x v="0"/>
    <x v="21"/>
    <s v="Bike C"/>
    <x v="1"/>
    <n v="66"/>
    <n v="28"/>
    <x v="2"/>
    <x v="0"/>
    <x v="0"/>
    <s v="Expedited Rules"/>
    <n v="0"/>
    <n v="1"/>
    <x v="0"/>
    <n v="810"/>
    <n v="1"/>
  </r>
  <r>
    <n v="2299"/>
    <s v="261 Oak St, CityC"/>
    <d v="2023-09-08T16:00:00"/>
    <x v="0"/>
    <x v="34"/>
    <s v="Bike C"/>
    <x v="4"/>
    <n v="153"/>
    <n v="6"/>
    <x v="0"/>
    <x v="4"/>
    <x v="0"/>
    <s v="Expedited Rules"/>
    <n v="0"/>
    <n v="0"/>
    <x v="5"/>
    <n v="805"/>
    <n v="1"/>
  </r>
  <r>
    <n v="2306"/>
    <s v="852 Oak St, CityC"/>
    <d v="2023-09-08T11:18:00"/>
    <x v="1"/>
    <x v="95"/>
    <s v="Bike C"/>
    <x v="1"/>
    <n v="173"/>
    <n v="17"/>
    <x v="0"/>
    <x v="2"/>
    <x v="0"/>
    <s v="Custom Rules"/>
    <n v="0"/>
    <n v="0"/>
    <x v="5"/>
    <s v=""/>
    <n v="1"/>
  </r>
  <r>
    <n v="2308"/>
    <s v="248 Oak St, CityE"/>
    <d v="2023-09-02T11:25:00"/>
    <x v="0"/>
    <x v="78"/>
    <s v="Bike C"/>
    <x v="1"/>
    <n v="132"/>
    <n v="2"/>
    <x v="2"/>
    <x v="1"/>
    <x v="0"/>
    <s v="Custom Rules"/>
    <n v="0"/>
    <n v="1"/>
    <x v="4"/>
    <n v="811"/>
    <n v="1"/>
  </r>
  <r>
    <n v="2323"/>
    <s v="262 Cedar St, CityB"/>
    <d v="2023-09-04T12:42:00"/>
    <x v="0"/>
    <x v="68"/>
    <s v="Bike C"/>
    <x v="2"/>
    <n v="65"/>
    <n v="23"/>
    <x v="2"/>
    <x v="3"/>
    <x v="0"/>
    <s v="Custom Rules"/>
    <n v="0"/>
    <n v="1"/>
    <x v="2"/>
    <n v="809"/>
    <n v="1"/>
  </r>
  <r>
    <n v="2334"/>
    <s v="22 Cedar St, CityC"/>
    <d v="2023-09-04T16:16:00"/>
    <x v="0"/>
    <x v="86"/>
    <s v="Bike C"/>
    <x v="1"/>
    <n v="73"/>
    <n v="11"/>
    <x v="1"/>
    <x v="0"/>
    <x v="0"/>
    <s v="Standard Rules"/>
    <n v="0"/>
    <n v="0"/>
    <x v="2"/>
    <n v="809"/>
    <n v="1"/>
  </r>
  <r>
    <n v="2366"/>
    <s v="689 Elm St, CityB"/>
    <d v="2023-09-06T10:18:00"/>
    <x v="0"/>
    <x v="56"/>
    <s v="Bike C"/>
    <x v="3"/>
    <n v="134"/>
    <n v="22"/>
    <x v="0"/>
    <x v="2"/>
    <x v="0"/>
    <s v="Custom Rules"/>
    <n v="0"/>
    <n v="0"/>
    <x v="1"/>
    <n v="807"/>
    <n v="1"/>
  </r>
  <r>
    <n v="2368"/>
    <s v="586 Oak St, CityA"/>
    <d v="2023-09-01T10:44:00"/>
    <x v="0"/>
    <x v="28"/>
    <s v="Bike C"/>
    <x v="2"/>
    <n v="225"/>
    <n v="19"/>
    <x v="1"/>
    <x v="2"/>
    <x v="0"/>
    <s v="Custom Rules"/>
    <n v="0"/>
    <n v="0"/>
    <x v="6"/>
    <n v="812"/>
    <n v="1"/>
  </r>
  <r>
    <n v="2375"/>
    <s v="771 Elm St, CityA"/>
    <d v="2023-09-04T16:41:00"/>
    <x v="1"/>
    <x v="73"/>
    <s v="Bike C"/>
    <x v="1"/>
    <n v="176"/>
    <n v="15"/>
    <x v="1"/>
    <x v="3"/>
    <x v="0"/>
    <s v="Expedited Rules"/>
    <n v="0"/>
    <n v="0"/>
    <x v="2"/>
    <s v=""/>
    <n v="1"/>
  </r>
  <r>
    <n v="2381"/>
    <s v="685 Elm St, CityE"/>
    <d v="2023-09-02T09:25:00"/>
    <x v="1"/>
    <x v="58"/>
    <s v="Bike C"/>
    <x v="1"/>
    <n v="145"/>
    <n v="11"/>
    <x v="0"/>
    <x v="3"/>
    <x v="0"/>
    <s v="Expedited Rules"/>
    <n v="0"/>
    <n v="0"/>
    <x v="4"/>
    <s v=""/>
    <n v="1"/>
  </r>
  <r>
    <n v="2388"/>
    <s v="465 Pine St, CityB"/>
    <d v="2023-09-08T12:28:00"/>
    <x v="1"/>
    <x v="94"/>
    <s v="Bike C"/>
    <x v="4"/>
    <n v="201"/>
    <n v="15"/>
    <x v="0"/>
    <x v="3"/>
    <x v="0"/>
    <s v="Custom Rules"/>
    <n v="0"/>
    <n v="0"/>
    <x v="5"/>
    <s v=""/>
    <n v="1"/>
  </r>
  <r>
    <n v="2391"/>
    <s v="658 Pine St, CityB"/>
    <d v="2023-09-03T11:22:00"/>
    <x v="0"/>
    <x v="56"/>
    <s v="Bike C"/>
    <x v="4"/>
    <n v="99"/>
    <n v="15"/>
    <x v="2"/>
    <x v="0"/>
    <x v="0"/>
    <s v="Custom Rules"/>
    <n v="0"/>
    <n v="1"/>
    <x v="0"/>
    <n v="810"/>
    <n v="1"/>
  </r>
  <r>
    <n v="2395"/>
    <s v="454 Cedar St, CityC"/>
    <d v="2023-09-05T15:12:00"/>
    <x v="1"/>
    <x v="86"/>
    <s v="Bike C"/>
    <x v="1"/>
    <n v="157"/>
    <n v="9"/>
    <x v="2"/>
    <x v="2"/>
    <x v="0"/>
    <s v="Standard Rules"/>
    <n v="0"/>
    <n v="1"/>
    <x v="7"/>
    <s v=""/>
    <n v="1"/>
  </r>
  <r>
    <n v="2402"/>
    <s v="743 Pine St, CityD"/>
    <d v="2023-09-03T11:15:00"/>
    <x v="0"/>
    <x v="60"/>
    <s v="Bike C"/>
    <x v="2"/>
    <n v="149"/>
    <n v="18"/>
    <x v="1"/>
    <x v="0"/>
    <x v="0"/>
    <s v="Standard Rules"/>
    <n v="0"/>
    <n v="0"/>
    <x v="0"/>
    <n v="810"/>
    <n v="1"/>
  </r>
  <r>
    <n v="2403"/>
    <s v="946 Main St, CityB"/>
    <d v="2023-09-01T14:59:00"/>
    <x v="1"/>
    <x v="63"/>
    <s v="Bike C"/>
    <x v="1"/>
    <n v="130"/>
    <n v="6"/>
    <x v="0"/>
    <x v="2"/>
    <x v="0"/>
    <s v="Expedited Rules"/>
    <n v="0"/>
    <n v="0"/>
    <x v="6"/>
    <s v=""/>
    <n v="1"/>
  </r>
  <r>
    <n v="2428"/>
    <s v="885 Pine St, CityC"/>
    <d v="2023-09-06T16:38:00"/>
    <x v="0"/>
    <x v="48"/>
    <s v="Bike C"/>
    <x v="4"/>
    <n v="109"/>
    <n v="27"/>
    <x v="0"/>
    <x v="3"/>
    <x v="0"/>
    <s v="Standard Rules"/>
    <n v="0"/>
    <n v="0"/>
    <x v="1"/>
    <n v="807"/>
    <n v="1"/>
  </r>
  <r>
    <n v="2429"/>
    <s v="523 Main St, CityA"/>
    <d v="2023-09-01T15:14:00"/>
    <x v="0"/>
    <x v="80"/>
    <s v="Bike C"/>
    <x v="4"/>
    <n v="63"/>
    <n v="17"/>
    <x v="0"/>
    <x v="0"/>
    <x v="0"/>
    <s v="Custom Rules"/>
    <n v="0"/>
    <n v="0"/>
    <x v="6"/>
    <n v="812"/>
    <n v="1"/>
  </r>
  <r>
    <n v="2430"/>
    <s v="442 Oak St, CityC"/>
    <d v="2023-09-04T16:57:00"/>
    <x v="0"/>
    <x v="9"/>
    <s v="Bike C"/>
    <x v="2"/>
    <n v="149"/>
    <n v="28"/>
    <x v="0"/>
    <x v="1"/>
    <x v="0"/>
    <s v="Standard Rules"/>
    <n v="0"/>
    <n v="0"/>
    <x v="2"/>
    <n v="809"/>
    <n v="1"/>
  </r>
  <r>
    <n v="2433"/>
    <s v="408 Pine St, CityE"/>
    <d v="2023-09-05T16:18:00"/>
    <x v="1"/>
    <x v="57"/>
    <s v="Bike C"/>
    <x v="3"/>
    <n v="195"/>
    <n v="25"/>
    <x v="2"/>
    <x v="2"/>
    <x v="0"/>
    <s v="Expedited Rules"/>
    <n v="0"/>
    <n v="1"/>
    <x v="7"/>
    <s v=""/>
    <n v="1"/>
  </r>
  <r>
    <n v="2441"/>
    <s v="532 Pine St, CityB"/>
    <d v="2023-09-08T09:28:00"/>
    <x v="1"/>
    <x v="40"/>
    <s v="Bike C"/>
    <x v="4"/>
    <n v="90"/>
    <n v="10"/>
    <x v="2"/>
    <x v="1"/>
    <x v="0"/>
    <s v="Custom Rules"/>
    <n v="0"/>
    <n v="1"/>
    <x v="5"/>
    <s v=""/>
    <n v="1"/>
  </r>
  <r>
    <n v="2453"/>
    <s v="698 Main St, CityD"/>
    <d v="2023-09-02T14:54:00"/>
    <x v="0"/>
    <x v="14"/>
    <s v="Bike C"/>
    <x v="1"/>
    <n v="77"/>
    <n v="12"/>
    <x v="1"/>
    <x v="4"/>
    <x v="0"/>
    <s v="Custom Rules"/>
    <n v="0"/>
    <n v="0"/>
    <x v="4"/>
    <n v="811"/>
    <n v="1"/>
  </r>
  <r>
    <n v="2466"/>
    <s v="415 Cedar St, CityB"/>
    <d v="2023-09-01T15:47:00"/>
    <x v="1"/>
    <x v="87"/>
    <s v="Bike C"/>
    <x v="4"/>
    <n v="170"/>
    <n v="21"/>
    <x v="0"/>
    <x v="1"/>
    <x v="0"/>
    <s v="Custom Rules"/>
    <n v="0"/>
    <n v="0"/>
    <x v="6"/>
    <s v=""/>
    <n v="1"/>
  </r>
  <r>
    <n v="2470"/>
    <s v="582 Pine St, CityD"/>
    <d v="2023-09-04T09:00:00"/>
    <x v="0"/>
    <x v="38"/>
    <s v="Bike C"/>
    <x v="1"/>
    <n v="128"/>
    <n v="2"/>
    <x v="1"/>
    <x v="3"/>
    <x v="0"/>
    <s v="Standard Rules"/>
    <n v="0"/>
    <n v="0"/>
    <x v="2"/>
    <n v="809"/>
    <n v="1"/>
  </r>
  <r>
    <n v="2478"/>
    <s v="818 Main St, CityE"/>
    <d v="2023-09-03T08:56:00"/>
    <x v="1"/>
    <x v="22"/>
    <s v="Bike C"/>
    <x v="3"/>
    <n v="158"/>
    <n v="23"/>
    <x v="1"/>
    <x v="0"/>
    <x v="0"/>
    <s v="Expedited Rules"/>
    <n v="0"/>
    <n v="0"/>
    <x v="0"/>
    <s v=""/>
    <n v="1"/>
  </r>
  <r>
    <n v="2483"/>
    <s v="867 Cedar St, CityE"/>
    <d v="2023-09-08T10:58:00"/>
    <x v="0"/>
    <x v="66"/>
    <s v="Bike C"/>
    <x v="2"/>
    <n v="122"/>
    <n v="7"/>
    <x v="1"/>
    <x v="1"/>
    <x v="0"/>
    <s v="Standard Rules"/>
    <n v="0"/>
    <n v="0"/>
    <x v="5"/>
    <n v="805"/>
    <n v="1"/>
  </r>
  <r>
    <n v="2491"/>
    <s v="201 Cedar St, CityB"/>
    <d v="2023-09-04T15:42:00"/>
    <x v="1"/>
    <x v="13"/>
    <s v="Bike C"/>
    <x v="1"/>
    <n v="119"/>
    <n v="17"/>
    <x v="2"/>
    <x v="2"/>
    <x v="0"/>
    <s v="Custom Rules"/>
    <n v="0"/>
    <n v="1"/>
    <x v="2"/>
    <s v=""/>
    <n v="1"/>
  </r>
  <r>
    <n v="2498"/>
    <s v="878 Cedar St, CityE"/>
    <d v="2023-09-03T08:42:00"/>
    <x v="0"/>
    <x v="71"/>
    <s v="Bike C"/>
    <x v="3"/>
    <n v="82"/>
    <n v="16"/>
    <x v="2"/>
    <x v="2"/>
    <x v="0"/>
    <s v="Standard Rules"/>
    <n v="0"/>
    <n v="1"/>
    <x v="0"/>
    <n v="810"/>
    <n v="1"/>
  </r>
  <r>
    <n v="1005"/>
    <s v="748 Elm St, CityB"/>
    <d v="2023-09-01T11:23:00"/>
    <x v="1"/>
    <x v="64"/>
    <s v="Bike C"/>
    <x v="4"/>
    <n v="103"/>
    <n v="17"/>
    <x v="1"/>
    <x v="3"/>
    <x v="2"/>
    <s v="Expedited Rules"/>
    <n v="0"/>
    <n v="0"/>
    <x v="6"/>
    <s v=""/>
    <n v="1"/>
  </r>
  <r>
    <n v="1009"/>
    <s v="340 Main St, CityA"/>
    <d v="2023-09-01T15:36:00"/>
    <x v="0"/>
    <x v="73"/>
    <s v="Bike C"/>
    <x v="1"/>
    <n v="135"/>
    <n v="5"/>
    <x v="2"/>
    <x v="2"/>
    <x v="2"/>
    <s v="Standard Rules"/>
    <n v="0"/>
    <n v="1"/>
    <x v="6"/>
    <n v="812"/>
    <n v="1"/>
  </r>
  <r>
    <n v="1010"/>
    <s v="969 Pine St, CityE"/>
    <d v="2023-09-02T08:43:00"/>
    <x v="1"/>
    <x v="2"/>
    <s v="Bike C"/>
    <x v="0"/>
    <n v="233"/>
    <n v="19"/>
    <x v="0"/>
    <x v="2"/>
    <x v="2"/>
    <s v="Standard Rules"/>
    <n v="0"/>
    <n v="0"/>
    <x v="4"/>
    <s v=""/>
    <n v="1"/>
  </r>
  <r>
    <n v="1015"/>
    <s v="182 Pine St, CityC"/>
    <d v="2023-09-03T14:12:00"/>
    <x v="0"/>
    <x v="98"/>
    <s v="Bike C"/>
    <x v="0"/>
    <n v="75"/>
    <n v="26"/>
    <x v="2"/>
    <x v="1"/>
    <x v="2"/>
    <s v="Standard Rules"/>
    <n v="0"/>
    <n v="1"/>
    <x v="0"/>
    <n v="810"/>
    <n v="1"/>
  </r>
  <r>
    <n v="1031"/>
    <s v="1000 Oak St, CityA"/>
    <d v="2023-09-05T15:33:00"/>
    <x v="0"/>
    <x v="90"/>
    <s v="Bike C"/>
    <x v="2"/>
    <n v="126"/>
    <n v="2"/>
    <x v="2"/>
    <x v="0"/>
    <x v="2"/>
    <s v="Expedited Rules"/>
    <n v="0"/>
    <n v="1"/>
    <x v="7"/>
    <n v="808"/>
    <n v="1"/>
  </r>
  <r>
    <n v="1041"/>
    <s v="922 Main St, CityD"/>
    <d v="2023-09-01T11:17:00"/>
    <x v="1"/>
    <x v="20"/>
    <s v="Bike C"/>
    <x v="1"/>
    <n v="166"/>
    <n v="5"/>
    <x v="0"/>
    <x v="1"/>
    <x v="2"/>
    <s v="Custom Rules"/>
    <n v="0"/>
    <n v="0"/>
    <x v="6"/>
    <s v=""/>
    <n v="1"/>
  </r>
  <r>
    <n v="1044"/>
    <s v="951 Cedar St, CityD"/>
    <d v="2023-09-05T09:20:00"/>
    <x v="1"/>
    <x v="30"/>
    <s v="Bike C"/>
    <x v="2"/>
    <n v="114"/>
    <n v="1"/>
    <x v="1"/>
    <x v="3"/>
    <x v="2"/>
    <s v="Custom Rules"/>
    <n v="0"/>
    <n v="0"/>
    <x v="7"/>
    <s v=""/>
    <n v="1"/>
  </r>
  <r>
    <n v="1063"/>
    <s v="496 Cedar St, CityD"/>
    <d v="2023-09-07T13:35:00"/>
    <x v="0"/>
    <x v="84"/>
    <s v="Bike C"/>
    <x v="0"/>
    <n v="64"/>
    <n v="20"/>
    <x v="0"/>
    <x v="1"/>
    <x v="2"/>
    <s v="Standard Rules"/>
    <n v="0"/>
    <n v="0"/>
    <x v="3"/>
    <n v="806"/>
    <n v="1"/>
  </r>
  <r>
    <n v="1083"/>
    <s v="5 Elm St, CityC"/>
    <d v="2023-09-08T13:21:00"/>
    <x v="0"/>
    <x v="25"/>
    <s v="Bike C"/>
    <x v="3"/>
    <n v="63"/>
    <n v="19"/>
    <x v="1"/>
    <x v="0"/>
    <x v="2"/>
    <s v="Expedited Rules"/>
    <n v="0"/>
    <n v="0"/>
    <x v="5"/>
    <n v="805"/>
    <n v="1"/>
  </r>
  <r>
    <n v="1093"/>
    <s v="285 Elm St, CityD"/>
    <d v="2023-09-03T10:23:00"/>
    <x v="1"/>
    <x v="98"/>
    <s v="Bike C"/>
    <x v="2"/>
    <n v="167"/>
    <n v="24"/>
    <x v="1"/>
    <x v="0"/>
    <x v="2"/>
    <s v="Standard Rules"/>
    <n v="0"/>
    <n v="0"/>
    <x v="0"/>
    <s v=""/>
    <n v="1"/>
  </r>
  <r>
    <n v="1103"/>
    <s v="292 Cedar St, CityC"/>
    <d v="2023-09-03T12:31:00"/>
    <x v="1"/>
    <x v="81"/>
    <s v="Bike C"/>
    <x v="3"/>
    <n v="173"/>
    <n v="4"/>
    <x v="1"/>
    <x v="3"/>
    <x v="2"/>
    <s v="Custom Rules"/>
    <n v="0"/>
    <n v="0"/>
    <x v="0"/>
    <s v=""/>
    <n v="1"/>
  </r>
  <r>
    <n v="1116"/>
    <s v="743 Oak St, CityA"/>
    <d v="2023-09-01T09:25:00"/>
    <x v="0"/>
    <x v="80"/>
    <s v="Bike C"/>
    <x v="0"/>
    <n v="117"/>
    <n v="15"/>
    <x v="0"/>
    <x v="3"/>
    <x v="2"/>
    <s v="Expedited Rules"/>
    <n v="0"/>
    <n v="0"/>
    <x v="6"/>
    <n v="812"/>
    <n v="1"/>
  </r>
  <r>
    <n v="1140"/>
    <s v="21 Pine St, CityE"/>
    <d v="2023-09-03T15:00:00"/>
    <x v="0"/>
    <x v="56"/>
    <s v="Bike C"/>
    <x v="0"/>
    <n v="117"/>
    <n v="8"/>
    <x v="0"/>
    <x v="1"/>
    <x v="2"/>
    <s v="Custom Rules"/>
    <n v="0"/>
    <n v="0"/>
    <x v="0"/>
    <n v="810"/>
    <n v="1"/>
  </r>
  <r>
    <n v="1156"/>
    <s v="214 Pine St, CityD"/>
    <d v="2023-09-07T10:15:00"/>
    <x v="1"/>
    <x v="74"/>
    <s v="Bike C"/>
    <x v="2"/>
    <n v="108"/>
    <n v="14"/>
    <x v="1"/>
    <x v="3"/>
    <x v="2"/>
    <s v="Standard Rules"/>
    <n v="0"/>
    <n v="0"/>
    <x v="3"/>
    <s v=""/>
    <n v="1"/>
  </r>
  <r>
    <n v="1157"/>
    <s v="905 Pine St, CityD"/>
    <d v="2023-09-01T08:51:00"/>
    <x v="0"/>
    <x v="25"/>
    <s v="Bike C"/>
    <x v="2"/>
    <n v="147"/>
    <n v="10"/>
    <x v="0"/>
    <x v="4"/>
    <x v="2"/>
    <s v="Standard Rules"/>
    <n v="0"/>
    <n v="0"/>
    <x v="6"/>
    <n v="812"/>
    <n v="1"/>
  </r>
  <r>
    <n v="1177"/>
    <s v="764 Cedar St, CityB"/>
    <d v="2023-09-03T14:29:00"/>
    <x v="1"/>
    <x v="35"/>
    <s v="Bike C"/>
    <x v="0"/>
    <n v="213"/>
    <n v="10"/>
    <x v="0"/>
    <x v="2"/>
    <x v="2"/>
    <s v="Expedited Rules"/>
    <n v="0"/>
    <n v="0"/>
    <x v="0"/>
    <s v=""/>
    <n v="1"/>
  </r>
  <r>
    <n v="1206"/>
    <s v="599 Cedar St, CityB"/>
    <d v="2023-09-06T16:20:00"/>
    <x v="0"/>
    <x v="35"/>
    <s v="Bike C"/>
    <x v="0"/>
    <n v="161"/>
    <n v="14"/>
    <x v="1"/>
    <x v="3"/>
    <x v="2"/>
    <s v="Expedited Rules"/>
    <n v="0"/>
    <n v="0"/>
    <x v="1"/>
    <n v="807"/>
    <n v="1"/>
  </r>
  <r>
    <n v="1212"/>
    <s v="308 Pine St, CityB"/>
    <d v="2023-09-03T13:39:00"/>
    <x v="1"/>
    <x v="55"/>
    <s v="Bike C"/>
    <x v="2"/>
    <n v="105"/>
    <n v="6"/>
    <x v="1"/>
    <x v="2"/>
    <x v="2"/>
    <s v="Standard Rules"/>
    <n v="0"/>
    <n v="0"/>
    <x v="0"/>
    <s v=""/>
    <n v="1"/>
  </r>
  <r>
    <n v="1214"/>
    <s v="300 Main St, CityC"/>
    <d v="2023-09-03T12:03:00"/>
    <x v="1"/>
    <x v="81"/>
    <s v="Bike C"/>
    <x v="1"/>
    <n v="168"/>
    <n v="12"/>
    <x v="1"/>
    <x v="3"/>
    <x v="2"/>
    <s v="Expedited Rules"/>
    <n v="0"/>
    <n v="0"/>
    <x v="0"/>
    <s v=""/>
    <n v="1"/>
  </r>
  <r>
    <n v="1222"/>
    <s v="270 Pine St, CityD"/>
    <d v="2023-09-05T11:44:00"/>
    <x v="1"/>
    <x v="97"/>
    <s v="Bike C"/>
    <x v="2"/>
    <n v="194"/>
    <n v="24"/>
    <x v="2"/>
    <x v="4"/>
    <x v="2"/>
    <s v="Standard Rules"/>
    <n v="0"/>
    <n v="1"/>
    <x v="7"/>
    <s v=""/>
    <n v="1"/>
  </r>
  <r>
    <n v="1225"/>
    <s v="341 Cedar St, CityA"/>
    <d v="2023-09-08T14:31:00"/>
    <x v="1"/>
    <x v="95"/>
    <s v="Bike C"/>
    <x v="2"/>
    <n v="102"/>
    <n v="29"/>
    <x v="2"/>
    <x v="1"/>
    <x v="2"/>
    <s v="Standard Rules"/>
    <n v="0"/>
    <n v="1"/>
    <x v="5"/>
    <s v=""/>
    <n v="1"/>
  </r>
  <r>
    <n v="1247"/>
    <s v="160 Cedar St, CityD"/>
    <d v="2023-09-04T15:06:00"/>
    <x v="1"/>
    <x v="46"/>
    <s v="Bike C"/>
    <x v="4"/>
    <n v="156"/>
    <n v="17"/>
    <x v="2"/>
    <x v="1"/>
    <x v="2"/>
    <s v="Custom Rules"/>
    <n v="0"/>
    <n v="1"/>
    <x v="2"/>
    <s v=""/>
    <n v="1"/>
  </r>
  <r>
    <n v="1268"/>
    <s v="519 Oak St, CityB"/>
    <d v="2023-09-01T12:21:00"/>
    <x v="1"/>
    <x v="98"/>
    <s v="Bike C"/>
    <x v="4"/>
    <n v="109"/>
    <n v="10"/>
    <x v="2"/>
    <x v="0"/>
    <x v="2"/>
    <s v="Expedited Rules"/>
    <n v="0"/>
    <n v="1"/>
    <x v="6"/>
    <s v=""/>
    <n v="1"/>
  </r>
  <r>
    <n v="1269"/>
    <s v="437 Oak St, CityC"/>
    <d v="2023-09-02T09:50:00"/>
    <x v="0"/>
    <x v="3"/>
    <s v="Bike C"/>
    <x v="4"/>
    <n v="237"/>
    <n v="20"/>
    <x v="0"/>
    <x v="4"/>
    <x v="2"/>
    <s v="Expedited Rules"/>
    <n v="0"/>
    <n v="0"/>
    <x v="4"/>
    <n v="811"/>
    <n v="1"/>
  </r>
  <r>
    <n v="1278"/>
    <s v="603 Oak St, CityE"/>
    <d v="2023-09-08T12:41:00"/>
    <x v="1"/>
    <x v="73"/>
    <s v="Bike C"/>
    <x v="3"/>
    <n v="106"/>
    <n v="2"/>
    <x v="1"/>
    <x v="0"/>
    <x v="2"/>
    <s v="Expedited Rules"/>
    <n v="0"/>
    <n v="0"/>
    <x v="5"/>
    <s v=""/>
    <n v="1"/>
  </r>
  <r>
    <n v="1303"/>
    <s v="446 Elm St, CityD"/>
    <d v="2023-09-01T09:28:00"/>
    <x v="0"/>
    <x v="97"/>
    <s v="Bike C"/>
    <x v="1"/>
    <n v="115"/>
    <n v="17"/>
    <x v="1"/>
    <x v="3"/>
    <x v="2"/>
    <s v="Custom Rules"/>
    <n v="0"/>
    <n v="0"/>
    <x v="6"/>
    <n v="812"/>
    <n v="1"/>
  </r>
  <r>
    <n v="1307"/>
    <s v="623 Oak St, CityB"/>
    <d v="2023-09-03T12:19:00"/>
    <x v="0"/>
    <x v="13"/>
    <s v="Bike C"/>
    <x v="0"/>
    <n v="164"/>
    <n v="3"/>
    <x v="1"/>
    <x v="3"/>
    <x v="2"/>
    <s v="Expedited Rules"/>
    <n v="0"/>
    <n v="0"/>
    <x v="0"/>
    <n v="810"/>
    <n v="1"/>
  </r>
  <r>
    <n v="1308"/>
    <s v="241 Cedar St, CityD"/>
    <d v="2023-09-02T10:48:00"/>
    <x v="1"/>
    <x v="63"/>
    <s v="Bike C"/>
    <x v="4"/>
    <n v="62"/>
    <n v="1"/>
    <x v="1"/>
    <x v="0"/>
    <x v="2"/>
    <s v="Expedited Rules"/>
    <n v="0"/>
    <n v="0"/>
    <x v="4"/>
    <s v=""/>
    <n v="1"/>
  </r>
  <r>
    <n v="1311"/>
    <s v="647 Elm St, CityC"/>
    <d v="2023-09-06T15:32:00"/>
    <x v="1"/>
    <x v="41"/>
    <s v="Bike C"/>
    <x v="0"/>
    <n v="174"/>
    <n v="29"/>
    <x v="0"/>
    <x v="3"/>
    <x v="2"/>
    <s v="Standard Rules"/>
    <n v="0"/>
    <n v="0"/>
    <x v="1"/>
    <s v=""/>
    <n v="1"/>
  </r>
  <r>
    <n v="1341"/>
    <s v="803 Oak St, CityC"/>
    <d v="2023-09-08T08:17:00"/>
    <x v="0"/>
    <x v="99"/>
    <s v="Bike C"/>
    <x v="0"/>
    <n v="211"/>
    <n v="8"/>
    <x v="0"/>
    <x v="2"/>
    <x v="2"/>
    <s v="Expedited Rules"/>
    <n v="0"/>
    <n v="0"/>
    <x v="5"/>
    <n v="805"/>
    <n v="1"/>
  </r>
  <r>
    <n v="1363"/>
    <s v="489 Oak St, CityB"/>
    <d v="2023-09-05T11:02:00"/>
    <x v="1"/>
    <x v="38"/>
    <s v="Bike C"/>
    <x v="0"/>
    <n v="67"/>
    <n v="20"/>
    <x v="1"/>
    <x v="1"/>
    <x v="2"/>
    <s v="Standard Rules"/>
    <n v="0"/>
    <n v="0"/>
    <x v="7"/>
    <s v=""/>
    <n v="1"/>
  </r>
  <r>
    <n v="1371"/>
    <s v="66 Main St, CityB"/>
    <d v="2023-09-07T12:01:00"/>
    <x v="1"/>
    <x v="28"/>
    <s v="Bike C"/>
    <x v="4"/>
    <n v="172"/>
    <n v="27"/>
    <x v="1"/>
    <x v="0"/>
    <x v="2"/>
    <s v="Standard Rules"/>
    <n v="0"/>
    <n v="0"/>
    <x v="3"/>
    <s v=""/>
    <n v="1"/>
  </r>
  <r>
    <n v="1386"/>
    <s v="225 Elm St, CityB"/>
    <d v="2023-09-07T12:59:00"/>
    <x v="0"/>
    <x v="10"/>
    <s v="Bike C"/>
    <x v="1"/>
    <n v="78"/>
    <n v="19"/>
    <x v="2"/>
    <x v="2"/>
    <x v="2"/>
    <s v="Custom Rules"/>
    <n v="0"/>
    <n v="1"/>
    <x v="3"/>
    <n v="806"/>
    <n v="1"/>
  </r>
  <r>
    <n v="1395"/>
    <s v="8 Oak St, CityA"/>
    <d v="2023-09-01T14:43:00"/>
    <x v="0"/>
    <x v="36"/>
    <s v="Bike C"/>
    <x v="3"/>
    <n v="185"/>
    <n v="12"/>
    <x v="0"/>
    <x v="2"/>
    <x v="2"/>
    <s v="Expedited Rules"/>
    <n v="0"/>
    <n v="0"/>
    <x v="6"/>
    <n v="812"/>
    <n v="1"/>
  </r>
  <r>
    <n v="1413"/>
    <s v="838 Oak St, CityC"/>
    <d v="2023-09-05T15:50:00"/>
    <x v="0"/>
    <x v="67"/>
    <s v="Bike C"/>
    <x v="2"/>
    <n v="125"/>
    <n v="21"/>
    <x v="0"/>
    <x v="2"/>
    <x v="2"/>
    <s v="Custom Rules"/>
    <n v="0"/>
    <n v="0"/>
    <x v="7"/>
    <n v="808"/>
    <n v="1"/>
  </r>
  <r>
    <n v="1439"/>
    <s v="89 Elm St, CityD"/>
    <d v="2023-09-04T16:08:00"/>
    <x v="1"/>
    <x v="71"/>
    <s v="Bike C"/>
    <x v="2"/>
    <n v="200"/>
    <n v="20"/>
    <x v="2"/>
    <x v="2"/>
    <x v="2"/>
    <s v="Expedited Rules"/>
    <n v="0"/>
    <n v="1"/>
    <x v="2"/>
    <s v=""/>
    <n v="1"/>
  </r>
  <r>
    <n v="1443"/>
    <s v="65 Elm St, CityB"/>
    <d v="2023-09-05T14:50:00"/>
    <x v="0"/>
    <x v="13"/>
    <s v="Bike C"/>
    <x v="2"/>
    <n v="87"/>
    <n v="7"/>
    <x v="1"/>
    <x v="0"/>
    <x v="2"/>
    <s v="Custom Rules"/>
    <n v="0"/>
    <n v="0"/>
    <x v="7"/>
    <n v="808"/>
    <n v="1"/>
  </r>
  <r>
    <n v="1458"/>
    <s v="373 Main St, CityE"/>
    <d v="2023-09-06T12:19:00"/>
    <x v="0"/>
    <x v="52"/>
    <s v="Bike C"/>
    <x v="3"/>
    <n v="229"/>
    <n v="27"/>
    <x v="2"/>
    <x v="2"/>
    <x v="2"/>
    <s v="Expedited Rules"/>
    <n v="0"/>
    <n v="1"/>
    <x v="1"/>
    <n v="807"/>
    <n v="1"/>
  </r>
  <r>
    <n v="1467"/>
    <s v="834 Pine St, CityE"/>
    <d v="2023-09-05T11:42:00"/>
    <x v="0"/>
    <x v="25"/>
    <s v="Bike C"/>
    <x v="1"/>
    <n v="207"/>
    <n v="18"/>
    <x v="2"/>
    <x v="0"/>
    <x v="2"/>
    <s v="Standard Rules"/>
    <n v="0"/>
    <n v="1"/>
    <x v="7"/>
    <n v="808"/>
    <n v="1"/>
  </r>
  <r>
    <n v="1509"/>
    <s v="32 Oak St, CityD"/>
    <d v="2023-09-03T08:25:00"/>
    <x v="0"/>
    <x v="29"/>
    <s v="Bike C"/>
    <x v="2"/>
    <n v="62"/>
    <n v="28"/>
    <x v="0"/>
    <x v="1"/>
    <x v="2"/>
    <s v="Expedited Rules"/>
    <n v="0"/>
    <n v="0"/>
    <x v="0"/>
    <n v="810"/>
    <n v="1"/>
  </r>
  <r>
    <n v="1513"/>
    <s v="902 Oak St, CityD"/>
    <d v="2023-09-02T08:52:00"/>
    <x v="1"/>
    <x v="21"/>
    <s v="Bike C"/>
    <x v="0"/>
    <n v="133"/>
    <n v="22"/>
    <x v="0"/>
    <x v="0"/>
    <x v="2"/>
    <s v="Custom Rules"/>
    <n v="0"/>
    <n v="0"/>
    <x v="4"/>
    <s v=""/>
    <n v="1"/>
  </r>
  <r>
    <n v="1521"/>
    <s v="331 Oak St, CityE"/>
    <d v="2023-09-05T16:05:00"/>
    <x v="1"/>
    <x v="57"/>
    <s v="Bike C"/>
    <x v="3"/>
    <n v="205"/>
    <n v="15"/>
    <x v="1"/>
    <x v="3"/>
    <x v="2"/>
    <s v="Expedited Rules"/>
    <n v="0"/>
    <n v="0"/>
    <x v="7"/>
    <s v=""/>
    <n v="1"/>
  </r>
  <r>
    <n v="1525"/>
    <s v="884 Main St, CityE"/>
    <d v="2023-09-04T13:41:00"/>
    <x v="1"/>
    <x v="76"/>
    <s v="Bike C"/>
    <x v="4"/>
    <n v="120"/>
    <n v="18"/>
    <x v="1"/>
    <x v="4"/>
    <x v="2"/>
    <s v="Custom Rules"/>
    <n v="0"/>
    <n v="0"/>
    <x v="2"/>
    <s v=""/>
    <n v="1"/>
  </r>
  <r>
    <n v="1529"/>
    <s v="821 Cedar St, CityA"/>
    <d v="2023-09-05T11:20:00"/>
    <x v="0"/>
    <x v="41"/>
    <s v="Bike C"/>
    <x v="1"/>
    <n v="213"/>
    <n v="1"/>
    <x v="0"/>
    <x v="2"/>
    <x v="2"/>
    <s v="Custom Rules"/>
    <n v="0"/>
    <n v="0"/>
    <x v="7"/>
    <n v="808"/>
    <n v="1"/>
  </r>
  <r>
    <n v="1547"/>
    <s v="726 Cedar St, CityC"/>
    <d v="2023-09-04T13:49:00"/>
    <x v="1"/>
    <x v="9"/>
    <s v="Bike C"/>
    <x v="1"/>
    <n v="205"/>
    <n v="29"/>
    <x v="0"/>
    <x v="0"/>
    <x v="2"/>
    <s v="Custom Rules"/>
    <n v="0"/>
    <n v="0"/>
    <x v="2"/>
    <s v=""/>
    <n v="1"/>
  </r>
  <r>
    <n v="1552"/>
    <s v="67 Main St, CityC"/>
    <d v="2023-09-04T08:33:00"/>
    <x v="1"/>
    <x v="93"/>
    <s v="Bike C"/>
    <x v="3"/>
    <n v="101"/>
    <n v="8"/>
    <x v="2"/>
    <x v="0"/>
    <x v="2"/>
    <s v="Custom Rules"/>
    <n v="0"/>
    <n v="1"/>
    <x v="2"/>
    <s v=""/>
    <n v="1"/>
  </r>
  <r>
    <n v="1556"/>
    <s v="25 Elm St, CityA"/>
    <d v="2023-09-07T13:51:00"/>
    <x v="1"/>
    <x v="33"/>
    <s v="Bike C"/>
    <x v="3"/>
    <n v="106"/>
    <n v="13"/>
    <x v="1"/>
    <x v="4"/>
    <x v="2"/>
    <s v="Expedited Rules"/>
    <n v="0"/>
    <n v="0"/>
    <x v="3"/>
    <s v=""/>
    <n v="1"/>
  </r>
  <r>
    <n v="1565"/>
    <s v="381 Main St, CityE"/>
    <d v="2023-09-03T13:59:00"/>
    <x v="0"/>
    <x v="60"/>
    <s v="Bike C"/>
    <x v="4"/>
    <n v="202"/>
    <n v="27"/>
    <x v="0"/>
    <x v="1"/>
    <x v="2"/>
    <s v="Expedited Rules"/>
    <n v="0"/>
    <n v="0"/>
    <x v="0"/>
    <n v="810"/>
    <n v="1"/>
  </r>
  <r>
    <n v="1570"/>
    <s v="943 Elm St, CityD"/>
    <d v="2023-09-05T10:31:00"/>
    <x v="0"/>
    <x v="74"/>
    <s v="Bike C"/>
    <x v="0"/>
    <n v="81"/>
    <n v="4"/>
    <x v="0"/>
    <x v="4"/>
    <x v="2"/>
    <s v="Expedited Rules"/>
    <n v="0"/>
    <n v="0"/>
    <x v="7"/>
    <n v="808"/>
    <n v="1"/>
  </r>
  <r>
    <n v="1574"/>
    <s v="177 Pine St, CityE"/>
    <d v="2023-09-05T10:27:00"/>
    <x v="0"/>
    <x v="35"/>
    <s v="Bike C"/>
    <x v="3"/>
    <n v="170"/>
    <n v="8"/>
    <x v="0"/>
    <x v="3"/>
    <x v="2"/>
    <s v="Standard Rules"/>
    <n v="0"/>
    <n v="0"/>
    <x v="7"/>
    <n v="808"/>
    <n v="1"/>
  </r>
  <r>
    <n v="1577"/>
    <s v="149 Main St, CityD"/>
    <d v="2023-09-05T15:03:00"/>
    <x v="1"/>
    <x v="73"/>
    <s v="Bike C"/>
    <x v="0"/>
    <n v="146"/>
    <n v="28"/>
    <x v="0"/>
    <x v="4"/>
    <x v="2"/>
    <s v="Standard Rules"/>
    <n v="0"/>
    <n v="0"/>
    <x v="7"/>
    <s v=""/>
    <n v="1"/>
  </r>
  <r>
    <n v="1584"/>
    <s v="29 Elm St, CityC"/>
    <d v="2023-09-01T15:53:00"/>
    <x v="0"/>
    <x v="97"/>
    <s v="Bike C"/>
    <x v="0"/>
    <n v="239"/>
    <n v="22"/>
    <x v="2"/>
    <x v="3"/>
    <x v="2"/>
    <s v="Standard Rules"/>
    <n v="0"/>
    <n v="1"/>
    <x v="6"/>
    <n v="812"/>
    <n v="1"/>
  </r>
  <r>
    <n v="1605"/>
    <s v="647 Main St, CityC"/>
    <d v="2023-09-03T09:20:00"/>
    <x v="1"/>
    <x v="54"/>
    <s v="Bike C"/>
    <x v="1"/>
    <n v="119"/>
    <n v="14"/>
    <x v="2"/>
    <x v="1"/>
    <x v="2"/>
    <s v="Custom Rules"/>
    <n v="0"/>
    <n v="1"/>
    <x v="0"/>
    <s v=""/>
    <n v="1"/>
  </r>
  <r>
    <n v="1620"/>
    <s v="533 Elm St, CityA"/>
    <d v="2023-09-02T09:26:00"/>
    <x v="1"/>
    <x v="8"/>
    <s v="Bike C"/>
    <x v="0"/>
    <n v="133"/>
    <n v="11"/>
    <x v="0"/>
    <x v="3"/>
    <x v="2"/>
    <s v="Standard Rules"/>
    <n v="0"/>
    <n v="0"/>
    <x v="4"/>
    <s v=""/>
    <n v="1"/>
  </r>
  <r>
    <n v="1623"/>
    <s v="188 Pine St, CityC"/>
    <d v="2023-09-04T16:05:00"/>
    <x v="0"/>
    <x v="77"/>
    <s v="Bike C"/>
    <x v="3"/>
    <n v="117"/>
    <n v="20"/>
    <x v="1"/>
    <x v="1"/>
    <x v="2"/>
    <s v="Expedited Rules"/>
    <n v="0"/>
    <n v="0"/>
    <x v="2"/>
    <n v="809"/>
    <n v="1"/>
  </r>
  <r>
    <n v="1625"/>
    <s v="735 Oak St, CityE"/>
    <d v="2023-09-03T13:02:00"/>
    <x v="0"/>
    <x v="51"/>
    <s v="Bike C"/>
    <x v="4"/>
    <n v="192"/>
    <n v="3"/>
    <x v="0"/>
    <x v="4"/>
    <x v="2"/>
    <s v="Custom Rules"/>
    <n v="0"/>
    <n v="0"/>
    <x v="0"/>
    <n v="810"/>
    <n v="1"/>
  </r>
  <r>
    <n v="1633"/>
    <s v="841 Oak St, CityE"/>
    <d v="2023-09-05T14:55:00"/>
    <x v="1"/>
    <x v="66"/>
    <s v="Bike C"/>
    <x v="2"/>
    <n v="71"/>
    <n v="13"/>
    <x v="0"/>
    <x v="3"/>
    <x v="2"/>
    <s v="Standard Rules"/>
    <n v="0"/>
    <n v="0"/>
    <x v="7"/>
    <s v=""/>
    <n v="1"/>
  </r>
  <r>
    <n v="1634"/>
    <s v="582 Pine St, CityB"/>
    <d v="2023-09-01T16:27:00"/>
    <x v="0"/>
    <x v="21"/>
    <s v="Bike C"/>
    <x v="4"/>
    <n v="88"/>
    <n v="14"/>
    <x v="1"/>
    <x v="4"/>
    <x v="2"/>
    <s v="Custom Rules"/>
    <n v="0"/>
    <n v="0"/>
    <x v="6"/>
    <n v="812"/>
    <n v="1"/>
  </r>
  <r>
    <n v="1638"/>
    <s v="397 Oak St, CityA"/>
    <d v="2023-09-03T16:19:00"/>
    <x v="0"/>
    <x v="47"/>
    <s v="Bike C"/>
    <x v="0"/>
    <n v="92"/>
    <n v="25"/>
    <x v="2"/>
    <x v="1"/>
    <x v="2"/>
    <s v="Expedited Rules"/>
    <n v="0"/>
    <n v="1"/>
    <x v="0"/>
    <n v="810"/>
    <n v="1"/>
  </r>
  <r>
    <n v="1648"/>
    <s v="441 Elm St, CityB"/>
    <d v="2023-09-04T14:10:00"/>
    <x v="1"/>
    <x v="31"/>
    <s v="Bike C"/>
    <x v="3"/>
    <n v="203"/>
    <n v="4"/>
    <x v="0"/>
    <x v="2"/>
    <x v="2"/>
    <s v="Custom Rules"/>
    <n v="0"/>
    <n v="0"/>
    <x v="2"/>
    <s v=""/>
    <n v="1"/>
  </r>
  <r>
    <n v="1662"/>
    <s v="940 Elm St, CityC"/>
    <d v="2023-09-05T11:20:00"/>
    <x v="1"/>
    <x v="92"/>
    <s v="Bike C"/>
    <x v="4"/>
    <n v="137"/>
    <n v="11"/>
    <x v="2"/>
    <x v="1"/>
    <x v="2"/>
    <s v="Standard Rules"/>
    <n v="0"/>
    <n v="1"/>
    <x v="7"/>
    <s v=""/>
    <n v="1"/>
  </r>
  <r>
    <n v="1663"/>
    <s v="110 Main St, CityB"/>
    <d v="2023-09-03T09:43:00"/>
    <x v="0"/>
    <x v="9"/>
    <s v="Bike C"/>
    <x v="3"/>
    <n v="101"/>
    <n v="11"/>
    <x v="0"/>
    <x v="2"/>
    <x v="2"/>
    <s v="Expedited Rules"/>
    <n v="0"/>
    <n v="0"/>
    <x v="0"/>
    <n v="810"/>
    <n v="1"/>
  </r>
  <r>
    <n v="1664"/>
    <s v="688 Oak St, CityD"/>
    <d v="2023-09-02T08:57:00"/>
    <x v="1"/>
    <x v="88"/>
    <s v="Bike C"/>
    <x v="1"/>
    <n v="97"/>
    <n v="17"/>
    <x v="0"/>
    <x v="2"/>
    <x v="2"/>
    <s v="Custom Rules"/>
    <n v="0"/>
    <n v="0"/>
    <x v="4"/>
    <s v=""/>
    <n v="1"/>
  </r>
  <r>
    <n v="1665"/>
    <s v="594 Cedar St, CityD"/>
    <d v="2023-09-08T10:11:00"/>
    <x v="1"/>
    <x v="70"/>
    <s v="Bike C"/>
    <x v="1"/>
    <n v="190"/>
    <n v="23"/>
    <x v="0"/>
    <x v="1"/>
    <x v="2"/>
    <s v="Expedited Rules"/>
    <n v="0"/>
    <n v="0"/>
    <x v="5"/>
    <s v=""/>
    <n v="1"/>
  </r>
  <r>
    <n v="1669"/>
    <s v="154 Pine St, CityE"/>
    <d v="2023-09-02T09:20:00"/>
    <x v="1"/>
    <x v="20"/>
    <s v="Bike C"/>
    <x v="2"/>
    <n v="153"/>
    <n v="8"/>
    <x v="0"/>
    <x v="0"/>
    <x v="2"/>
    <s v="Standard Rules"/>
    <n v="0"/>
    <n v="0"/>
    <x v="4"/>
    <s v=""/>
    <n v="1"/>
  </r>
  <r>
    <n v="1679"/>
    <s v="858 Pine St, CityB"/>
    <d v="2023-09-04T08:58:00"/>
    <x v="1"/>
    <x v="35"/>
    <s v="Bike C"/>
    <x v="4"/>
    <n v="158"/>
    <n v="3"/>
    <x v="1"/>
    <x v="1"/>
    <x v="2"/>
    <s v="Standard Rules"/>
    <n v="0"/>
    <n v="0"/>
    <x v="2"/>
    <s v=""/>
    <n v="1"/>
  </r>
  <r>
    <n v="1682"/>
    <s v="415 Oak St, CityB"/>
    <d v="2023-09-01T12:49:00"/>
    <x v="0"/>
    <x v="14"/>
    <s v="Bike C"/>
    <x v="2"/>
    <n v="197"/>
    <n v="3"/>
    <x v="1"/>
    <x v="3"/>
    <x v="2"/>
    <s v="Standard Rules"/>
    <n v="0"/>
    <n v="0"/>
    <x v="6"/>
    <n v="812"/>
    <n v="1"/>
  </r>
  <r>
    <n v="1683"/>
    <s v="733 Oak St, CityB"/>
    <d v="2023-09-02T11:44:00"/>
    <x v="1"/>
    <x v="52"/>
    <s v="Bike C"/>
    <x v="4"/>
    <n v="193"/>
    <n v="26"/>
    <x v="0"/>
    <x v="4"/>
    <x v="2"/>
    <s v="Expedited Rules"/>
    <n v="0"/>
    <n v="0"/>
    <x v="4"/>
    <s v=""/>
    <n v="1"/>
  </r>
  <r>
    <n v="1696"/>
    <s v="614 Cedar St, CityB"/>
    <d v="2023-09-07T14:36:00"/>
    <x v="0"/>
    <x v="90"/>
    <s v="Bike C"/>
    <x v="2"/>
    <n v="125"/>
    <n v="29"/>
    <x v="1"/>
    <x v="1"/>
    <x v="2"/>
    <s v="Custom Rules"/>
    <n v="0"/>
    <n v="0"/>
    <x v="3"/>
    <n v="806"/>
    <n v="1"/>
  </r>
  <r>
    <n v="1704"/>
    <s v="880 Pine St, CityC"/>
    <d v="2023-09-01T11:01:00"/>
    <x v="1"/>
    <x v="1"/>
    <s v="Bike C"/>
    <x v="4"/>
    <n v="108"/>
    <n v="26"/>
    <x v="1"/>
    <x v="0"/>
    <x v="2"/>
    <s v="Custom Rules"/>
    <n v="0"/>
    <n v="0"/>
    <x v="6"/>
    <s v=""/>
    <n v="1"/>
  </r>
  <r>
    <n v="1708"/>
    <s v="893 Main St, CityE"/>
    <d v="2023-09-06T11:10:00"/>
    <x v="1"/>
    <x v="39"/>
    <s v="Bike C"/>
    <x v="2"/>
    <n v="114"/>
    <n v="13"/>
    <x v="2"/>
    <x v="3"/>
    <x v="2"/>
    <s v="Standard Rules"/>
    <n v="0"/>
    <n v="1"/>
    <x v="1"/>
    <s v=""/>
    <n v="1"/>
  </r>
  <r>
    <n v="1712"/>
    <s v="242 Main St, CityB"/>
    <d v="2023-09-02T10:18:00"/>
    <x v="0"/>
    <x v="48"/>
    <s v="Bike C"/>
    <x v="1"/>
    <n v="195"/>
    <n v="22"/>
    <x v="2"/>
    <x v="2"/>
    <x v="2"/>
    <s v="Standard Rules"/>
    <n v="0"/>
    <n v="1"/>
    <x v="4"/>
    <n v="811"/>
    <n v="1"/>
  </r>
  <r>
    <n v="1731"/>
    <s v="1 Oak St, CityD"/>
    <d v="2023-09-04T08:14:00"/>
    <x v="0"/>
    <x v="31"/>
    <s v="Bike C"/>
    <x v="4"/>
    <n v="121"/>
    <n v="22"/>
    <x v="1"/>
    <x v="2"/>
    <x v="2"/>
    <s v="Custom Rules"/>
    <n v="0"/>
    <n v="0"/>
    <x v="2"/>
    <n v="809"/>
    <n v="1"/>
  </r>
  <r>
    <n v="1734"/>
    <s v="911 Cedar St, CityD"/>
    <d v="2023-09-06T15:23:00"/>
    <x v="0"/>
    <x v="62"/>
    <s v="Bike C"/>
    <x v="2"/>
    <n v="196"/>
    <n v="5"/>
    <x v="0"/>
    <x v="3"/>
    <x v="2"/>
    <s v="Standard Rules"/>
    <n v="0"/>
    <n v="0"/>
    <x v="1"/>
    <n v="807"/>
    <n v="1"/>
  </r>
  <r>
    <n v="1742"/>
    <s v="863 Oak St, CityA"/>
    <d v="2023-09-03T10:06:00"/>
    <x v="1"/>
    <x v="53"/>
    <s v="Bike C"/>
    <x v="1"/>
    <n v="64"/>
    <n v="24"/>
    <x v="2"/>
    <x v="2"/>
    <x v="2"/>
    <s v="Standard Rules"/>
    <n v="0"/>
    <n v="1"/>
    <x v="0"/>
    <s v=""/>
    <n v="1"/>
  </r>
  <r>
    <n v="1743"/>
    <s v="619 Pine St, CityD"/>
    <d v="2023-09-02T09:22:00"/>
    <x v="0"/>
    <x v="40"/>
    <s v="Bike C"/>
    <x v="0"/>
    <n v="194"/>
    <n v="14"/>
    <x v="2"/>
    <x v="3"/>
    <x v="2"/>
    <s v="Standard Rules"/>
    <n v="0"/>
    <n v="1"/>
    <x v="4"/>
    <n v="811"/>
    <n v="1"/>
  </r>
  <r>
    <n v="1770"/>
    <s v="343 Cedar St, CityD"/>
    <d v="2023-09-01T11:44:00"/>
    <x v="1"/>
    <x v="13"/>
    <s v="Bike C"/>
    <x v="2"/>
    <n v="81"/>
    <n v="15"/>
    <x v="2"/>
    <x v="0"/>
    <x v="2"/>
    <s v="Custom Rules"/>
    <n v="0"/>
    <n v="1"/>
    <x v="6"/>
    <s v=""/>
    <n v="1"/>
  </r>
  <r>
    <n v="1783"/>
    <s v="43 Main St, CityC"/>
    <d v="2023-09-04T13:45:00"/>
    <x v="0"/>
    <x v="90"/>
    <s v="Bike C"/>
    <x v="1"/>
    <n v="149"/>
    <n v="8"/>
    <x v="2"/>
    <x v="4"/>
    <x v="2"/>
    <s v="Expedited Rules"/>
    <n v="0"/>
    <n v="1"/>
    <x v="2"/>
    <n v="809"/>
    <n v="1"/>
  </r>
  <r>
    <n v="1799"/>
    <s v="699 Oak St, CityE"/>
    <d v="2023-09-01T08:32:00"/>
    <x v="0"/>
    <x v="47"/>
    <s v="Bike C"/>
    <x v="4"/>
    <n v="68"/>
    <n v="4"/>
    <x v="0"/>
    <x v="1"/>
    <x v="2"/>
    <s v="Custom Rules"/>
    <n v="0"/>
    <n v="0"/>
    <x v="6"/>
    <n v="812"/>
    <n v="1"/>
  </r>
  <r>
    <n v="1810"/>
    <s v="715 Cedar St, CityE"/>
    <d v="2023-09-04T11:45:00"/>
    <x v="0"/>
    <x v="88"/>
    <s v="Bike C"/>
    <x v="3"/>
    <n v="131"/>
    <n v="26"/>
    <x v="1"/>
    <x v="2"/>
    <x v="2"/>
    <s v="Custom Rules"/>
    <n v="0"/>
    <n v="0"/>
    <x v="2"/>
    <n v="809"/>
    <n v="1"/>
  </r>
  <r>
    <n v="1815"/>
    <s v="972 Main St, CityC"/>
    <d v="2023-09-07T14:08:00"/>
    <x v="1"/>
    <x v="98"/>
    <s v="Bike C"/>
    <x v="2"/>
    <n v="205"/>
    <n v="5"/>
    <x v="2"/>
    <x v="1"/>
    <x v="2"/>
    <s v="Standard Rules"/>
    <n v="0"/>
    <n v="1"/>
    <x v="3"/>
    <s v=""/>
    <n v="1"/>
  </r>
  <r>
    <n v="1834"/>
    <s v="683 Cedar St, CityA"/>
    <d v="2023-09-02T11:04:00"/>
    <x v="0"/>
    <x v="51"/>
    <s v="Bike C"/>
    <x v="0"/>
    <n v="61"/>
    <n v="16"/>
    <x v="0"/>
    <x v="0"/>
    <x v="2"/>
    <s v="Custom Rules"/>
    <n v="0"/>
    <n v="0"/>
    <x v="4"/>
    <n v="811"/>
    <n v="1"/>
  </r>
  <r>
    <n v="1835"/>
    <s v="42 Elm St, CityC"/>
    <d v="2023-09-08T13:54:00"/>
    <x v="1"/>
    <x v="47"/>
    <s v="Bike C"/>
    <x v="2"/>
    <n v="195"/>
    <n v="13"/>
    <x v="2"/>
    <x v="2"/>
    <x v="2"/>
    <s v="Expedited Rules"/>
    <n v="0"/>
    <n v="1"/>
    <x v="5"/>
    <s v=""/>
    <n v="1"/>
  </r>
  <r>
    <n v="1848"/>
    <s v="706 Oak St, CityA"/>
    <d v="2023-09-01T13:01:00"/>
    <x v="0"/>
    <x v="67"/>
    <s v="Bike C"/>
    <x v="4"/>
    <n v="188"/>
    <n v="8"/>
    <x v="0"/>
    <x v="3"/>
    <x v="2"/>
    <s v="Custom Rules"/>
    <n v="0"/>
    <n v="0"/>
    <x v="6"/>
    <n v="812"/>
    <n v="1"/>
  </r>
  <r>
    <n v="1850"/>
    <s v="712 Pine St, CityD"/>
    <d v="2023-09-06T16:05:00"/>
    <x v="1"/>
    <x v="98"/>
    <s v="Bike C"/>
    <x v="1"/>
    <n v="199"/>
    <n v="27"/>
    <x v="0"/>
    <x v="4"/>
    <x v="2"/>
    <s v="Custom Rules"/>
    <n v="0"/>
    <n v="0"/>
    <x v="1"/>
    <s v=""/>
    <n v="1"/>
  </r>
  <r>
    <n v="1851"/>
    <s v="368 Cedar St, CityC"/>
    <d v="2023-09-07T10:48:00"/>
    <x v="0"/>
    <x v="22"/>
    <s v="Bike C"/>
    <x v="4"/>
    <n v="129"/>
    <n v="17"/>
    <x v="1"/>
    <x v="2"/>
    <x v="2"/>
    <s v="Custom Rules"/>
    <n v="0"/>
    <n v="0"/>
    <x v="3"/>
    <n v="806"/>
    <n v="1"/>
  </r>
  <r>
    <n v="1852"/>
    <s v="301 Pine St, CityD"/>
    <d v="2023-09-06T10:20:00"/>
    <x v="1"/>
    <x v="39"/>
    <s v="Bike C"/>
    <x v="1"/>
    <n v="213"/>
    <n v="27"/>
    <x v="0"/>
    <x v="0"/>
    <x v="2"/>
    <s v="Standard Rules"/>
    <n v="0"/>
    <n v="0"/>
    <x v="1"/>
    <s v=""/>
    <n v="1"/>
  </r>
  <r>
    <n v="1861"/>
    <s v="789 Oak St, CityC"/>
    <d v="2023-09-04T16:37:00"/>
    <x v="0"/>
    <x v="88"/>
    <s v="Bike C"/>
    <x v="0"/>
    <n v="127"/>
    <n v="7"/>
    <x v="2"/>
    <x v="4"/>
    <x v="2"/>
    <s v="Standard Rules"/>
    <n v="0"/>
    <n v="1"/>
    <x v="2"/>
    <n v="809"/>
    <n v="1"/>
  </r>
  <r>
    <n v="1866"/>
    <s v="672 Main St, CityC"/>
    <d v="2023-09-07T15:36:00"/>
    <x v="0"/>
    <x v="28"/>
    <s v="Bike C"/>
    <x v="2"/>
    <n v="157"/>
    <n v="6"/>
    <x v="2"/>
    <x v="1"/>
    <x v="2"/>
    <s v="Expedited Rules"/>
    <n v="0"/>
    <n v="1"/>
    <x v="3"/>
    <n v="806"/>
    <n v="1"/>
  </r>
  <r>
    <n v="1894"/>
    <s v="19 Pine St, CityE"/>
    <d v="2023-09-05T10:04:00"/>
    <x v="0"/>
    <x v="19"/>
    <s v="Bike C"/>
    <x v="1"/>
    <n v="107"/>
    <n v="7"/>
    <x v="0"/>
    <x v="2"/>
    <x v="2"/>
    <s v="Standard Rules"/>
    <n v="0"/>
    <n v="0"/>
    <x v="7"/>
    <n v="808"/>
    <n v="1"/>
  </r>
  <r>
    <n v="1908"/>
    <s v="17 Cedar St, CityC"/>
    <d v="2023-09-03T11:22:00"/>
    <x v="1"/>
    <x v="86"/>
    <s v="Bike C"/>
    <x v="3"/>
    <n v="205"/>
    <n v="2"/>
    <x v="2"/>
    <x v="3"/>
    <x v="2"/>
    <s v="Custom Rules"/>
    <n v="0"/>
    <n v="1"/>
    <x v="0"/>
    <s v=""/>
    <n v="1"/>
  </r>
  <r>
    <n v="1911"/>
    <s v="547 Cedar St, CityC"/>
    <d v="2023-09-03T10:10:00"/>
    <x v="1"/>
    <x v="39"/>
    <s v="Bike C"/>
    <x v="2"/>
    <n v="61"/>
    <n v="20"/>
    <x v="2"/>
    <x v="1"/>
    <x v="2"/>
    <s v="Custom Rules"/>
    <n v="0"/>
    <n v="1"/>
    <x v="0"/>
    <s v=""/>
    <n v="1"/>
  </r>
  <r>
    <n v="1938"/>
    <s v="351 Elm St, CityE"/>
    <d v="2023-09-05T09:48:00"/>
    <x v="0"/>
    <x v="21"/>
    <s v="Bike C"/>
    <x v="1"/>
    <n v="73"/>
    <n v="21"/>
    <x v="0"/>
    <x v="4"/>
    <x v="2"/>
    <s v="Custom Rules"/>
    <n v="0"/>
    <n v="0"/>
    <x v="7"/>
    <n v="808"/>
    <n v="1"/>
  </r>
  <r>
    <n v="1945"/>
    <s v="766 Main St, CityB"/>
    <d v="2023-09-08T14:15:00"/>
    <x v="0"/>
    <x v="67"/>
    <s v="Bike C"/>
    <x v="2"/>
    <n v="177"/>
    <n v="17"/>
    <x v="1"/>
    <x v="1"/>
    <x v="2"/>
    <s v="Custom Rules"/>
    <n v="0"/>
    <n v="0"/>
    <x v="5"/>
    <n v="805"/>
    <n v="1"/>
  </r>
  <r>
    <n v="1946"/>
    <s v="855 Pine St, CityE"/>
    <d v="2023-09-02T11:04:00"/>
    <x v="1"/>
    <x v="23"/>
    <s v="Bike C"/>
    <x v="2"/>
    <n v="128"/>
    <n v="13"/>
    <x v="1"/>
    <x v="0"/>
    <x v="2"/>
    <s v="Expedited Rules"/>
    <n v="0"/>
    <n v="0"/>
    <x v="4"/>
    <s v=""/>
    <n v="1"/>
  </r>
  <r>
    <n v="1948"/>
    <s v="330 Oak St, CityB"/>
    <d v="2023-09-08T14:43:00"/>
    <x v="0"/>
    <x v="71"/>
    <s v="Bike C"/>
    <x v="2"/>
    <n v="120"/>
    <n v="16"/>
    <x v="1"/>
    <x v="2"/>
    <x v="2"/>
    <s v="Expedited Rules"/>
    <n v="0"/>
    <n v="0"/>
    <x v="5"/>
    <n v="805"/>
    <n v="1"/>
  </r>
  <r>
    <n v="1959"/>
    <s v="744 Oak St, CityA"/>
    <d v="2023-09-05T13:46:00"/>
    <x v="0"/>
    <x v="84"/>
    <s v="Bike C"/>
    <x v="4"/>
    <n v="63"/>
    <n v="10"/>
    <x v="2"/>
    <x v="4"/>
    <x v="2"/>
    <s v="Custom Rules"/>
    <n v="0"/>
    <n v="1"/>
    <x v="7"/>
    <n v="808"/>
    <n v="1"/>
  </r>
  <r>
    <n v="1989"/>
    <s v="71 Main St, CityE"/>
    <d v="2023-09-07T09:40:00"/>
    <x v="1"/>
    <x v="59"/>
    <s v="Bike C"/>
    <x v="2"/>
    <n v="165"/>
    <n v="12"/>
    <x v="1"/>
    <x v="4"/>
    <x v="2"/>
    <s v="Custom Rules"/>
    <n v="0"/>
    <n v="0"/>
    <x v="3"/>
    <s v=""/>
    <n v="1"/>
  </r>
  <r>
    <n v="1996"/>
    <s v="190 Cedar St, CityA"/>
    <d v="2023-09-07T13:31:00"/>
    <x v="0"/>
    <x v="52"/>
    <s v="Bike C"/>
    <x v="3"/>
    <n v="236"/>
    <n v="27"/>
    <x v="0"/>
    <x v="1"/>
    <x v="2"/>
    <s v="Expedited Rules"/>
    <n v="0"/>
    <n v="0"/>
    <x v="3"/>
    <n v="806"/>
    <n v="1"/>
  </r>
  <r>
    <n v="2005"/>
    <s v="683 Pine St, CityB"/>
    <d v="2023-09-02T12:56:00"/>
    <x v="0"/>
    <x v="40"/>
    <s v="Bike C"/>
    <x v="2"/>
    <n v="141"/>
    <n v="9"/>
    <x v="1"/>
    <x v="4"/>
    <x v="2"/>
    <s v="Custom Rules"/>
    <n v="0"/>
    <n v="0"/>
    <x v="4"/>
    <n v="811"/>
    <n v="1"/>
  </r>
  <r>
    <n v="2007"/>
    <s v="353 Elm St, CityD"/>
    <d v="2023-09-06T14:56:00"/>
    <x v="0"/>
    <x v="98"/>
    <s v="Bike C"/>
    <x v="3"/>
    <n v="159"/>
    <n v="21"/>
    <x v="1"/>
    <x v="4"/>
    <x v="2"/>
    <s v="Standard Rules"/>
    <n v="0"/>
    <n v="0"/>
    <x v="1"/>
    <n v="807"/>
    <n v="1"/>
  </r>
  <r>
    <n v="2019"/>
    <s v="256 Main St, CityA"/>
    <d v="2023-09-06T08:44:00"/>
    <x v="1"/>
    <x v="14"/>
    <s v="Bike C"/>
    <x v="2"/>
    <n v="84"/>
    <n v="13"/>
    <x v="1"/>
    <x v="0"/>
    <x v="2"/>
    <s v="Custom Rules"/>
    <n v="0"/>
    <n v="0"/>
    <x v="1"/>
    <s v=""/>
    <n v="1"/>
  </r>
  <r>
    <n v="2026"/>
    <s v="458 Elm St, CityB"/>
    <d v="2023-09-06T12:58:00"/>
    <x v="1"/>
    <x v="19"/>
    <s v="Bike C"/>
    <x v="0"/>
    <n v="224"/>
    <n v="15"/>
    <x v="1"/>
    <x v="2"/>
    <x v="2"/>
    <s v="Expedited Rules"/>
    <n v="0"/>
    <n v="0"/>
    <x v="1"/>
    <s v=""/>
    <n v="1"/>
  </r>
  <r>
    <n v="2032"/>
    <s v="193 Elm St, CityD"/>
    <d v="2023-09-05T09:50:00"/>
    <x v="1"/>
    <x v="70"/>
    <s v="Bike C"/>
    <x v="3"/>
    <n v="93"/>
    <n v="18"/>
    <x v="2"/>
    <x v="3"/>
    <x v="2"/>
    <s v="Expedited Rules"/>
    <n v="0"/>
    <n v="1"/>
    <x v="7"/>
    <s v=""/>
    <n v="1"/>
  </r>
  <r>
    <n v="2033"/>
    <s v="501 Oak St, CityD"/>
    <d v="2023-09-04T09:25:00"/>
    <x v="0"/>
    <x v="46"/>
    <s v="Bike C"/>
    <x v="2"/>
    <n v="150"/>
    <n v="3"/>
    <x v="1"/>
    <x v="0"/>
    <x v="2"/>
    <s v="Standard Rules"/>
    <n v="0"/>
    <n v="0"/>
    <x v="2"/>
    <n v="809"/>
    <n v="1"/>
  </r>
  <r>
    <n v="2034"/>
    <s v="51 Oak St, CityA"/>
    <d v="2023-09-05T11:53:00"/>
    <x v="1"/>
    <x v="86"/>
    <s v="Bike C"/>
    <x v="0"/>
    <n v="91"/>
    <n v="22"/>
    <x v="2"/>
    <x v="2"/>
    <x v="2"/>
    <s v="Expedited Rules"/>
    <n v="0"/>
    <n v="1"/>
    <x v="7"/>
    <s v=""/>
    <n v="1"/>
  </r>
  <r>
    <n v="2035"/>
    <s v="444 Pine St, CityB"/>
    <d v="2023-09-08T12:37:00"/>
    <x v="0"/>
    <x v="92"/>
    <s v="Bike C"/>
    <x v="1"/>
    <n v="197"/>
    <n v="5"/>
    <x v="0"/>
    <x v="4"/>
    <x v="2"/>
    <s v="Expedited Rules"/>
    <n v="0"/>
    <n v="0"/>
    <x v="5"/>
    <n v="805"/>
    <n v="1"/>
  </r>
  <r>
    <n v="2051"/>
    <s v="275 Oak St, CityE"/>
    <d v="2023-09-03T10:54:00"/>
    <x v="1"/>
    <x v="28"/>
    <s v="Bike C"/>
    <x v="1"/>
    <n v="147"/>
    <n v="28"/>
    <x v="1"/>
    <x v="0"/>
    <x v="2"/>
    <s v="Expedited Rules"/>
    <n v="0"/>
    <n v="0"/>
    <x v="0"/>
    <s v=""/>
    <n v="1"/>
  </r>
  <r>
    <n v="2067"/>
    <s v="205 Pine St, CityE"/>
    <d v="2023-09-04T16:19:00"/>
    <x v="1"/>
    <x v="64"/>
    <s v="Bike C"/>
    <x v="3"/>
    <n v="86"/>
    <n v="13"/>
    <x v="1"/>
    <x v="1"/>
    <x v="2"/>
    <s v="Custom Rules"/>
    <n v="0"/>
    <n v="0"/>
    <x v="2"/>
    <s v=""/>
    <n v="1"/>
  </r>
  <r>
    <n v="2079"/>
    <s v="757 Main St, CityA"/>
    <d v="2023-09-02T14:13:00"/>
    <x v="1"/>
    <x v="82"/>
    <s v="Bike C"/>
    <x v="2"/>
    <n v="232"/>
    <n v="2"/>
    <x v="2"/>
    <x v="4"/>
    <x v="2"/>
    <s v="Custom Rules"/>
    <n v="0"/>
    <n v="1"/>
    <x v="4"/>
    <s v=""/>
    <n v="1"/>
  </r>
  <r>
    <n v="2081"/>
    <s v="736 Elm St, CityB"/>
    <d v="2023-09-07T15:45:00"/>
    <x v="0"/>
    <x v="78"/>
    <s v="Bike C"/>
    <x v="4"/>
    <n v="232"/>
    <n v="23"/>
    <x v="0"/>
    <x v="3"/>
    <x v="2"/>
    <s v="Custom Rules"/>
    <n v="0"/>
    <n v="0"/>
    <x v="3"/>
    <n v="806"/>
    <n v="1"/>
  </r>
  <r>
    <n v="2086"/>
    <s v="659 Cedar St, CityD"/>
    <d v="2023-09-01T14:48:00"/>
    <x v="1"/>
    <x v="7"/>
    <s v="Bike C"/>
    <x v="3"/>
    <n v="190"/>
    <n v="11"/>
    <x v="2"/>
    <x v="1"/>
    <x v="2"/>
    <s v="Standard Rules"/>
    <n v="0"/>
    <n v="1"/>
    <x v="6"/>
    <s v=""/>
    <n v="1"/>
  </r>
  <r>
    <n v="2091"/>
    <s v="765 Elm St, CityA"/>
    <d v="2023-09-06T11:53:00"/>
    <x v="1"/>
    <x v="58"/>
    <s v="Bike C"/>
    <x v="4"/>
    <n v="133"/>
    <n v="22"/>
    <x v="2"/>
    <x v="4"/>
    <x v="2"/>
    <s v="Standard Rules"/>
    <n v="0"/>
    <n v="1"/>
    <x v="1"/>
    <s v=""/>
    <n v="1"/>
  </r>
  <r>
    <n v="2102"/>
    <s v="22 Oak St, CityB"/>
    <d v="2023-09-02T14:36:00"/>
    <x v="0"/>
    <x v="54"/>
    <s v="Bike C"/>
    <x v="2"/>
    <n v="203"/>
    <n v="5"/>
    <x v="1"/>
    <x v="3"/>
    <x v="2"/>
    <s v="Standard Rules"/>
    <n v="0"/>
    <n v="0"/>
    <x v="4"/>
    <n v="811"/>
    <n v="1"/>
  </r>
  <r>
    <n v="2109"/>
    <s v="121 Elm St, CityC"/>
    <d v="2023-09-07T15:54:00"/>
    <x v="1"/>
    <x v="42"/>
    <s v="Bike C"/>
    <x v="1"/>
    <n v="177"/>
    <n v="12"/>
    <x v="1"/>
    <x v="2"/>
    <x v="2"/>
    <s v="Standard Rules"/>
    <n v="0"/>
    <n v="0"/>
    <x v="3"/>
    <s v=""/>
    <n v="1"/>
  </r>
  <r>
    <n v="2116"/>
    <s v="217 Main St, CityB"/>
    <d v="2023-09-05T16:49:00"/>
    <x v="1"/>
    <x v="36"/>
    <s v="Bike C"/>
    <x v="2"/>
    <n v="184"/>
    <n v="13"/>
    <x v="2"/>
    <x v="1"/>
    <x v="2"/>
    <s v="Standard Rules"/>
    <n v="0"/>
    <n v="1"/>
    <x v="7"/>
    <s v=""/>
    <n v="1"/>
  </r>
  <r>
    <n v="2118"/>
    <s v="235 Elm St, CityC"/>
    <d v="2023-09-05T08:13:00"/>
    <x v="1"/>
    <x v="84"/>
    <s v="Bike C"/>
    <x v="0"/>
    <n v="134"/>
    <n v="14"/>
    <x v="0"/>
    <x v="4"/>
    <x v="2"/>
    <s v="Expedited Rules"/>
    <n v="0"/>
    <n v="0"/>
    <x v="7"/>
    <s v=""/>
    <n v="1"/>
  </r>
  <r>
    <n v="2127"/>
    <s v="286 Oak St, CityC"/>
    <d v="2023-09-08T09:53:00"/>
    <x v="0"/>
    <x v="82"/>
    <s v="Bike C"/>
    <x v="4"/>
    <n v="206"/>
    <n v="13"/>
    <x v="2"/>
    <x v="4"/>
    <x v="2"/>
    <s v="Expedited Rules"/>
    <n v="0"/>
    <n v="1"/>
    <x v="5"/>
    <n v="805"/>
    <n v="1"/>
  </r>
  <r>
    <n v="2136"/>
    <s v="55 Cedar St, CityB"/>
    <d v="2023-09-06T08:51:00"/>
    <x v="0"/>
    <x v="35"/>
    <s v="Bike C"/>
    <x v="4"/>
    <n v="179"/>
    <n v="16"/>
    <x v="2"/>
    <x v="2"/>
    <x v="2"/>
    <s v="Expedited Rules"/>
    <n v="0"/>
    <n v="1"/>
    <x v="1"/>
    <n v="807"/>
    <n v="1"/>
  </r>
  <r>
    <n v="2144"/>
    <s v="341 Cedar St, CityB"/>
    <d v="2023-09-04T16:02:00"/>
    <x v="0"/>
    <x v="46"/>
    <s v="Bike C"/>
    <x v="3"/>
    <n v="142"/>
    <n v="25"/>
    <x v="2"/>
    <x v="3"/>
    <x v="2"/>
    <s v="Standard Rules"/>
    <n v="0"/>
    <n v="1"/>
    <x v="2"/>
    <n v="809"/>
    <n v="1"/>
  </r>
  <r>
    <n v="2148"/>
    <s v="531 Elm St, CityE"/>
    <d v="2023-09-01T15:18:00"/>
    <x v="0"/>
    <x v="72"/>
    <s v="Bike C"/>
    <x v="2"/>
    <n v="170"/>
    <n v="29"/>
    <x v="2"/>
    <x v="3"/>
    <x v="2"/>
    <s v="Standard Rules"/>
    <n v="0"/>
    <n v="1"/>
    <x v="6"/>
    <n v="812"/>
    <n v="1"/>
  </r>
  <r>
    <n v="2150"/>
    <s v="739 Cedar St, CityA"/>
    <d v="2023-09-05T13:06:00"/>
    <x v="1"/>
    <x v="64"/>
    <s v="Bike C"/>
    <x v="1"/>
    <n v="182"/>
    <n v="24"/>
    <x v="0"/>
    <x v="1"/>
    <x v="2"/>
    <s v="Expedited Rules"/>
    <n v="0"/>
    <n v="0"/>
    <x v="7"/>
    <s v=""/>
    <n v="1"/>
  </r>
  <r>
    <n v="2157"/>
    <s v="84 Main St, CityB"/>
    <d v="2023-09-05T13:54:00"/>
    <x v="0"/>
    <x v="3"/>
    <s v="Bike C"/>
    <x v="0"/>
    <n v="131"/>
    <n v="27"/>
    <x v="1"/>
    <x v="0"/>
    <x v="2"/>
    <s v="Expedited Rules"/>
    <n v="0"/>
    <n v="0"/>
    <x v="7"/>
    <n v="808"/>
    <n v="1"/>
  </r>
  <r>
    <n v="2165"/>
    <s v="164 Main St, CityE"/>
    <d v="2023-09-01T12:28:00"/>
    <x v="0"/>
    <x v="72"/>
    <s v="Bike C"/>
    <x v="1"/>
    <n v="228"/>
    <n v="20"/>
    <x v="1"/>
    <x v="0"/>
    <x v="2"/>
    <s v="Standard Rules"/>
    <n v="0"/>
    <n v="0"/>
    <x v="6"/>
    <n v="812"/>
    <n v="1"/>
  </r>
  <r>
    <n v="2166"/>
    <s v="833 Elm St, CityE"/>
    <d v="2023-09-08T12:32:00"/>
    <x v="1"/>
    <x v="16"/>
    <s v="Bike C"/>
    <x v="1"/>
    <n v="212"/>
    <n v="9"/>
    <x v="0"/>
    <x v="3"/>
    <x v="2"/>
    <s v="Standard Rules"/>
    <n v="0"/>
    <n v="0"/>
    <x v="5"/>
    <s v=""/>
    <n v="1"/>
  </r>
  <r>
    <n v="2173"/>
    <s v="520 Pine St, CityD"/>
    <d v="2023-09-08T11:50:00"/>
    <x v="1"/>
    <x v="56"/>
    <s v="Bike C"/>
    <x v="1"/>
    <n v="208"/>
    <n v="25"/>
    <x v="0"/>
    <x v="3"/>
    <x v="2"/>
    <s v="Standard Rules"/>
    <n v="0"/>
    <n v="0"/>
    <x v="5"/>
    <s v=""/>
    <n v="1"/>
  </r>
  <r>
    <n v="2175"/>
    <s v="51 Main St, CityC"/>
    <d v="2023-09-04T14:27:00"/>
    <x v="1"/>
    <x v="84"/>
    <s v="Bike C"/>
    <x v="1"/>
    <n v="110"/>
    <n v="19"/>
    <x v="1"/>
    <x v="0"/>
    <x v="2"/>
    <s v="Standard Rules"/>
    <n v="0"/>
    <n v="0"/>
    <x v="2"/>
    <s v=""/>
    <n v="1"/>
  </r>
  <r>
    <n v="2199"/>
    <s v="757 Main St, CityC"/>
    <d v="2023-09-01T11:41:00"/>
    <x v="0"/>
    <x v="93"/>
    <s v="Bike C"/>
    <x v="2"/>
    <n v="68"/>
    <n v="4"/>
    <x v="2"/>
    <x v="3"/>
    <x v="2"/>
    <s v="Expedited Rules"/>
    <n v="0"/>
    <n v="1"/>
    <x v="6"/>
    <n v="812"/>
    <n v="1"/>
  </r>
  <r>
    <n v="2216"/>
    <s v="474 Main St, CityD"/>
    <d v="2023-09-08T10:36:00"/>
    <x v="0"/>
    <x v="75"/>
    <s v="Bike C"/>
    <x v="2"/>
    <n v="161"/>
    <n v="3"/>
    <x v="2"/>
    <x v="0"/>
    <x v="2"/>
    <s v="Expedited Rules"/>
    <n v="0"/>
    <n v="1"/>
    <x v="5"/>
    <n v="805"/>
    <n v="1"/>
  </r>
  <r>
    <n v="2218"/>
    <s v="364 Oak St, CityC"/>
    <d v="2023-09-06T11:53:00"/>
    <x v="1"/>
    <x v="85"/>
    <s v="Bike C"/>
    <x v="1"/>
    <n v="145"/>
    <n v="9"/>
    <x v="1"/>
    <x v="4"/>
    <x v="2"/>
    <s v="Expedited Rules"/>
    <n v="0"/>
    <n v="0"/>
    <x v="1"/>
    <s v=""/>
    <n v="1"/>
  </r>
  <r>
    <n v="2222"/>
    <s v="301 Elm St, CityA"/>
    <d v="2023-09-03T14:46:00"/>
    <x v="0"/>
    <x v="27"/>
    <s v="Bike C"/>
    <x v="1"/>
    <n v="229"/>
    <n v="18"/>
    <x v="0"/>
    <x v="4"/>
    <x v="2"/>
    <s v="Custom Rules"/>
    <n v="0"/>
    <n v="0"/>
    <x v="0"/>
    <n v="810"/>
    <n v="1"/>
  </r>
  <r>
    <n v="2223"/>
    <s v="685 Main St, CityD"/>
    <d v="2023-09-03T11:18:00"/>
    <x v="1"/>
    <x v="54"/>
    <s v="Bike C"/>
    <x v="0"/>
    <n v="123"/>
    <n v="19"/>
    <x v="2"/>
    <x v="1"/>
    <x v="2"/>
    <s v="Expedited Rules"/>
    <n v="0"/>
    <n v="1"/>
    <x v="0"/>
    <s v=""/>
    <n v="1"/>
  </r>
  <r>
    <n v="2224"/>
    <s v="387 Oak St, CityD"/>
    <d v="2023-09-03T09:39:00"/>
    <x v="1"/>
    <x v="76"/>
    <s v="Bike C"/>
    <x v="4"/>
    <n v="176"/>
    <n v="12"/>
    <x v="2"/>
    <x v="0"/>
    <x v="2"/>
    <s v="Custom Rules"/>
    <n v="0"/>
    <n v="1"/>
    <x v="0"/>
    <s v=""/>
    <n v="1"/>
  </r>
  <r>
    <n v="2232"/>
    <s v="625 Main St, CityC"/>
    <d v="2023-09-02T16:58:00"/>
    <x v="1"/>
    <x v="75"/>
    <s v="Bike C"/>
    <x v="0"/>
    <n v="140"/>
    <n v="22"/>
    <x v="2"/>
    <x v="4"/>
    <x v="2"/>
    <s v="Expedited Rules"/>
    <n v="0"/>
    <n v="1"/>
    <x v="4"/>
    <s v=""/>
    <n v="1"/>
  </r>
  <r>
    <n v="2249"/>
    <s v="741 Main St, CityA"/>
    <d v="2023-09-03T13:35:00"/>
    <x v="1"/>
    <x v="79"/>
    <s v="Bike C"/>
    <x v="3"/>
    <n v="154"/>
    <n v="12"/>
    <x v="2"/>
    <x v="4"/>
    <x v="2"/>
    <s v="Expedited Rules"/>
    <n v="0"/>
    <n v="1"/>
    <x v="0"/>
    <s v=""/>
    <n v="1"/>
  </r>
  <r>
    <n v="2260"/>
    <s v="537 Main St, CityB"/>
    <d v="2023-09-07T16:58:00"/>
    <x v="1"/>
    <x v="54"/>
    <s v="Bike C"/>
    <x v="3"/>
    <n v="66"/>
    <n v="8"/>
    <x v="2"/>
    <x v="1"/>
    <x v="2"/>
    <s v="Custom Rules"/>
    <n v="0"/>
    <n v="1"/>
    <x v="3"/>
    <s v=""/>
    <n v="1"/>
  </r>
  <r>
    <n v="2262"/>
    <s v="484 Pine St, CityC"/>
    <d v="2023-09-07T09:15:00"/>
    <x v="0"/>
    <x v="0"/>
    <s v="Bike C"/>
    <x v="0"/>
    <n v="162"/>
    <n v="2"/>
    <x v="2"/>
    <x v="2"/>
    <x v="2"/>
    <s v="Expedited Rules"/>
    <n v="0"/>
    <n v="1"/>
    <x v="3"/>
    <n v="806"/>
    <n v="1"/>
  </r>
  <r>
    <n v="2266"/>
    <s v="402 Oak St, CityE"/>
    <d v="2023-09-04T11:57:00"/>
    <x v="1"/>
    <x v="41"/>
    <s v="Bike C"/>
    <x v="3"/>
    <n v="214"/>
    <n v="24"/>
    <x v="0"/>
    <x v="0"/>
    <x v="2"/>
    <s v="Custom Rules"/>
    <n v="0"/>
    <n v="0"/>
    <x v="2"/>
    <s v=""/>
    <n v="1"/>
  </r>
  <r>
    <n v="2269"/>
    <s v="319 Cedar St, CityA"/>
    <d v="2023-09-02T15:47:00"/>
    <x v="0"/>
    <x v="99"/>
    <s v="Bike C"/>
    <x v="3"/>
    <n v="181"/>
    <n v="9"/>
    <x v="0"/>
    <x v="2"/>
    <x v="2"/>
    <s v="Expedited Rules"/>
    <n v="0"/>
    <n v="0"/>
    <x v="4"/>
    <n v="811"/>
    <n v="1"/>
  </r>
  <r>
    <n v="2274"/>
    <s v="543 Pine St, CityC"/>
    <d v="2023-09-02T10:00:00"/>
    <x v="0"/>
    <x v="45"/>
    <s v="Bike C"/>
    <x v="2"/>
    <n v="168"/>
    <n v="29"/>
    <x v="1"/>
    <x v="1"/>
    <x v="2"/>
    <s v="Expedited Rules"/>
    <n v="0"/>
    <n v="0"/>
    <x v="4"/>
    <n v="811"/>
    <n v="1"/>
  </r>
  <r>
    <n v="2276"/>
    <s v="143 Pine St, CityB"/>
    <d v="2023-09-08T10:29:00"/>
    <x v="0"/>
    <x v="79"/>
    <s v="Bike C"/>
    <x v="0"/>
    <n v="97"/>
    <n v="22"/>
    <x v="1"/>
    <x v="1"/>
    <x v="2"/>
    <s v="Custom Rules"/>
    <n v="0"/>
    <n v="0"/>
    <x v="5"/>
    <n v="805"/>
    <n v="1"/>
  </r>
  <r>
    <n v="2282"/>
    <s v="95 Oak St, CityA"/>
    <d v="2023-09-08T13:42:00"/>
    <x v="0"/>
    <x v="10"/>
    <s v="Bike C"/>
    <x v="1"/>
    <n v="144"/>
    <n v="19"/>
    <x v="2"/>
    <x v="3"/>
    <x v="2"/>
    <s v="Expedited Rules"/>
    <n v="0"/>
    <n v="1"/>
    <x v="5"/>
    <n v="805"/>
    <n v="1"/>
  </r>
  <r>
    <n v="2288"/>
    <s v="439 Pine St, CityA"/>
    <d v="2023-09-08T10:20:00"/>
    <x v="0"/>
    <x v="40"/>
    <s v="Bike C"/>
    <x v="0"/>
    <n v="230"/>
    <n v="5"/>
    <x v="2"/>
    <x v="1"/>
    <x v="2"/>
    <s v="Standard Rules"/>
    <n v="0"/>
    <n v="1"/>
    <x v="5"/>
    <n v="805"/>
    <n v="1"/>
  </r>
  <r>
    <n v="2296"/>
    <s v="158 Pine St, CityA"/>
    <d v="2023-09-05T14:37:00"/>
    <x v="0"/>
    <x v="47"/>
    <s v="Bike C"/>
    <x v="1"/>
    <n v="117"/>
    <n v="14"/>
    <x v="1"/>
    <x v="4"/>
    <x v="2"/>
    <s v="Expedited Rules"/>
    <n v="0"/>
    <n v="0"/>
    <x v="7"/>
    <n v="808"/>
    <n v="1"/>
  </r>
  <r>
    <n v="2307"/>
    <s v="768 Main St, CityA"/>
    <d v="2023-09-06T16:40:00"/>
    <x v="0"/>
    <x v="73"/>
    <s v="Bike C"/>
    <x v="3"/>
    <n v="113"/>
    <n v="5"/>
    <x v="1"/>
    <x v="2"/>
    <x v="2"/>
    <s v="Custom Rules"/>
    <n v="0"/>
    <n v="0"/>
    <x v="1"/>
    <n v="807"/>
    <n v="1"/>
  </r>
  <r>
    <n v="2325"/>
    <s v="639 Pine St, CityE"/>
    <d v="2023-09-07T16:22:00"/>
    <x v="0"/>
    <x v="67"/>
    <s v="Bike C"/>
    <x v="0"/>
    <n v="144"/>
    <n v="16"/>
    <x v="2"/>
    <x v="4"/>
    <x v="2"/>
    <s v="Custom Rules"/>
    <n v="0"/>
    <n v="1"/>
    <x v="3"/>
    <n v="806"/>
    <n v="1"/>
  </r>
  <r>
    <n v="2331"/>
    <s v="594 Pine St, CityE"/>
    <d v="2023-09-06T09:37:00"/>
    <x v="1"/>
    <x v="35"/>
    <s v="Bike C"/>
    <x v="3"/>
    <n v="112"/>
    <n v="17"/>
    <x v="0"/>
    <x v="2"/>
    <x v="2"/>
    <s v="Standard Rules"/>
    <n v="0"/>
    <n v="0"/>
    <x v="1"/>
    <s v=""/>
    <n v="1"/>
  </r>
  <r>
    <n v="2346"/>
    <s v="768 Elm St, CityC"/>
    <d v="2023-09-05T14:30:00"/>
    <x v="0"/>
    <x v="78"/>
    <s v="Bike C"/>
    <x v="0"/>
    <n v="133"/>
    <n v="22"/>
    <x v="2"/>
    <x v="1"/>
    <x v="2"/>
    <s v="Custom Rules"/>
    <n v="0"/>
    <n v="1"/>
    <x v="7"/>
    <n v="808"/>
    <n v="1"/>
  </r>
  <r>
    <n v="2358"/>
    <s v="605 Oak St, CityE"/>
    <d v="2023-09-05T12:31:00"/>
    <x v="1"/>
    <x v="15"/>
    <s v="Bike C"/>
    <x v="2"/>
    <n v="133"/>
    <n v="17"/>
    <x v="2"/>
    <x v="4"/>
    <x v="2"/>
    <s v="Expedited Rules"/>
    <n v="0"/>
    <n v="1"/>
    <x v="7"/>
    <s v=""/>
    <n v="1"/>
  </r>
  <r>
    <n v="2359"/>
    <s v="693 Elm St, CityD"/>
    <d v="2023-09-07T15:57:00"/>
    <x v="1"/>
    <x v="28"/>
    <s v="Bike C"/>
    <x v="2"/>
    <n v="103"/>
    <n v="15"/>
    <x v="2"/>
    <x v="2"/>
    <x v="2"/>
    <s v="Standard Rules"/>
    <n v="0"/>
    <n v="1"/>
    <x v="3"/>
    <s v=""/>
    <n v="1"/>
  </r>
  <r>
    <n v="2384"/>
    <s v="541 Main St, CityE"/>
    <d v="2023-09-01T15:04:00"/>
    <x v="1"/>
    <x v="77"/>
    <s v="Bike C"/>
    <x v="0"/>
    <n v="206"/>
    <n v="13"/>
    <x v="0"/>
    <x v="3"/>
    <x v="2"/>
    <s v="Custom Rules"/>
    <n v="0"/>
    <n v="0"/>
    <x v="6"/>
    <s v=""/>
    <n v="1"/>
  </r>
  <r>
    <n v="2385"/>
    <s v="664 Oak St, CityA"/>
    <d v="2023-09-01T13:58:00"/>
    <x v="0"/>
    <x v="54"/>
    <s v="Bike C"/>
    <x v="2"/>
    <n v="114"/>
    <n v="8"/>
    <x v="1"/>
    <x v="2"/>
    <x v="2"/>
    <s v="Expedited Rules"/>
    <n v="0"/>
    <n v="0"/>
    <x v="6"/>
    <n v="812"/>
    <n v="1"/>
  </r>
  <r>
    <n v="2386"/>
    <s v="301 Cedar St, CityA"/>
    <d v="2023-09-01T16:54:00"/>
    <x v="0"/>
    <x v="35"/>
    <s v="Bike C"/>
    <x v="3"/>
    <n v="72"/>
    <n v="25"/>
    <x v="0"/>
    <x v="2"/>
    <x v="2"/>
    <s v="Custom Rules"/>
    <n v="0"/>
    <n v="0"/>
    <x v="6"/>
    <n v="812"/>
    <n v="1"/>
  </r>
  <r>
    <n v="2389"/>
    <s v="884 Cedar St, CityB"/>
    <d v="2023-09-08T12:17:00"/>
    <x v="0"/>
    <x v="94"/>
    <s v="Bike C"/>
    <x v="0"/>
    <n v="97"/>
    <n v="20"/>
    <x v="0"/>
    <x v="3"/>
    <x v="2"/>
    <s v="Standard Rules"/>
    <n v="0"/>
    <n v="0"/>
    <x v="5"/>
    <n v="805"/>
    <n v="1"/>
  </r>
  <r>
    <n v="2419"/>
    <s v="845 Cedar St, CityC"/>
    <d v="2023-09-07T15:28:00"/>
    <x v="1"/>
    <x v="8"/>
    <s v="Bike C"/>
    <x v="4"/>
    <n v="108"/>
    <n v="9"/>
    <x v="0"/>
    <x v="1"/>
    <x v="2"/>
    <s v="Custom Rules"/>
    <n v="0"/>
    <n v="0"/>
    <x v="3"/>
    <s v=""/>
    <n v="1"/>
  </r>
  <r>
    <n v="2421"/>
    <s v="560 Cedar St, CityC"/>
    <d v="2023-09-04T09:19:00"/>
    <x v="0"/>
    <x v="42"/>
    <s v="Bike C"/>
    <x v="2"/>
    <n v="115"/>
    <n v="17"/>
    <x v="2"/>
    <x v="4"/>
    <x v="2"/>
    <s v="Standard Rules"/>
    <n v="0"/>
    <n v="1"/>
    <x v="2"/>
    <n v="809"/>
    <n v="1"/>
  </r>
  <r>
    <n v="2424"/>
    <s v="913 Cedar St, CityC"/>
    <d v="2023-09-07T14:40:00"/>
    <x v="1"/>
    <x v="52"/>
    <s v="Bike C"/>
    <x v="1"/>
    <n v="231"/>
    <n v="24"/>
    <x v="0"/>
    <x v="3"/>
    <x v="2"/>
    <s v="Expedited Rules"/>
    <n v="0"/>
    <n v="0"/>
    <x v="3"/>
    <s v=""/>
    <n v="1"/>
  </r>
  <r>
    <n v="2449"/>
    <s v="235 Cedar St, CityD"/>
    <d v="2023-09-03T14:31:00"/>
    <x v="1"/>
    <x v="85"/>
    <s v="Bike C"/>
    <x v="1"/>
    <n v="73"/>
    <n v="5"/>
    <x v="2"/>
    <x v="1"/>
    <x v="2"/>
    <s v="Standard Rules"/>
    <n v="0"/>
    <n v="1"/>
    <x v="0"/>
    <s v=""/>
    <n v="1"/>
  </r>
  <r>
    <n v="2474"/>
    <s v="441 Cedar St, CityE"/>
    <d v="2023-09-01T14:02:00"/>
    <x v="1"/>
    <x v="99"/>
    <s v="Bike C"/>
    <x v="1"/>
    <n v="106"/>
    <n v="10"/>
    <x v="2"/>
    <x v="0"/>
    <x v="2"/>
    <s v="Custom Rules"/>
    <n v="0"/>
    <n v="1"/>
    <x v="6"/>
    <s v=""/>
    <n v="1"/>
  </r>
  <r>
    <n v="2475"/>
    <s v="555 Oak St, CityE"/>
    <d v="2023-09-02T16:20:00"/>
    <x v="1"/>
    <x v="73"/>
    <s v="Bike C"/>
    <x v="1"/>
    <n v="216"/>
    <n v="24"/>
    <x v="1"/>
    <x v="3"/>
    <x v="2"/>
    <s v="Standard Rules"/>
    <n v="0"/>
    <n v="0"/>
    <x v="4"/>
    <s v=""/>
    <n v="1"/>
  </r>
  <r>
    <n v="2479"/>
    <s v="709 Elm St, CityE"/>
    <d v="2023-09-08T12:13:00"/>
    <x v="1"/>
    <x v="89"/>
    <s v="Bike C"/>
    <x v="1"/>
    <n v="129"/>
    <n v="6"/>
    <x v="1"/>
    <x v="3"/>
    <x v="2"/>
    <s v="Expedited Rules"/>
    <n v="0"/>
    <n v="0"/>
    <x v="5"/>
    <s v=""/>
    <n v="1"/>
  </r>
  <r>
    <n v="2482"/>
    <s v="306 Cedar St, CityC"/>
    <d v="2023-09-07T11:24:00"/>
    <x v="1"/>
    <x v="82"/>
    <s v="Bike C"/>
    <x v="1"/>
    <n v="176"/>
    <n v="12"/>
    <x v="1"/>
    <x v="2"/>
    <x v="2"/>
    <s v="Expedited Rules"/>
    <n v="0"/>
    <n v="0"/>
    <x v="3"/>
    <s v=""/>
    <n v="1"/>
  </r>
  <r>
    <n v="2493"/>
    <s v="282 Pine St, CityA"/>
    <d v="2023-09-07T14:52:00"/>
    <x v="0"/>
    <x v="76"/>
    <s v="Bike C"/>
    <x v="4"/>
    <n v="104"/>
    <n v="2"/>
    <x v="2"/>
    <x v="1"/>
    <x v="2"/>
    <s v="Custom Rules"/>
    <n v="0"/>
    <n v="1"/>
    <x v="3"/>
    <n v="806"/>
    <n v="1"/>
  </r>
  <r>
    <n v="1032"/>
    <s v="894 Elm St, CityE"/>
    <d v="2023-09-06T14:54:00"/>
    <x v="1"/>
    <x v="84"/>
    <s v="Bike C"/>
    <x v="4"/>
    <n v="162"/>
    <n v="28"/>
    <x v="2"/>
    <x v="1"/>
    <x v="1"/>
    <s v="Custom Rules"/>
    <n v="0"/>
    <n v="1"/>
    <x v="1"/>
    <s v=""/>
    <n v="1"/>
  </r>
  <r>
    <n v="1035"/>
    <s v="520 Elm St, CityD"/>
    <d v="2023-09-01T12:14:00"/>
    <x v="1"/>
    <x v="8"/>
    <s v="Bike C"/>
    <x v="0"/>
    <n v="64"/>
    <n v="6"/>
    <x v="0"/>
    <x v="1"/>
    <x v="1"/>
    <s v="Standard Rules"/>
    <n v="0"/>
    <n v="0"/>
    <x v="6"/>
    <s v=""/>
    <n v="1"/>
  </r>
  <r>
    <n v="1036"/>
    <s v="32 Cedar St, CityA"/>
    <d v="2023-09-02T11:19:00"/>
    <x v="1"/>
    <x v="84"/>
    <s v="Bike C"/>
    <x v="4"/>
    <n v="182"/>
    <n v="15"/>
    <x v="0"/>
    <x v="0"/>
    <x v="1"/>
    <s v="Custom Rules"/>
    <n v="0"/>
    <n v="0"/>
    <x v="4"/>
    <s v=""/>
    <n v="1"/>
  </r>
  <r>
    <n v="1045"/>
    <s v="803 Pine St, CityA"/>
    <d v="2023-09-06T15:06:00"/>
    <x v="0"/>
    <x v="52"/>
    <s v="Bike C"/>
    <x v="4"/>
    <n v="162"/>
    <n v="22"/>
    <x v="0"/>
    <x v="0"/>
    <x v="1"/>
    <s v="Custom Rules"/>
    <n v="0"/>
    <n v="0"/>
    <x v="1"/>
    <n v="807"/>
    <n v="1"/>
  </r>
  <r>
    <n v="1059"/>
    <s v="967 Pine St, CityD"/>
    <d v="2023-09-05T15:00:00"/>
    <x v="1"/>
    <x v="13"/>
    <s v="Bike C"/>
    <x v="0"/>
    <n v="151"/>
    <n v="23"/>
    <x v="2"/>
    <x v="3"/>
    <x v="1"/>
    <s v="Standard Rules"/>
    <n v="0"/>
    <n v="1"/>
    <x v="7"/>
    <s v=""/>
    <n v="1"/>
  </r>
  <r>
    <n v="1064"/>
    <s v="314 Pine St, CityC"/>
    <d v="2023-09-06T14:03:00"/>
    <x v="1"/>
    <x v="14"/>
    <s v="Bike C"/>
    <x v="0"/>
    <n v="129"/>
    <n v="2"/>
    <x v="0"/>
    <x v="3"/>
    <x v="1"/>
    <s v="Custom Rules"/>
    <n v="0"/>
    <n v="0"/>
    <x v="1"/>
    <s v=""/>
    <n v="1"/>
  </r>
  <r>
    <n v="1066"/>
    <s v="852 Main St, CityB"/>
    <d v="2023-09-05T16:28:00"/>
    <x v="0"/>
    <x v="81"/>
    <s v="Bike C"/>
    <x v="0"/>
    <n v="203"/>
    <n v="20"/>
    <x v="2"/>
    <x v="0"/>
    <x v="1"/>
    <s v="Custom Rules"/>
    <n v="0"/>
    <n v="1"/>
    <x v="7"/>
    <n v="808"/>
    <n v="1"/>
  </r>
  <r>
    <n v="1071"/>
    <s v="29 Main St, CityC"/>
    <d v="2023-09-06T14:23:00"/>
    <x v="0"/>
    <x v="37"/>
    <s v="Bike C"/>
    <x v="3"/>
    <n v="188"/>
    <n v="21"/>
    <x v="1"/>
    <x v="0"/>
    <x v="1"/>
    <s v="Custom Rules"/>
    <n v="0"/>
    <n v="0"/>
    <x v="1"/>
    <n v="807"/>
    <n v="1"/>
  </r>
  <r>
    <n v="1084"/>
    <s v="182 Pine St, CityB"/>
    <d v="2023-09-04T08:33:00"/>
    <x v="0"/>
    <x v="14"/>
    <s v="Bike C"/>
    <x v="4"/>
    <n v="179"/>
    <n v="23"/>
    <x v="0"/>
    <x v="0"/>
    <x v="1"/>
    <s v="Expedited Rules"/>
    <n v="0"/>
    <n v="0"/>
    <x v="2"/>
    <n v="809"/>
    <n v="1"/>
  </r>
  <r>
    <n v="1098"/>
    <s v="653 Main St, CityA"/>
    <d v="2023-09-03T10:12:00"/>
    <x v="0"/>
    <x v="86"/>
    <s v="Bike C"/>
    <x v="4"/>
    <n v="194"/>
    <n v="22"/>
    <x v="2"/>
    <x v="2"/>
    <x v="1"/>
    <s v="Custom Rules"/>
    <n v="0"/>
    <n v="1"/>
    <x v="0"/>
    <n v="810"/>
    <n v="1"/>
  </r>
  <r>
    <n v="1111"/>
    <s v="86 Main St, CityB"/>
    <d v="2023-09-07T15:08:00"/>
    <x v="0"/>
    <x v="68"/>
    <s v="Bike C"/>
    <x v="1"/>
    <n v="130"/>
    <n v="2"/>
    <x v="1"/>
    <x v="3"/>
    <x v="1"/>
    <s v="Standard Rules"/>
    <n v="0"/>
    <n v="0"/>
    <x v="3"/>
    <n v="806"/>
    <n v="1"/>
  </r>
  <r>
    <n v="1115"/>
    <s v="786 Elm St, CityB"/>
    <d v="2023-09-04T14:57:00"/>
    <x v="0"/>
    <x v="13"/>
    <s v="Bike C"/>
    <x v="4"/>
    <n v="155"/>
    <n v="8"/>
    <x v="1"/>
    <x v="0"/>
    <x v="1"/>
    <s v="Standard Rules"/>
    <n v="0"/>
    <n v="0"/>
    <x v="2"/>
    <n v="809"/>
    <n v="1"/>
  </r>
  <r>
    <n v="1126"/>
    <s v="864 Elm St, CityE"/>
    <d v="2023-09-02T13:42:00"/>
    <x v="0"/>
    <x v="32"/>
    <s v="Bike C"/>
    <x v="2"/>
    <n v="111"/>
    <n v="27"/>
    <x v="1"/>
    <x v="2"/>
    <x v="1"/>
    <s v="Expedited Rules"/>
    <n v="0"/>
    <n v="0"/>
    <x v="4"/>
    <n v="811"/>
    <n v="1"/>
  </r>
  <r>
    <n v="1130"/>
    <s v="115 Main St, CityD"/>
    <d v="2023-09-04T11:50:00"/>
    <x v="1"/>
    <x v="81"/>
    <s v="Bike C"/>
    <x v="3"/>
    <n v="93"/>
    <n v="20"/>
    <x v="1"/>
    <x v="1"/>
    <x v="1"/>
    <s v="Expedited Rules"/>
    <n v="0"/>
    <n v="0"/>
    <x v="2"/>
    <s v=""/>
    <n v="1"/>
  </r>
  <r>
    <n v="1132"/>
    <s v="634 Elm St, CityC"/>
    <d v="2023-09-02T12:26:00"/>
    <x v="1"/>
    <x v="71"/>
    <s v="Bike C"/>
    <x v="0"/>
    <n v="69"/>
    <n v="23"/>
    <x v="0"/>
    <x v="3"/>
    <x v="1"/>
    <s v="Expedited Rules"/>
    <n v="0"/>
    <n v="0"/>
    <x v="4"/>
    <s v=""/>
    <n v="1"/>
  </r>
  <r>
    <n v="1141"/>
    <s v="661 Pine St, CityC"/>
    <d v="2023-09-02T10:28:00"/>
    <x v="1"/>
    <x v="96"/>
    <s v="Bike C"/>
    <x v="0"/>
    <n v="126"/>
    <n v="19"/>
    <x v="0"/>
    <x v="3"/>
    <x v="1"/>
    <s v="Expedited Rules"/>
    <n v="0"/>
    <n v="0"/>
    <x v="4"/>
    <s v=""/>
    <n v="1"/>
  </r>
  <r>
    <n v="1144"/>
    <s v="628 Oak St, CityC"/>
    <d v="2023-09-08T16:58:00"/>
    <x v="1"/>
    <x v="28"/>
    <s v="Bike C"/>
    <x v="2"/>
    <n v="215"/>
    <n v="24"/>
    <x v="1"/>
    <x v="1"/>
    <x v="1"/>
    <s v="Expedited Rules"/>
    <n v="0"/>
    <n v="0"/>
    <x v="5"/>
    <s v=""/>
    <n v="1"/>
  </r>
  <r>
    <n v="1149"/>
    <s v="987 Pine St, CityC"/>
    <d v="2023-09-01T14:46:00"/>
    <x v="0"/>
    <x v="99"/>
    <s v="Bike C"/>
    <x v="1"/>
    <n v="64"/>
    <n v="25"/>
    <x v="2"/>
    <x v="0"/>
    <x v="1"/>
    <s v="Custom Rules"/>
    <n v="0"/>
    <n v="1"/>
    <x v="6"/>
    <n v="812"/>
    <n v="1"/>
  </r>
  <r>
    <n v="1154"/>
    <s v="728 Cedar St, CityB"/>
    <d v="2023-09-04T13:43:00"/>
    <x v="0"/>
    <x v="77"/>
    <s v="Bike C"/>
    <x v="1"/>
    <n v="215"/>
    <n v="12"/>
    <x v="1"/>
    <x v="1"/>
    <x v="1"/>
    <s v="Expedited Rules"/>
    <n v="0"/>
    <n v="0"/>
    <x v="2"/>
    <n v="809"/>
    <n v="1"/>
  </r>
  <r>
    <n v="1155"/>
    <s v="412 Elm St, CityC"/>
    <d v="2023-09-06T13:42:00"/>
    <x v="0"/>
    <x v="65"/>
    <s v="Bike C"/>
    <x v="4"/>
    <n v="165"/>
    <n v="15"/>
    <x v="1"/>
    <x v="4"/>
    <x v="1"/>
    <s v="Standard Rules"/>
    <n v="0"/>
    <n v="0"/>
    <x v="1"/>
    <n v="807"/>
    <n v="1"/>
  </r>
  <r>
    <n v="1159"/>
    <s v="976 Pine St, CityD"/>
    <d v="2023-09-07T12:15:00"/>
    <x v="1"/>
    <x v="56"/>
    <s v="Bike C"/>
    <x v="1"/>
    <n v="197"/>
    <n v="22"/>
    <x v="0"/>
    <x v="4"/>
    <x v="1"/>
    <s v="Expedited Rules"/>
    <n v="0"/>
    <n v="0"/>
    <x v="3"/>
    <s v=""/>
    <n v="1"/>
  </r>
  <r>
    <n v="1168"/>
    <s v="403 Elm St, CityD"/>
    <d v="2023-09-01T16:12:00"/>
    <x v="1"/>
    <x v="76"/>
    <s v="Bike C"/>
    <x v="3"/>
    <n v="81"/>
    <n v="15"/>
    <x v="2"/>
    <x v="0"/>
    <x v="1"/>
    <s v="Standard Rules"/>
    <n v="0"/>
    <n v="1"/>
    <x v="6"/>
    <s v=""/>
    <n v="1"/>
  </r>
  <r>
    <n v="1175"/>
    <s v="25 Elm St, CityD"/>
    <d v="2023-09-03T09:13:00"/>
    <x v="0"/>
    <x v="84"/>
    <s v="Bike C"/>
    <x v="3"/>
    <n v="135"/>
    <n v="16"/>
    <x v="1"/>
    <x v="0"/>
    <x v="1"/>
    <s v="Standard Rules"/>
    <n v="0"/>
    <n v="0"/>
    <x v="0"/>
    <n v="810"/>
    <n v="1"/>
  </r>
  <r>
    <n v="1178"/>
    <s v="657 Pine St, CityE"/>
    <d v="2023-09-02T08:07:00"/>
    <x v="0"/>
    <x v="19"/>
    <s v="Bike C"/>
    <x v="1"/>
    <n v="204"/>
    <n v="20"/>
    <x v="0"/>
    <x v="2"/>
    <x v="1"/>
    <s v="Custom Rules"/>
    <n v="0"/>
    <n v="0"/>
    <x v="4"/>
    <n v="811"/>
    <n v="1"/>
  </r>
  <r>
    <n v="1183"/>
    <s v="544 Main St, CityA"/>
    <d v="2023-09-08T13:42:00"/>
    <x v="1"/>
    <x v="53"/>
    <s v="Bike C"/>
    <x v="2"/>
    <n v="203"/>
    <n v="3"/>
    <x v="1"/>
    <x v="4"/>
    <x v="1"/>
    <s v="Expedited Rules"/>
    <n v="0"/>
    <n v="0"/>
    <x v="5"/>
    <s v=""/>
    <n v="1"/>
  </r>
  <r>
    <n v="1187"/>
    <s v="954 Oak St, CityB"/>
    <d v="2023-09-01T11:34:00"/>
    <x v="0"/>
    <x v="14"/>
    <s v="Bike C"/>
    <x v="0"/>
    <n v="219"/>
    <n v="25"/>
    <x v="2"/>
    <x v="2"/>
    <x v="1"/>
    <s v="Standard Rules"/>
    <n v="0"/>
    <n v="1"/>
    <x v="6"/>
    <n v="812"/>
    <n v="1"/>
  </r>
  <r>
    <n v="1193"/>
    <s v="311 Main St, CityE"/>
    <d v="2023-09-06T16:08:00"/>
    <x v="1"/>
    <x v="16"/>
    <s v="Bike C"/>
    <x v="3"/>
    <n v="233"/>
    <n v="5"/>
    <x v="0"/>
    <x v="2"/>
    <x v="1"/>
    <s v="Expedited Rules"/>
    <n v="0"/>
    <n v="0"/>
    <x v="1"/>
    <s v=""/>
    <n v="1"/>
  </r>
  <r>
    <n v="1213"/>
    <s v="114 Elm St, CityC"/>
    <d v="2023-09-08T15:14:00"/>
    <x v="0"/>
    <x v="1"/>
    <s v="Bike C"/>
    <x v="4"/>
    <n v="129"/>
    <n v="5"/>
    <x v="2"/>
    <x v="1"/>
    <x v="1"/>
    <s v="Custom Rules"/>
    <n v="0"/>
    <n v="1"/>
    <x v="5"/>
    <n v="805"/>
    <n v="1"/>
  </r>
  <r>
    <n v="1215"/>
    <s v="618 Pine St, CityA"/>
    <d v="2023-09-02T08:28:00"/>
    <x v="1"/>
    <x v="48"/>
    <s v="Bike C"/>
    <x v="1"/>
    <n v="162"/>
    <n v="25"/>
    <x v="2"/>
    <x v="4"/>
    <x v="1"/>
    <s v="Custom Rules"/>
    <n v="0"/>
    <n v="1"/>
    <x v="4"/>
    <s v=""/>
    <n v="1"/>
  </r>
  <r>
    <n v="1248"/>
    <s v="647 Oak St, CityA"/>
    <d v="2023-09-04T08:29:00"/>
    <x v="0"/>
    <x v="54"/>
    <s v="Bike C"/>
    <x v="4"/>
    <n v="175"/>
    <n v="20"/>
    <x v="0"/>
    <x v="2"/>
    <x v="1"/>
    <s v="Custom Rules"/>
    <n v="0"/>
    <n v="0"/>
    <x v="2"/>
    <n v="809"/>
    <n v="1"/>
  </r>
  <r>
    <n v="1266"/>
    <s v="167 Pine St, CityE"/>
    <d v="2023-09-07T08:17:00"/>
    <x v="0"/>
    <x v="44"/>
    <s v="Bike C"/>
    <x v="3"/>
    <n v="225"/>
    <n v="4"/>
    <x v="0"/>
    <x v="0"/>
    <x v="1"/>
    <s v="Standard Rules"/>
    <n v="0"/>
    <n v="0"/>
    <x v="3"/>
    <n v="806"/>
    <n v="1"/>
  </r>
  <r>
    <n v="1277"/>
    <s v="763 Main St, CityC"/>
    <d v="2023-09-01T08:16:00"/>
    <x v="1"/>
    <x v="67"/>
    <s v="Bike C"/>
    <x v="4"/>
    <n v="149"/>
    <n v="26"/>
    <x v="1"/>
    <x v="3"/>
    <x v="1"/>
    <s v="Custom Rules"/>
    <n v="0"/>
    <n v="0"/>
    <x v="6"/>
    <s v=""/>
    <n v="1"/>
  </r>
  <r>
    <n v="1282"/>
    <s v="512 Oak St, CityD"/>
    <d v="2023-09-07T09:52:00"/>
    <x v="0"/>
    <x v="7"/>
    <s v="Bike C"/>
    <x v="1"/>
    <n v="102"/>
    <n v="3"/>
    <x v="0"/>
    <x v="3"/>
    <x v="1"/>
    <s v="Expedited Rules"/>
    <n v="0"/>
    <n v="0"/>
    <x v="3"/>
    <n v="806"/>
    <n v="1"/>
  </r>
  <r>
    <n v="1312"/>
    <s v="646 Oak St, CityE"/>
    <d v="2023-09-01T15:59:00"/>
    <x v="0"/>
    <x v="2"/>
    <s v="Bike C"/>
    <x v="1"/>
    <n v="69"/>
    <n v="20"/>
    <x v="1"/>
    <x v="4"/>
    <x v="1"/>
    <s v="Expedited Rules"/>
    <n v="0"/>
    <n v="0"/>
    <x v="6"/>
    <n v="812"/>
    <n v="1"/>
  </r>
  <r>
    <n v="1316"/>
    <s v="827 Elm St, CityC"/>
    <d v="2023-09-02T15:42:00"/>
    <x v="1"/>
    <x v="34"/>
    <s v="Bike C"/>
    <x v="1"/>
    <n v="193"/>
    <n v="3"/>
    <x v="0"/>
    <x v="0"/>
    <x v="1"/>
    <s v="Expedited Rules"/>
    <n v="0"/>
    <n v="0"/>
    <x v="4"/>
    <s v=""/>
    <n v="1"/>
  </r>
  <r>
    <n v="1317"/>
    <s v="579 Pine St, CityA"/>
    <d v="2023-09-04T10:53:00"/>
    <x v="0"/>
    <x v="66"/>
    <s v="Bike C"/>
    <x v="2"/>
    <n v="176"/>
    <n v="27"/>
    <x v="1"/>
    <x v="2"/>
    <x v="1"/>
    <s v="Standard Rules"/>
    <n v="0"/>
    <n v="0"/>
    <x v="2"/>
    <n v="809"/>
    <n v="1"/>
  </r>
  <r>
    <n v="1319"/>
    <s v="428 Elm St, CityB"/>
    <d v="2023-09-07T12:38:00"/>
    <x v="1"/>
    <x v="78"/>
    <s v="Bike C"/>
    <x v="1"/>
    <n v="197"/>
    <n v="25"/>
    <x v="2"/>
    <x v="3"/>
    <x v="1"/>
    <s v="Expedited Rules"/>
    <n v="0"/>
    <n v="1"/>
    <x v="3"/>
    <s v=""/>
    <n v="1"/>
  </r>
  <r>
    <n v="1322"/>
    <s v="806 Oak St, CityE"/>
    <d v="2023-09-03T12:50:00"/>
    <x v="1"/>
    <x v="17"/>
    <s v="Bike C"/>
    <x v="0"/>
    <n v="76"/>
    <n v="26"/>
    <x v="2"/>
    <x v="2"/>
    <x v="1"/>
    <s v="Standard Rules"/>
    <n v="0"/>
    <n v="1"/>
    <x v="0"/>
    <s v=""/>
    <n v="1"/>
  </r>
  <r>
    <n v="1332"/>
    <s v="330 Main St, CityE"/>
    <d v="2023-09-05T10:31:00"/>
    <x v="0"/>
    <x v="58"/>
    <s v="Bike C"/>
    <x v="2"/>
    <n v="90"/>
    <n v="9"/>
    <x v="2"/>
    <x v="0"/>
    <x v="1"/>
    <s v="Custom Rules"/>
    <n v="0"/>
    <n v="1"/>
    <x v="7"/>
    <n v="808"/>
    <n v="1"/>
  </r>
  <r>
    <n v="1339"/>
    <s v="336 Oak St, CityE"/>
    <d v="2023-09-04T14:34:00"/>
    <x v="1"/>
    <x v="72"/>
    <s v="Bike C"/>
    <x v="3"/>
    <n v="149"/>
    <n v="7"/>
    <x v="1"/>
    <x v="3"/>
    <x v="1"/>
    <s v="Custom Rules"/>
    <n v="0"/>
    <n v="0"/>
    <x v="2"/>
    <s v=""/>
    <n v="1"/>
  </r>
  <r>
    <n v="1345"/>
    <s v="620 Main St, CityC"/>
    <d v="2023-09-03T09:24:00"/>
    <x v="0"/>
    <x v="88"/>
    <s v="Bike C"/>
    <x v="1"/>
    <n v="203"/>
    <n v="1"/>
    <x v="1"/>
    <x v="2"/>
    <x v="1"/>
    <s v="Custom Rules"/>
    <n v="0"/>
    <n v="0"/>
    <x v="0"/>
    <n v="810"/>
    <n v="1"/>
  </r>
  <r>
    <n v="1356"/>
    <s v="777 Oak St, CityA"/>
    <d v="2023-09-05T09:05:00"/>
    <x v="0"/>
    <x v="99"/>
    <s v="Bike C"/>
    <x v="3"/>
    <n v="81"/>
    <n v="3"/>
    <x v="1"/>
    <x v="1"/>
    <x v="1"/>
    <s v="Expedited Rules"/>
    <n v="0"/>
    <n v="0"/>
    <x v="7"/>
    <n v="808"/>
    <n v="1"/>
  </r>
  <r>
    <n v="1359"/>
    <s v="465 Oak St, CityB"/>
    <d v="2023-09-07T11:45:00"/>
    <x v="1"/>
    <x v="22"/>
    <s v="Bike C"/>
    <x v="2"/>
    <n v="164"/>
    <n v="1"/>
    <x v="2"/>
    <x v="4"/>
    <x v="1"/>
    <s v="Standard Rules"/>
    <n v="0"/>
    <n v="1"/>
    <x v="3"/>
    <s v=""/>
    <n v="1"/>
  </r>
  <r>
    <n v="1368"/>
    <s v="332 Cedar St, CityE"/>
    <d v="2023-09-02T12:07:00"/>
    <x v="1"/>
    <x v="46"/>
    <s v="Bike C"/>
    <x v="0"/>
    <n v="101"/>
    <n v="25"/>
    <x v="1"/>
    <x v="1"/>
    <x v="1"/>
    <s v="Standard Rules"/>
    <n v="0"/>
    <n v="0"/>
    <x v="4"/>
    <s v=""/>
    <n v="1"/>
  </r>
  <r>
    <n v="1372"/>
    <s v="156 Main St, CityE"/>
    <d v="2023-09-02T14:54:00"/>
    <x v="1"/>
    <x v="6"/>
    <s v="Bike C"/>
    <x v="2"/>
    <n v="188"/>
    <n v="15"/>
    <x v="2"/>
    <x v="2"/>
    <x v="1"/>
    <s v="Expedited Rules"/>
    <n v="0"/>
    <n v="1"/>
    <x v="4"/>
    <s v=""/>
    <n v="1"/>
  </r>
  <r>
    <n v="1378"/>
    <s v="538 Pine St, CityD"/>
    <d v="2023-09-02T09:17:00"/>
    <x v="1"/>
    <x v="0"/>
    <s v="Bike C"/>
    <x v="3"/>
    <n v="134"/>
    <n v="16"/>
    <x v="2"/>
    <x v="1"/>
    <x v="1"/>
    <s v="Expedited Rules"/>
    <n v="0"/>
    <n v="1"/>
    <x v="4"/>
    <s v=""/>
    <n v="1"/>
  </r>
  <r>
    <n v="1380"/>
    <s v="843 Main St, CityB"/>
    <d v="2023-09-02T16:54:00"/>
    <x v="0"/>
    <x v="38"/>
    <s v="Bike C"/>
    <x v="0"/>
    <n v="162"/>
    <n v="28"/>
    <x v="0"/>
    <x v="1"/>
    <x v="1"/>
    <s v="Expedited Rules"/>
    <n v="0"/>
    <n v="0"/>
    <x v="4"/>
    <n v="811"/>
    <n v="1"/>
  </r>
  <r>
    <n v="1404"/>
    <s v="335 Oak St, CityD"/>
    <d v="2023-09-05T10:03:00"/>
    <x v="0"/>
    <x v="42"/>
    <s v="Bike C"/>
    <x v="0"/>
    <n v="203"/>
    <n v="7"/>
    <x v="1"/>
    <x v="0"/>
    <x v="1"/>
    <s v="Standard Rules"/>
    <n v="0"/>
    <n v="0"/>
    <x v="7"/>
    <n v="808"/>
    <n v="1"/>
  </r>
  <r>
    <n v="1436"/>
    <s v="468 Elm St, CityA"/>
    <d v="2023-09-01T08:00:00"/>
    <x v="1"/>
    <x v="58"/>
    <s v="Bike C"/>
    <x v="3"/>
    <n v="212"/>
    <n v="20"/>
    <x v="0"/>
    <x v="1"/>
    <x v="1"/>
    <s v="Standard Rules"/>
    <n v="0"/>
    <n v="0"/>
    <x v="6"/>
    <s v=""/>
    <n v="1"/>
  </r>
  <r>
    <n v="1440"/>
    <s v="891 Cedar St, CityE"/>
    <d v="2023-09-06T09:11:00"/>
    <x v="1"/>
    <x v="18"/>
    <s v="Bike C"/>
    <x v="2"/>
    <n v="107"/>
    <n v="9"/>
    <x v="0"/>
    <x v="2"/>
    <x v="1"/>
    <s v="Expedited Rules"/>
    <n v="0"/>
    <n v="0"/>
    <x v="1"/>
    <s v=""/>
    <n v="1"/>
  </r>
  <r>
    <n v="1447"/>
    <s v="180 Main St, CityE"/>
    <d v="2023-09-04T16:16:00"/>
    <x v="0"/>
    <x v="60"/>
    <s v="Bike C"/>
    <x v="0"/>
    <n v="170"/>
    <n v="13"/>
    <x v="1"/>
    <x v="1"/>
    <x v="1"/>
    <s v="Standard Rules"/>
    <n v="0"/>
    <n v="0"/>
    <x v="2"/>
    <n v="809"/>
    <n v="1"/>
  </r>
  <r>
    <n v="1460"/>
    <s v="558 Elm St, CityC"/>
    <d v="2023-09-03T13:47:00"/>
    <x v="1"/>
    <x v="9"/>
    <s v="Bike C"/>
    <x v="4"/>
    <n v="60"/>
    <n v="21"/>
    <x v="0"/>
    <x v="0"/>
    <x v="1"/>
    <s v="Custom Rules"/>
    <n v="0"/>
    <n v="0"/>
    <x v="0"/>
    <s v=""/>
    <n v="1"/>
  </r>
  <r>
    <n v="1468"/>
    <s v="418 Oak St, CityD"/>
    <d v="2023-09-03T10:31:00"/>
    <x v="0"/>
    <x v="42"/>
    <s v="Bike C"/>
    <x v="4"/>
    <n v="78"/>
    <n v="15"/>
    <x v="2"/>
    <x v="3"/>
    <x v="1"/>
    <s v="Standard Rules"/>
    <n v="0"/>
    <n v="1"/>
    <x v="0"/>
    <n v="810"/>
    <n v="1"/>
  </r>
  <r>
    <n v="1477"/>
    <s v="836 Elm St, CityD"/>
    <d v="2023-09-04T12:39:00"/>
    <x v="0"/>
    <x v="18"/>
    <s v="Bike C"/>
    <x v="2"/>
    <n v="178"/>
    <n v="25"/>
    <x v="0"/>
    <x v="3"/>
    <x v="1"/>
    <s v="Standard Rules"/>
    <n v="0"/>
    <n v="0"/>
    <x v="2"/>
    <n v="809"/>
    <n v="1"/>
  </r>
  <r>
    <n v="1484"/>
    <s v="120 Oak St, CityC"/>
    <d v="2023-09-05T12:16:00"/>
    <x v="0"/>
    <x v="58"/>
    <s v="Bike C"/>
    <x v="4"/>
    <n v="89"/>
    <n v="28"/>
    <x v="0"/>
    <x v="2"/>
    <x v="1"/>
    <s v="Expedited Rules"/>
    <n v="0"/>
    <n v="0"/>
    <x v="7"/>
    <n v="808"/>
    <n v="1"/>
  </r>
  <r>
    <n v="1485"/>
    <s v="562 Pine St, CityE"/>
    <d v="2023-09-05T13:16:00"/>
    <x v="1"/>
    <x v="73"/>
    <s v="Bike C"/>
    <x v="2"/>
    <n v="183"/>
    <n v="15"/>
    <x v="2"/>
    <x v="0"/>
    <x v="1"/>
    <s v="Standard Rules"/>
    <n v="0"/>
    <n v="1"/>
    <x v="7"/>
    <s v=""/>
    <n v="1"/>
  </r>
  <r>
    <n v="1490"/>
    <s v="855 Elm St, CityA"/>
    <d v="2023-09-06T08:41:00"/>
    <x v="1"/>
    <x v="81"/>
    <s v="Bike C"/>
    <x v="4"/>
    <n v="190"/>
    <n v="12"/>
    <x v="2"/>
    <x v="4"/>
    <x v="1"/>
    <s v="Standard Rules"/>
    <n v="0"/>
    <n v="1"/>
    <x v="1"/>
    <s v=""/>
    <n v="1"/>
  </r>
  <r>
    <n v="1505"/>
    <s v="635 Cedar St, CityD"/>
    <d v="2023-09-04T16:41:00"/>
    <x v="1"/>
    <x v="27"/>
    <s v="Bike C"/>
    <x v="3"/>
    <n v="77"/>
    <n v="5"/>
    <x v="2"/>
    <x v="4"/>
    <x v="1"/>
    <s v="Expedited Rules"/>
    <n v="0"/>
    <n v="1"/>
    <x v="2"/>
    <s v=""/>
    <n v="1"/>
  </r>
  <r>
    <n v="1519"/>
    <s v="389 Oak St, CityB"/>
    <d v="2023-09-08T16:53:00"/>
    <x v="0"/>
    <x v="71"/>
    <s v="Bike C"/>
    <x v="0"/>
    <n v="172"/>
    <n v="27"/>
    <x v="2"/>
    <x v="0"/>
    <x v="1"/>
    <s v="Custom Rules"/>
    <n v="0"/>
    <n v="1"/>
    <x v="5"/>
    <n v="805"/>
    <n v="1"/>
  </r>
  <r>
    <n v="1523"/>
    <s v="629 Pine St, CityA"/>
    <d v="2023-09-01T09:18:00"/>
    <x v="0"/>
    <x v="41"/>
    <s v="Bike C"/>
    <x v="0"/>
    <n v="100"/>
    <n v="22"/>
    <x v="2"/>
    <x v="2"/>
    <x v="1"/>
    <s v="Standard Rules"/>
    <n v="0"/>
    <n v="1"/>
    <x v="6"/>
    <n v="812"/>
    <n v="1"/>
  </r>
  <r>
    <n v="1526"/>
    <s v="456 Main St, CityE"/>
    <d v="2023-09-01T09:37:00"/>
    <x v="0"/>
    <x v="77"/>
    <s v="Bike C"/>
    <x v="3"/>
    <n v="230"/>
    <n v="11"/>
    <x v="1"/>
    <x v="1"/>
    <x v="1"/>
    <s v="Custom Rules"/>
    <n v="0"/>
    <n v="0"/>
    <x v="6"/>
    <n v="812"/>
    <n v="1"/>
  </r>
  <r>
    <n v="1532"/>
    <s v="179 Pine St, CityC"/>
    <d v="2023-09-01T11:46:00"/>
    <x v="0"/>
    <x v="86"/>
    <s v="Bike C"/>
    <x v="3"/>
    <n v="78"/>
    <n v="7"/>
    <x v="2"/>
    <x v="2"/>
    <x v="1"/>
    <s v="Standard Rules"/>
    <n v="0"/>
    <n v="1"/>
    <x v="6"/>
    <n v="812"/>
    <n v="1"/>
  </r>
  <r>
    <n v="1537"/>
    <s v="494 Pine St, CityB"/>
    <d v="2023-09-01T13:01:00"/>
    <x v="1"/>
    <x v="81"/>
    <s v="Bike C"/>
    <x v="0"/>
    <n v="195"/>
    <n v="23"/>
    <x v="0"/>
    <x v="4"/>
    <x v="1"/>
    <s v="Custom Rules"/>
    <n v="0"/>
    <n v="0"/>
    <x v="6"/>
    <s v=""/>
    <n v="1"/>
  </r>
  <r>
    <n v="1541"/>
    <s v="349 Cedar St, CityD"/>
    <d v="2023-09-02T13:19:00"/>
    <x v="0"/>
    <x v="85"/>
    <s v="Bike C"/>
    <x v="2"/>
    <n v="138"/>
    <n v="3"/>
    <x v="0"/>
    <x v="0"/>
    <x v="1"/>
    <s v="Standard Rules"/>
    <n v="0"/>
    <n v="0"/>
    <x v="4"/>
    <n v="811"/>
    <n v="1"/>
  </r>
  <r>
    <n v="1544"/>
    <s v="136 Cedar St, CityE"/>
    <d v="2023-09-02T16:20:00"/>
    <x v="1"/>
    <x v="61"/>
    <s v="Bike C"/>
    <x v="4"/>
    <n v="179"/>
    <n v="9"/>
    <x v="1"/>
    <x v="1"/>
    <x v="1"/>
    <s v="Standard Rules"/>
    <n v="0"/>
    <n v="0"/>
    <x v="4"/>
    <s v=""/>
    <n v="1"/>
  </r>
  <r>
    <n v="1550"/>
    <s v="286 Pine St, CityE"/>
    <d v="2023-09-07T14:34:00"/>
    <x v="1"/>
    <x v="19"/>
    <s v="Bike C"/>
    <x v="0"/>
    <n v="72"/>
    <n v="26"/>
    <x v="2"/>
    <x v="3"/>
    <x v="1"/>
    <s v="Expedited Rules"/>
    <n v="0"/>
    <n v="1"/>
    <x v="3"/>
    <s v=""/>
    <n v="1"/>
  </r>
  <r>
    <n v="1553"/>
    <s v="899 Oak St, CityD"/>
    <d v="2023-09-02T16:27:00"/>
    <x v="1"/>
    <x v="34"/>
    <s v="Bike C"/>
    <x v="2"/>
    <n v="187"/>
    <n v="2"/>
    <x v="1"/>
    <x v="0"/>
    <x v="1"/>
    <s v="Custom Rules"/>
    <n v="0"/>
    <n v="0"/>
    <x v="4"/>
    <s v=""/>
    <n v="1"/>
  </r>
  <r>
    <n v="1566"/>
    <s v="808 Main St, CityA"/>
    <d v="2023-09-08T09:50:00"/>
    <x v="0"/>
    <x v="68"/>
    <s v="Bike C"/>
    <x v="0"/>
    <n v="75"/>
    <n v="20"/>
    <x v="0"/>
    <x v="1"/>
    <x v="1"/>
    <s v="Standard Rules"/>
    <n v="0"/>
    <n v="0"/>
    <x v="5"/>
    <n v="805"/>
    <n v="1"/>
  </r>
  <r>
    <n v="1571"/>
    <s v="821 Elm St, CityB"/>
    <d v="2023-09-03T14:38:00"/>
    <x v="1"/>
    <x v="0"/>
    <s v="Bike C"/>
    <x v="0"/>
    <n v="208"/>
    <n v="7"/>
    <x v="2"/>
    <x v="2"/>
    <x v="1"/>
    <s v="Expedited Rules"/>
    <n v="0"/>
    <n v="1"/>
    <x v="0"/>
    <s v=""/>
    <n v="1"/>
  </r>
  <r>
    <n v="1576"/>
    <s v="150 Elm St, CityE"/>
    <d v="2023-09-02T15:21:00"/>
    <x v="0"/>
    <x v="96"/>
    <s v="Bike C"/>
    <x v="1"/>
    <n v="230"/>
    <n v="25"/>
    <x v="2"/>
    <x v="0"/>
    <x v="1"/>
    <s v="Custom Rules"/>
    <n v="0"/>
    <n v="1"/>
    <x v="4"/>
    <n v="811"/>
    <n v="1"/>
  </r>
  <r>
    <n v="1581"/>
    <s v="848 Oak St, CityD"/>
    <d v="2023-09-07T08:20:00"/>
    <x v="1"/>
    <x v="93"/>
    <s v="Bike C"/>
    <x v="2"/>
    <n v="76"/>
    <n v="10"/>
    <x v="2"/>
    <x v="4"/>
    <x v="1"/>
    <s v="Custom Rules"/>
    <n v="0"/>
    <n v="1"/>
    <x v="3"/>
    <s v=""/>
    <n v="1"/>
  </r>
  <r>
    <n v="1582"/>
    <s v="62 Pine St, CityA"/>
    <d v="2023-09-01T16:08:00"/>
    <x v="1"/>
    <x v="25"/>
    <s v="Bike C"/>
    <x v="3"/>
    <n v="217"/>
    <n v="12"/>
    <x v="0"/>
    <x v="3"/>
    <x v="1"/>
    <s v="Custom Rules"/>
    <n v="0"/>
    <n v="0"/>
    <x v="6"/>
    <s v=""/>
    <n v="1"/>
  </r>
  <r>
    <n v="1591"/>
    <s v="444 Cedar St, CityA"/>
    <d v="2023-09-03T10:32:00"/>
    <x v="0"/>
    <x v="96"/>
    <s v="Bike C"/>
    <x v="2"/>
    <n v="237"/>
    <n v="8"/>
    <x v="0"/>
    <x v="1"/>
    <x v="1"/>
    <s v="Custom Rules"/>
    <n v="0"/>
    <n v="0"/>
    <x v="0"/>
    <n v="810"/>
    <n v="1"/>
  </r>
  <r>
    <n v="1595"/>
    <s v="288 Pine St, CityC"/>
    <d v="2023-09-05T10:44:00"/>
    <x v="1"/>
    <x v="29"/>
    <s v="Bike C"/>
    <x v="2"/>
    <n v="135"/>
    <n v="27"/>
    <x v="0"/>
    <x v="0"/>
    <x v="1"/>
    <s v="Custom Rules"/>
    <n v="0"/>
    <n v="0"/>
    <x v="7"/>
    <s v=""/>
    <n v="1"/>
  </r>
  <r>
    <n v="1596"/>
    <s v="311 Cedar St, CityE"/>
    <d v="2023-09-02T15:15:00"/>
    <x v="0"/>
    <x v="88"/>
    <s v="Bike C"/>
    <x v="2"/>
    <n v="198"/>
    <n v="19"/>
    <x v="2"/>
    <x v="1"/>
    <x v="1"/>
    <s v="Standard Rules"/>
    <n v="0"/>
    <n v="1"/>
    <x v="4"/>
    <n v="811"/>
    <n v="1"/>
  </r>
  <r>
    <n v="1618"/>
    <s v="567 Oak St, CityB"/>
    <d v="2023-09-03T14:22:00"/>
    <x v="1"/>
    <x v="37"/>
    <s v="Bike C"/>
    <x v="3"/>
    <n v="215"/>
    <n v="6"/>
    <x v="0"/>
    <x v="2"/>
    <x v="1"/>
    <s v="Standard Rules"/>
    <n v="0"/>
    <n v="0"/>
    <x v="0"/>
    <s v=""/>
    <n v="1"/>
  </r>
  <r>
    <n v="1627"/>
    <s v="150 Oak St, CityE"/>
    <d v="2023-09-03T11:43:00"/>
    <x v="0"/>
    <x v="49"/>
    <s v="Bike C"/>
    <x v="3"/>
    <n v="223"/>
    <n v="19"/>
    <x v="2"/>
    <x v="3"/>
    <x v="1"/>
    <s v="Custom Rules"/>
    <n v="0"/>
    <n v="1"/>
    <x v="0"/>
    <n v="810"/>
    <n v="1"/>
  </r>
  <r>
    <n v="1629"/>
    <s v="990 Pine St, CityE"/>
    <d v="2023-09-06T11:56:00"/>
    <x v="0"/>
    <x v="54"/>
    <s v="Bike C"/>
    <x v="4"/>
    <n v="203"/>
    <n v="27"/>
    <x v="1"/>
    <x v="0"/>
    <x v="1"/>
    <s v="Expedited Rules"/>
    <n v="0"/>
    <n v="0"/>
    <x v="1"/>
    <n v="807"/>
    <n v="1"/>
  </r>
  <r>
    <n v="1647"/>
    <s v="640 Oak St, CityC"/>
    <d v="2023-09-06T13:05:00"/>
    <x v="0"/>
    <x v="55"/>
    <s v="Bike C"/>
    <x v="2"/>
    <n v="221"/>
    <n v="24"/>
    <x v="1"/>
    <x v="4"/>
    <x v="1"/>
    <s v="Expedited Rules"/>
    <n v="0"/>
    <n v="0"/>
    <x v="1"/>
    <n v="807"/>
    <n v="1"/>
  </r>
  <r>
    <n v="1649"/>
    <s v="226 Cedar St, CityE"/>
    <d v="2023-09-01T10:46:00"/>
    <x v="0"/>
    <x v="86"/>
    <s v="Bike C"/>
    <x v="2"/>
    <n v="156"/>
    <n v="22"/>
    <x v="0"/>
    <x v="0"/>
    <x v="1"/>
    <s v="Standard Rules"/>
    <n v="0"/>
    <n v="0"/>
    <x v="6"/>
    <n v="812"/>
    <n v="1"/>
  </r>
  <r>
    <n v="1650"/>
    <s v="585 Oak St, CityE"/>
    <d v="2023-09-06T08:34:00"/>
    <x v="0"/>
    <x v="69"/>
    <s v="Bike C"/>
    <x v="0"/>
    <n v="94"/>
    <n v="6"/>
    <x v="2"/>
    <x v="1"/>
    <x v="1"/>
    <s v="Custom Rules"/>
    <n v="0"/>
    <n v="1"/>
    <x v="1"/>
    <n v="807"/>
    <n v="1"/>
  </r>
  <r>
    <n v="1659"/>
    <s v="98 Elm St, CityD"/>
    <d v="2023-09-03T08:43:00"/>
    <x v="0"/>
    <x v="92"/>
    <s v="Bike C"/>
    <x v="3"/>
    <n v="208"/>
    <n v="13"/>
    <x v="0"/>
    <x v="4"/>
    <x v="1"/>
    <s v="Standard Rules"/>
    <n v="0"/>
    <n v="0"/>
    <x v="0"/>
    <n v="810"/>
    <n v="1"/>
  </r>
  <r>
    <n v="1667"/>
    <s v="103 Main St, CityD"/>
    <d v="2023-09-03T08:00:00"/>
    <x v="1"/>
    <x v="18"/>
    <s v="Bike C"/>
    <x v="3"/>
    <n v="80"/>
    <n v="19"/>
    <x v="2"/>
    <x v="2"/>
    <x v="1"/>
    <s v="Custom Rules"/>
    <n v="0"/>
    <n v="1"/>
    <x v="0"/>
    <s v=""/>
    <n v="1"/>
  </r>
  <r>
    <n v="1697"/>
    <s v="867 Main St, CityD"/>
    <d v="2023-09-02T16:03:00"/>
    <x v="1"/>
    <x v="73"/>
    <s v="Bike C"/>
    <x v="1"/>
    <n v="136"/>
    <n v="21"/>
    <x v="1"/>
    <x v="0"/>
    <x v="1"/>
    <s v="Expedited Rules"/>
    <n v="0"/>
    <n v="0"/>
    <x v="4"/>
    <s v=""/>
    <n v="1"/>
  </r>
  <r>
    <n v="1699"/>
    <s v="93 Elm St, CityA"/>
    <d v="2023-09-01T15:16:00"/>
    <x v="1"/>
    <x v="76"/>
    <s v="Bike C"/>
    <x v="2"/>
    <n v="230"/>
    <n v="24"/>
    <x v="1"/>
    <x v="0"/>
    <x v="1"/>
    <s v="Standard Rules"/>
    <n v="0"/>
    <n v="0"/>
    <x v="6"/>
    <s v=""/>
    <n v="1"/>
  </r>
  <r>
    <n v="1701"/>
    <s v="257 Main St, CityE"/>
    <d v="2023-09-04T10:45:00"/>
    <x v="0"/>
    <x v="38"/>
    <s v="Bike C"/>
    <x v="3"/>
    <n v="201"/>
    <n v="3"/>
    <x v="0"/>
    <x v="1"/>
    <x v="1"/>
    <s v="Standard Rules"/>
    <n v="0"/>
    <n v="0"/>
    <x v="2"/>
    <n v="809"/>
    <n v="1"/>
  </r>
  <r>
    <n v="1706"/>
    <s v="420 Oak St, CityB"/>
    <d v="2023-09-03T14:48:00"/>
    <x v="1"/>
    <x v="25"/>
    <s v="Bike C"/>
    <x v="4"/>
    <n v="206"/>
    <n v="27"/>
    <x v="1"/>
    <x v="4"/>
    <x v="1"/>
    <s v="Expedited Rules"/>
    <n v="0"/>
    <n v="0"/>
    <x v="0"/>
    <s v=""/>
    <n v="1"/>
  </r>
  <r>
    <n v="1707"/>
    <s v="534 Main St, CityB"/>
    <d v="2023-09-01T13:20:00"/>
    <x v="1"/>
    <x v="91"/>
    <s v="Bike C"/>
    <x v="0"/>
    <n v="120"/>
    <n v="12"/>
    <x v="1"/>
    <x v="0"/>
    <x v="1"/>
    <s v="Expedited Rules"/>
    <n v="0"/>
    <n v="0"/>
    <x v="6"/>
    <s v=""/>
    <n v="1"/>
  </r>
  <r>
    <n v="1715"/>
    <s v="837 Elm St, CityE"/>
    <d v="2023-09-03T10:42:00"/>
    <x v="0"/>
    <x v="13"/>
    <s v="Bike C"/>
    <x v="2"/>
    <n v="192"/>
    <n v="7"/>
    <x v="1"/>
    <x v="0"/>
    <x v="1"/>
    <s v="Standard Rules"/>
    <n v="0"/>
    <n v="0"/>
    <x v="0"/>
    <n v="810"/>
    <n v="1"/>
  </r>
  <r>
    <n v="1726"/>
    <s v="588 Oak St, CityD"/>
    <d v="2023-09-06T08:18:00"/>
    <x v="1"/>
    <x v="40"/>
    <s v="Bike C"/>
    <x v="0"/>
    <n v="153"/>
    <n v="26"/>
    <x v="1"/>
    <x v="2"/>
    <x v="1"/>
    <s v="Custom Rules"/>
    <n v="0"/>
    <n v="0"/>
    <x v="1"/>
    <s v=""/>
    <n v="1"/>
  </r>
  <r>
    <n v="1729"/>
    <s v="166 Cedar St, CityA"/>
    <d v="2023-09-07T09:10:00"/>
    <x v="0"/>
    <x v="99"/>
    <s v="Bike C"/>
    <x v="4"/>
    <n v="206"/>
    <n v="20"/>
    <x v="1"/>
    <x v="2"/>
    <x v="1"/>
    <s v="Expedited Rules"/>
    <n v="0"/>
    <n v="0"/>
    <x v="3"/>
    <n v="806"/>
    <n v="1"/>
  </r>
  <r>
    <n v="1733"/>
    <s v="564 Cedar St, CityD"/>
    <d v="2023-09-03T08:56:00"/>
    <x v="1"/>
    <x v="64"/>
    <s v="Bike C"/>
    <x v="3"/>
    <n v="137"/>
    <n v="24"/>
    <x v="1"/>
    <x v="1"/>
    <x v="1"/>
    <s v="Expedited Rules"/>
    <n v="0"/>
    <n v="0"/>
    <x v="0"/>
    <s v=""/>
    <n v="1"/>
  </r>
  <r>
    <n v="1766"/>
    <s v="150 Cedar St, CityC"/>
    <d v="2023-09-08T12:17:00"/>
    <x v="1"/>
    <x v="49"/>
    <s v="Bike C"/>
    <x v="3"/>
    <n v="134"/>
    <n v="13"/>
    <x v="1"/>
    <x v="3"/>
    <x v="1"/>
    <s v="Custom Rules"/>
    <n v="0"/>
    <n v="0"/>
    <x v="5"/>
    <s v=""/>
    <n v="1"/>
  </r>
  <r>
    <n v="1774"/>
    <s v="127 Pine St, CityD"/>
    <d v="2023-09-03T11:54:00"/>
    <x v="1"/>
    <x v="4"/>
    <s v="Bike C"/>
    <x v="0"/>
    <n v="161"/>
    <n v="1"/>
    <x v="2"/>
    <x v="4"/>
    <x v="1"/>
    <s v="Custom Rules"/>
    <n v="0"/>
    <n v="1"/>
    <x v="0"/>
    <s v=""/>
    <n v="1"/>
  </r>
  <r>
    <n v="1789"/>
    <s v="68 Elm St, CityA"/>
    <d v="2023-09-02T14:43:00"/>
    <x v="0"/>
    <x v="75"/>
    <s v="Bike C"/>
    <x v="3"/>
    <n v="181"/>
    <n v="13"/>
    <x v="2"/>
    <x v="1"/>
    <x v="1"/>
    <s v="Custom Rules"/>
    <n v="0"/>
    <n v="1"/>
    <x v="4"/>
    <n v="811"/>
    <n v="1"/>
  </r>
  <r>
    <n v="1793"/>
    <s v="82 Pine St, CityC"/>
    <d v="2023-09-04T08:16:00"/>
    <x v="1"/>
    <x v="58"/>
    <s v="Bike C"/>
    <x v="0"/>
    <n v="65"/>
    <n v="6"/>
    <x v="0"/>
    <x v="2"/>
    <x v="1"/>
    <s v="Expedited Rules"/>
    <n v="0"/>
    <n v="0"/>
    <x v="2"/>
    <s v=""/>
    <n v="1"/>
  </r>
  <r>
    <n v="1795"/>
    <s v="979 Oak St, CityE"/>
    <d v="2023-09-07T09:39:00"/>
    <x v="1"/>
    <x v="98"/>
    <s v="Bike C"/>
    <x v="3"/>
    <n v="195"/>
    <n v="6"/>
    <x v="0"/>
    <x v="0"/>
    <x v="1"/>
    <s v="Standard Rules"/>
    <n v="0"/>
    <n v="0"/>
    <x v="3"/>
    <s v=""/>
    <n v="1"/>
  </r>
  <r>
    <n v="1819"/>
    <s v="342 Oak St, CityA"/>
    <d v="2023-09-06T13:41:00"/>
    <x v="0"/>
    <x v="51"/>
    <s v="Bike C"/>
    <x v="1"/>
    <n v="162"/>
    <n v="27"/>
    <x v="0"/>
    <x v="3"/>
    <x v="1"/>
    <s v="Expedited Rules"/>
    <n v="0"/>
    <n v="0"/>
    <x v="1"/>
    <n v="807"/>
    <n v="1"/>
  </r>
  <r>
    <n v="1825"/>
    <s v="345 Elm St, CityE"/>
    <d v="2023-09-02T12:58:00"/>
    <x v="0"/>
    <x v="12"/>
    <s v="Bike C"/>
    <x v="2"/>
    <n v="239"/>
    <n v="24"/>
    <x v="0"/>
    <x v="2"/>
    <x v="1"/>
    <s v="Custom Rules"/>
    <n v="0"/>
    <n v="0"/>
    <x v="4"/>
    <n v="811"/>
    <n v="1"/>
  </r>
  <r>
    <n v="1826"/>
    <s v="335 Cedar St, CityD"/>
    <d v="2023-09-04T14:16:00"/>
    <x v="0"/>
    <x v="17"/>
    <s v="Bike C"/>
    <x v="0"/>
    <n v="74"/>
    <n v="22"/>
    <x v="1"/>
    <x v="1"/>
    <x v="1"/>
    <s v="Expedited Rules"/>
    <n v="0"/>
    <n v="0"/>
    <x v="2"/>
    <n v="809"/>
    <n v="1"/>
  </r>
  <r>
    <n v="1847"/>
    <s v="509 Cedar St, CityB"/>
    <d v="2023-09-05T10:21:00"/>
    <x v="1"/>
    <x v="87"/>
    <s v="Bike C"/>
    <x v="2"/>
    <n v="187"/>
    <n v="28"/>
    <x v="1"/>
    <x v="4"/>
    <x v="1"/>
    <s v="Custom Rules"/>
    <n v="0"/>
    <n v="0"/>
    <x v="7"/>
    <s v=""/>
    <n v="1"/>
  </r>
  <r>
    <n v="1855"/>
    <s v="247 Pine St, CityB"/>
    <d v="2023-09-08T11:00:00"/>
    <x v="1"/>
    <x v="84"/>
    <s v="Bike C"/>
    <x v="2"/>
    <n v="155"/>
    <n v="20"/>
    <x v="2"/>
    <x v="1"/>
    <x v="1"/>
    <s v="Expedited Rules"/>
    <n v="0"/>
    <n v="1"/>
    <x v="5"/>
    <s v=""/>
    <n v="1"/>
  </r>
  <r>
    <n v="1859"/>
    <s v="111 Pine St, CityB"/>
    <d v="2023-09-05T09:59:00"/>
    <x v="0"/>
    <x v="4"/>
    <s v="Bike C"/>
    <x v="0"/>
    <n v="215"/>
    <n v="13"/>
    <x v="0"/>
    <x v="2"/>
    <x v="1"/>
    <s v="Expedited Rules"/>
    <n v="0"/>
    <n v="0"/>
    <x v="7"/>
    <n v="808"/>
    <n v="1"/>
  </r>
  <r>
    <n v="1867"/>
    <s v="161 Pine St, CityB"/>
    <d v="2023-09-08T11:42:00"/>
    <x v="0"/>
    <x v="71"/>
    <s v="Bike C"/>
    <x v="3"/>
    <n v="186"/>
    <n v="15"/>
    <x v="0"/>
    <x v="4"/>
    <x v="1"/>
    <s v="Standard Rules"/>
    <n v="0"/>
    <n v="0"/>
    <x v="5"/>
    <n v="805"/>
    <n v="1"/>
  </r>
  <r>
    <n v="1873"/>
    <s v="764 Pine St, CityC"/>
    <d v="2023-09-05T09:58:00"/>
    <x v="0"/>
    <x v="80"/>
    <s v="Bike C"/>
    <x v="0"/>
    <n v="125"/>
    <n v="21"/>
    <x v="0"/>
    <x v="3"/>
    <x v="1"/>
    <s v="Custom Rules"/>
    <n v="0"/>
    <n v="0"/>
    <x v="7"/>
    <n v="808"/>
    <n v="1"/>
  </r>
  <r>
    <n v="1875"/>
    <s v="8 Elm St, CityC"/>
    <d v="2023-09-05T13:52:00"/>
    <x v="0"/>
    <x v="14"/>
    <s v="Bike C"/>
    <x v="3"/>
    <n v="188"/>
    <n v="8"/>
    <x v="2"/>
    <x v="4"/>
    <x v="1"/>
    <s v="Standard Rules"/>
    <n v="0"/>
    <n v="1"/>
    <x v="7"/>
    <n v="808"/>
    <n v="1"/>
  </r>
  <r>
    <n v="1885"/>
    <s v="108 Pine St, CityE"/>
    <d v="2023-09-04T14:12:00"/>
    <x v="0"/>
    <x v="85"/>
    <s v="Bike C"/>
    <x v="3"/>
    <n v="232"/>
    <n v="29"/>
    <x v="0"/>
    <x v="3"/>
    <x v="1"/>
    <s v="Custom Rules"/>
    <n v="0"/>
    <n v="0"/>
    <x v="2"/>
    <n v="809"/>
    <n v="1"/>
  </r>
  <r>
    <n v="1890"/>
    <s v="202 Pine St, CityA"/>
    <d v="2023-09-01T16:04:00"/>
    <x v="1"/>
    <x v="44"/>
    <s v="Bike C"/>
    <x v="3"/>
    <n v="180"/>
    <n v="7"/>
    <x v="2"/>
    <x v="4"/>
    <x v="1"/>
    <s v="Standard Rules"/>
    <n v="0"/>
    <n v="1"/>
    <x v="6"/>
    <s v=""/>
    <n v="1"/>
  </r>
  <r>
    <n v="1892"/>
    <s v="298 Cedar St, CityD"/>
    <d v="2023-09-03T08:01:00"/>
    <x v="1"/>
    <x v="5"/>
    <s v="Bike C"/>
    <x v="2"/>
    <n v="64"/>
    <n v="18"/>
    <x v="1"/>
    <x v="0"/>
    <x v="1"/>
    <s v="Custom Rules"/>
    <n v="0"/>
    <n v="0"/>
    <x v="0"/>
    <s v=""/>
    <n v="1"/>
  </r>
  <r>
    <n v="1896"/>
    <s v="850 Pine St, CityD"/>
    <d v="2023-09-07T11:07:00"/>
    <x v="0"/>
    <x v="15"/>
    <s v="Bike C"/>
    <x v="2"/>
    <n v="72"/>
    <n v="22"/>
    <x v="2"/>
    <x v="3"/>
    <x v="1"/>
    <s v="Standard Rules"/>
    <n v="0"/>
    <n v="1"/>
    <x v="3"/>
    <n v="806"/>
    <n v="1"/>
  </r>
  <r>
    <n v="1902"/>
    <s v="405 Oak St, CityA"/>
    <d v="2023-09-04T11:07:00"/>
    <x v="0"/>
    <x v="54"/>
    <s v="Bike C"/>
    <x v="1"/>
    <n v="158"/>
    <n v="24"/>
    <x v="1"/>
    <x v="1"/>
    <x v="1"/>
    <s v="Custom Rules"/>
    <n v="0"/>
    <n v="0"/>
    <x v="2"/>
    <n v="809"/>
    <n v="1"/>
  </r>
  <r>
    <n v="1914"/>
    <s v="744 Oak St, CityB"/>
    <d v="2023-09-06T08:18:00"/>
    <x v="1"/>
    <x v="39"/>
    <s v="Bike C"/>
    <x v="0"/>
    <n v="72"/>
    <n v="25"/>
    <x v="1"/>
    <x v="4"/>
    <x v="1"/>
    <s v="Expedited Rules"/>
    <n v="0"/>
    <n v="0"/>
    <x v="1"/>
    <s v=""/>
    <n v="1"/>
  </r>
  <r>
    <n v="1916"/>
    <s v="702 Pine St, CityA"/>
    <d v="2023-09-03T13:14:00"/>
    <x v="0"/>
    <x v="81"/>
    <s v="Bike C"/>
    <x v="3"/>
    <n v="194"/>
    <n v="12"/>
    <x v="2"/>
    <x v="1"/>
    <x v="1"/>
    <s v="Custom Rules"/>
    <n v="0"/>
    <n v="1"/>
    <x v="0"/>
    <n v="810"/>
    <n v="1"/>
  </r>
  <r>
    <n v="1930"/>
    <s v="477 Cedar St, CityA"/>
    <d v="2023-09-08T09:54:00"/>
    <x v="0"/>
    <x v="27"/>
    <s v="Bike C"/>
    <x v="0"/>
    <n v="232"/>
    <n v="24"/>
    <x v="1"/>
    <x v="4"/>
    <x v="1"/>
    <s v="Standard Rules"/>
    <n v="0"/>
    <n v="0"/>
    <x v="5"/>
    <n v="805"/>
    <n v="1"/>
  </r>
  <r>
    <n v="1941"/>
    <s v="349 Pine St, CityD"/>
    <d v="2023-09-06T10:11:00"/>
    <x v="1"/>
    <x v="97"/>
    <s v="Bike C"/>
    <x v="4"/>
    <n v="115"/>
    <n v="16"/>
    <x v="2"/>
    <x v="4"/>
    <x v="1"/>
    <s v="Standard Rules"/>
    <n v="0"/>
    <n v="1"/>
    <x v="1"/>
    <s v=""/>
    <n v="1"/>
  </r>
  <r>
    <n v="1944"/>
    <s v="636 Pine St, CityE"/>
    <d v="2023-09-01T11:23:00"/>
    <x v="0"/>
    <x v="82"/>
    <s v="Bike C"/>
    <x v="1"/>
    <n v="91"/>
    <n v="19"/>
    <x v="1"/>
    <x v="4"/>
    <x v="1"/>
    <s v="Custom Rules"/>
    <n v="0"/>
    <n v="0"/>
    <x v="6"/>
    <n v="812"/>
    <n v="1"/>
  </r>
  <r>
    <n v="1961"/>
    <s v="252 Oak St, CityE"/>
    <d v="2023-09-02T13:16:00"/>
    <x v="1"/>
    <x v="38"/>
    <s v="Bike C"/>
    <x v="1"/>
    <n v="208"/>
    <n v="20"/>
    <x v="1"/>
    <x v="0"/>
    <x v="1"/>
    <s v="Custom Rules"/>
    <n v="0"/>
    <n v="0"/>
    <x v="4"/>
    <s v=""/>
    <n v="1"/>
  </r>
  <r>
    <n v="1963"/>
    <s v="40 Main St, CityA"/>
    <d v="2023-09-07T13:05:00"/>
    <x v="0"/>
    <x v="51"/>
    <s v="Bike C"/>
    <x v="4"/>
    <n v="230"/>
    <n v="21"/>
    <x v="1"/>
    <x v="0"/>
    <x v="1"/>
    <s v="Standard Rules"/>
    <n v="0"/>
    <n v="0"/>
    <x v="3"/>
    <n v="806"/>
    <n v="1"/>
  </r>
  <r>
    <n v="1968"/>
    <s v="999 Cedar St, CityC"/>
    <d v="2023-09-08T13:28:00"/>
    <x v="1"/>
    <x v="38"/>
    <s v="Bike C"/>
    <x v="0"/>
    <n v="141"/>
    <n v="2"/>
    <x v="0"/>
    <x v="2"/>
    <x v="1"/>
    <s v="Standard Rules"/>
    <n v="0"/>
    <n v="0"/>
    <x v="5"/>
    <s v=""/>
    <n v="1"/>
  </r>
  <r>
    <n v="1973"/>
    <s v="891 Elm St, CityE"/>
    <d v="2023-09-08T08:04:00"/>
    <x v="1"/>
    <x v="70"/>
    <s v="Bike C"/>
    <x v="1"/>
    <n v="170"/>
    <n v="1"/>
    <x v="2"/>
    <x v="1"/>
    <x v="1"/>
    <s v="Custom Rules"/>
    <n v="0"/>
    <n v="1"/>
    <x v="5"/>
    <s v=""/>
    <n v="1"/>
  </r>
  <r>
    <n v="1974"/>
    <s v="618 Cedar St, CityA"/>
    <d v="2023-09-02T09:08:00"/>
    <x v="0"/>
    <x v="7"/>
    <s v="Bike C"/>
    <x v="3"/>
    <n v="90"/>
    <n v="24"/>
    <x v="2"/>
    <x v="3"/>
    <x v="1"/>
    <s v="Expedited Rules"/>
    <n v="0"/>
    <n v="1"/>
    <x v="4"/>
    <n v="811"/>
    <n v="1"/>
  </r>
  <r>
    <n v="1992"/>
    <s v="416 Cedar St, CityA"/>
    <d v="2023-09-02T10:14:00"/>
    <x v="1"/>
    <x v="22"/>
    <s v="Bike C"/>
    <x v="0"/>
    <n v="151"/>
    <n v="17"/>
    <x v="1"/>
    <x v="1"/>
    <x v="1"/>
    <s v="Expedited Rules"/>
    <n v="0"/>
    <n v="0"/>
    <x v="4"/>
    <s v=""/>
    <n v="1"/>
  </r>
  <r>
    <n v="1995"/>
    <s v="84 Oak St, CityB"/>
    <d v="2023-09-01T13:53:00"/>
    <x v="0"/>
    <x v="0"/>
    <s v="Bike C"/>
    <x v="4"/>
    <n v="172"/>
    <n v="29"/>
    <x v="0"/>
    <x v="3"/>
    <x v="1"/>
    <s v="Expedited Rules"/>
    <n v="0"/>
    <n v="0"/>
    <x v="6"/>
    <n v="812"/>
    <n v="1"/>
  </r>
  <r>
    <n v="2003"/>
    <s v="561 Elm St, CityA"/>
    <d v="2023-09-05T15:25:00"/>
    <x v="1"/>
    <x v="55"/>
    <s v="Bike C"/>
    <x v="1"/>
    <n v="158"/>
    <n v="16"/>
    <x v="1"/>
    <x v="3"/>
    <x v="1"/>
    <s v="Custom Rules"/>
    <n v="0"/>
    <n v="0"/>
    <x v="7"/>
    <s v=""/>
    <n v="1"/>
  </r>
  <r>
    <n v="2008"/>
    <s v="998 Cedar St, CityD"/>
    <d v="2023-09-01T14:44:00"/>
    <x v="0"/>
    <x v="71"/>
    <s v="Bike C"/>
    <x v="2"/>
    <n v="79"/>
    <n v="12"/>
    <x v="0"/>
    <x v="0"/>
    <x v="1"/>
    <s v="Standard Rules"/>
    <n v="0"/>
    <n v="0"/>
    <x v="6"/>
    <n v="812"/>
    <n v="1"/>
  </r>
  <r>
    <n v="2009"/>
    <s v="933 Cedar St, CityC"/>
    <d v="2023-09-06T12:54:00"/>
    <x v="0"/>
    <x v="63"/>
    <s v="Bike C"/>
    <x v="3"/>
    <n v="88"/>
    <n v="1"/>
    <x v="1"/>
    <x v="1"/>
    <x v="1"/>
    <s v="Expedited Rules"/>
    <n v="0"/>
    <n v="0"/>
    <x v="1"/>
    <n v="807"/>
    <n v="1"/>
  </r>
  <r>
    <n v="2017"/>
    <s v="991 Elm St, CityB"/>
    <d v="2023-09-07T10:36:00"/>
    <x v="0"/>
    <x v="25"/>
    <s v="Bike C"/>
    <x v="2"/>
    <n v="193"/>
    <n v="27"/>
    <x v="2"/>
    <x v="1"/>
    <x v="1"/>
    <s v="Expedited Rules"/>
    <n v="0"/>
    <n v="1"/>
    <x v="3"/>
    <n v="806"/>
    <n v="1"/>
  </r>
  <r>
    <n v="2048"/>
    <s v="800 Elm St, CityD"/>
    <d v="2023-09-06T12:57:00"/>
    <x v="0"/>
    <x v="47"/>
    <s v="Bike C"/>
    <x v="2"/>
    <n v="232"/>
    <n v="24"/>
    <x v="1"/>
    <x v="2"/>
    <x v="1"/>
    <s v="Expedited Rules"/>
    <n v="0"/>
    <n v="0"/>
    <x v="1"/>
    <n v="807"/>
    <n v="1"/>
  </r>
  <r>
    <n v="2060"/>
    <s v="643 Pine St, CityE"/>
    <d v="2023-09-08T11:46:00"/>
    <x v="0"/>
    <x v="26"/>
    <s v="Bike C"/>
    <x v="1"/>
    <n v="149"/>
    <n v="29"/>
    <x v="0"/>
    <x v="3"/>
    <x v="1"/>
    <s v="Standard Rules"/>
    <n v="0"/>
    <n v="0"/>
    <x v="5"/>
    <n v="805"/>
    <n v="1"/>
  </r>
  <r>
    <n v="2062"/>
    <s v="336 Cedar St, CityD"/>
    <d v="2023-09-07T13:33:00"/>
    <x v="0"/>
    <x v="85"/>
    <s v="Bike C"/>
    <x v="1"/>
    <n v="154"/>
    <n v="4"/>
    <x v="0"/>
    <x v="2"/>
    <x v="1"/>
    <s v="Expedited Rules"/>
    <n v="0"/>
    <n v="0"/>
    <x v="3"/>
    <n v="806"/>
    <n v="1"/>
  </r>
  <r>
    <n v="2072"/>
    <s v="366 Pine St, CityB"/>
    <d v="2023-09-04T08:56:00"/>
    <x v="1"/>
    <x v="76"/>
    <s v="Bike C"/>
    <x v="0"/>
    <n v="170"/>
    <n v="14"/>
    <x v="1"/>
    <x v="0"/>
    <x v="1"/>
    <s v="Custom Rules"/>
    <n v="0"/>
    <n v="0"/>
    <x v="2"/>
    <s v=""/>
    <n v="1"/>
  </r>
  <r>
    <n v="2098"/>
    <s v="1 Pine St, CityC"/>
    <d v="2023-09-04T10:12:00"/>
    <x v="1"/>
    <x v="46"/>
    <s v="Bike C"/>
    <x v="1"/>
    <n v="180"/>
    <n v="26"/>
    <x v="2"/>
    <x v="4"/>
    <x v="1"/>
    <s v="Custom Rules"/>
    <n v="0"/>
    <n v="1"/>
    <x v="2"/>
    <s v=""/>
    <n v="1"/>
  </r>
  <r>
    <n v="2105"/>
    <s v="201 Elm St, CityB"/>
    <d v="2023-09-07T11:16:00"/>
    <x v="1"/>
    <x v="60"/>
    <s v="Bike C"/>
    <x v="3"/>
    <n v="162"/>
    <n v="9"/>
    <x v="1"/>
    <x v="4"/>
    <x v="1"/>
    <s v="Standard Rules"/>
    <n v="0"/>
    <n v="0"/>
    <x v="3"/>
    <s v=""/>
    <n v="1"/>
  </r>
  <r>
    <n v="2106"/>
    <s v="136 Oak St, CityD"/>
    <d v="2023-09-02T15:28:00"/>
    <x v="0"/>
    <x v="69"/>
    <s v="Bike C"/>
    <x v="0"/>
    <n v="151"/>
    <n v="3"/>
    <x v="0"/>
    <x v="0"/>
    <x v="1"/>
    <s v="Expedited Rules"/>
    <n v="0"/>
    <n v="0"/>
    <x v="4"/>
    <n v="811"/>
    <n v="1"/>
  </r>
  <r>
    <n v="2129"/>
    <s v="201 Pine St, CityC"/>
    <d v="2023-09-03T14:06:00"/>
    <x v="0"/>
    <x v="66"/>
    <s v="Bike C"/>
    <x v="2"/>
    <n v="224"/>
    <n v="27"/>
    <x v="1"/>
    <x v="0"/>
    <x v="1"/>
    <s v="Custom Rules"/>
    <n v="0"/>
    <n v="0"/>
    <x v="0"/>
    <n v="810"/>
    <n v="1"/>
  </r>
  <r>
    <n v="2130"/>
    <s v="385 Cedar St, CityD"/>
    <d v="2023-09-07T12:03:00"/>
    <x v="0"/>
    <x v="10"/>
    <s v="Bike C"/>
    <x v="4"/>
    <n v="167"/>
    <n v="22"/>
    <x v="1"/>
    <x v="2"/>
    <x v="1"/>
    <s v="Standard Rules"/>
    <n v="0"/>
    <n v="0"/>
    <x v="3"/>
    <n v="806"/>
    <n v="1"/>
  </r>
  <r>
    <n v="2142"/>
    <s v="348 Cedar St, CityE"/>
    <d v="2023-09-01T09:05:00"/>
    <x v="1"/>
    <x v="39"/>
    <s v="Bike C"/>
    <x v="1"/>
    <n v="165"/>
    <n v="15"/>
    <x v="0"/>
    <x v="2"/>
    <x v="1"/>
    <s v="Standard Rules"/>
    <n v="0"/>
    <n v="0"/>
    <x v="6"/>
    <s v=""/>
    <n v="1"/>
  </r>
  <r>
    <n v="2147"/>
    <s v="144 Elm St, CityA"/>
    <d v="2023-09-01T15:54:00"/>
    <x v="1"/>
    <x v="13"/>
    <s v="Bike C"/>
    <x v="2"/>
    <n v="204"/>
    <n v="29"/>
    <x v="2"/>
    <x v="3"/>
    <x v="1"/>
    <s v="Custom Rules"/>
    <n v="0"/>
    <n v="1"/>
    <x v="6"/>
    <s v=""/>
    <n v="1"/>
  </r>
  <r>
    <n v="2151"/>
    <s v="756 Oak St, CityD"/>
    <d v="2023-09-06T13:11:00"/>
    <x v="0"/>
    <x v="56"/>
    <s v="Bike C"/>
    <x v="4"/>
    <n v="114"/>
    <n v="5"/>
    <x v="1"/>
    <x v="0"/>
    <x v="1"/>
    <s v="Standard Rules"/>
    <n v="0"/>
    <n v="0"/>
    <x v="1"/>
    <n v="807"/>
    <n v="1"/>
  </r>
  <r>
    <n v="2156"/>
    <s v="331 Elm St, CityE"/>
    <d v="2023-09-01T10:10:00"/>
    <x v="0"/>
    <x v="6"/>
    <s v="Bike C"/>
    <x v="0"/>
    <n v="227"/>
    <n v="1"/>
    <x v="2"/>
    <x v="2"/>
    <x v="1"/>
    <s v="Expedited Rules"/>
    <n v="0"/>
    <n v="1"/>
    <x v="6"/>
    <n v="812"/>
    <n v="1"/>
  </r>
  <r>
    <n v="2159"/>
    <s v="803 Cedar St, CityC"/>
    <d v="2023-09-07T14:11:00"/>
    <x v="0"/>
    <x v="47"/>
    <s v="Bike C"/>
    <x v="2"/>
    <n v="139"/>
    <n v="26"/>
    <x v="0"/>
    <x v="1"/>
    <x v="1"/>
    <s v="Expedited Rules"/>
    <n v="0"/>
    <n v="0"/>
    <x v="3"/>
    <n v="806"/>
    <n v="1"/>
  </r>
  <r>
    <n v="2186"/>
    <s v="385 Main St, CityE"/>
    <d v="2023-09-05T10:09:00"/>
    <x v="1"/>
    <x v="65"/>
    <s v="Bike C"/>
    <x v="0"/>
    <n v="105"/>
    <n v="14"/>
    <x v="2"/>
    <x v="0"/>
    <x v="1"/>
    <s v="Expedited Rules"/>
    <n v="0"/>
    <n v="1"/>
    <x v="7"/>
    <s v=""/>
    <n v="1"/>
  </r>
  <r>
    <n v="2188"/>
    <s v="55 Pine St, CityB"/>
    <d v="2023-09-01T14:13:00"/>
    <x v="1"/>
    <x v="15"/>
    <s v="Bike C"/>
    <x v="1"/>
    <n v="126"/>
    <n v="29"/>
    <x v="0"/>
    <x v="4"/>
    <x v="1"/>
    <s v="Expedited Rules"/>
    <n v="0"/>
    <n v="0"/>
    <x v="6"/>
    <s v=""/>
    <n v="1"/>
  </r>
  <r>
    <n v="2201"/>
    <s v="561 Pine St, CityD"/>
    <d v="2023-09-02T10:04:00"/>
    <x v="0"/>
    <x v="50"/>
    <s v="Bike C"/>
    <x v="0"/>
    <n v="234"/>
    <n v="3"/>
    <x v="0"/>
    <x v="4"/>
    <x v="1"/>
    <s v="Standard Rules"/>
    <n v="0"/>
    <n v="0"/>
    <x v="4"/>
    <n v="811"/>
    <n v="1"/>
  </r>
  <r>
    <n v="2204"/>
    <s v="542 Main St, CityD"/>
    <d v="2023-09-05T09:23:00"/>
    <x v="0"/>
    <x v="40"/>
    <s v="Bike C"/>
    <x v="1"/>
    <n v="165"/>
    <n v="2"/>
    <x v="0"/>
    <x v="4"/>
    <x v="1"/>
    <s v="Expedited Rules"/>
    <n v="0"/>
    <n v="0"/>
    <x v="7"/>
    <n v="808"/>
    <n v="1"/>
  </r>
  <r>
    <n v="2209"/>
    <s v="535 Cedar St, CityC"/>
    <d v="2023-09-01T12:57:00"/>
    <x v="1"/>
    <x v="38"/>
    <s v="Bike C"/>
    <x v="1"/>
    <n v="176"/>
    <n v="2"/>
    <x v="1"/>
    <x v="3"/>
    <x v="1"/>
    <s v="Expedited Rules"/>
    <n v="0"/>
    <n v="0"/>
    <x v="6"/>
    <s v=""/>
    <n v="1"/>
  </r>
  <r>
    <n v="2219"/>
    <s v="888 Main St, CityB"/>
    <d v="2023-09-07T16:20:00"/>
    <x v="1"/>
    <x v="32"/>
    <s v="Bike C"/>
    <x v="2"/>
    <n v="220"/>
    <n v="22"/>
    <x v="0"/>
    <x v="4"/>
    <x v="1"/>
    <s v="Standard Rules"/>
    <n v="0"/>
    <n v="0"/>
    <x v="3"/>
    <s v=""/>
    <n v="1"/>
  </r>
  <r>
    <n v="2220"/>
    <s v="413 Elm St, CityC"/>
    <d v="2023-09-07T14:18:00"/>
    <x v="1"/>
    <x v="75"/>
    <s v="Bike C"/>
    <x v="2"/>
    <n v="219"/>
    <n v="21"/>
    <x v="2"/>
    <x v="4"/>
    <x v="1"/>
    <s v="Expedited Rules"/>
    <n v="0"/>
    <n v="1"/>
    <x v="3"/>
    <s v=""/>
    <n v="1"/>
  </r>
  <r>
    <n v="2231"/>
    <s v="340 Elm St, CityD"/>
    <d v="2023-09-08T12:46:00"/>
    <x v="0"/>
    <x v="14"/>
    <s v="Bike C"/>
    <x v="1"/>
    <n v="75"/>
    <n v="24"/>
    <x v="0"/>
    <x v="1"/>
    <x v="1"/>
    <s v="Custom Rules"/>
    <n v="0"/>
    <n v="0"/>
    <x v="5"/>
    <n v="805"/>
    <n v="1"/>
  </r>
  <r>
    <n v="2233"/>
    <s v="39 Oak St, CityA"/>
    <d v="2023-09-08T09:30:00"/>
    <x v="1"/>
    <x v="52"/>
    <s v="Bike C"/>
    <x v="3"/>
    <n v="82"/>
    <n v="4"/>
    <x v="2"/>
    <x v="0"/>
    <x v="1"/>
    <s v="Custom Rules"/>
    <n v="0"/>
    <n v="1"/>
    <x v="5"/>
    <s v=""/>
    <n v="1"/>
  </r>
  <r>
    <n v="2243"/>
    <s v="558 Main St, CityE"/>
    <d v="2023-09-04T16:21:00"/>
    <x v="1"/>
    <x v="49"/>
    <s v="Bike C"/>
    <x v="0"/>
    <n v="131"/>
    <n v="26"/>
    <x v="0"/>
    <x v="1"/>
    <x v="1"/>
    <s v="Standard Rules"/>
    <n v="0"/>
    <n v="0"/>
    <x v="2"/>
    <s v=""/>
    <n v="1"/>
  </r>
  <r>
    <n v="2245"/>
    <s v="608 Main St, CityB"/>
    <d v="2023-09-06T09:00:00"/>
    <x v="0"/>
    <x v="32"/>
    <s v="Bike C"/>
    <x v="3"/>
    <n v="171"/>
    <n v="23"/>
    <x v="0"/>
    <x v="2"/>
    <x v="1"/>
    <s v="Standard Rules"/>
    <n v="0"/>
    <n v="0"/>
    <x v="1"/>
    <n v="807"/>
    <n v="1"/>
  </r>
  <r>
    <n v="2257"/>
    <s v="601 Main St, CityC"/>
    <d v="2023-09-08T11:13:00"/>
    <x v="1"/>
    <x v="2"/>
    <s v="Bike C"/>
    <x v="2"/>
    <n v="181"/>
    <n v="8"/>
    <x v="0"/>
    <x v="4"/>
    <x v="1"/>
    <s v="Expedited Rules"/>
    <n v="0"/>
    <n v="0"/>
    <x v="5"/>
    <s v=""/>
    <n v="1"/>
  </r>
  <r>
    <n v="2280"/>
    <s v="463 Oak St, CityC"/>
    <d v="2023-09-04T16:41:00"/>
    <x v="0"/>
    <x v="49"/>
    <s v="Bike C"/>
    <x v="3"/>
    <n v="163"/>
    <n v="19"/>
    <x v="1"/>
    <x v="3"/>
    <x v="1"/>
    <s v="Custom Rules"/>
    <n v="0"/>
    <n v="0"/>
    <x v="2"/>
    <n v="809"/>
    <n v="1"/>
  </r>
  <r>
    <n v="2290"/>
    <s v="765 Elm St, CityD"/>
    <d v="2023-09-04T13:20:00"/>
    <x v="0"/>
    <x v="10"/>
    <s v="Bike C"/>
    <x v="4"/>
    <n v="189"/>
    <n v="24"/>
    <x v="2"/>
    <x v="3"/>
    <x v="1"/>
    <s v="Custom Rules"/>
    <n v="0"/>
    <n v="1"/>
    <x v="2"/>
    <n v="809"/>
    <n v="1"/>
  </r>
  <r>
    <n v="2291"/>
    <s v="800 Main St, CityA"/>
    <d v="2023-09-07T12:42:00"/>
    <x v="0"/>
    <x v="17"/>
    <s v="Bike C"/>
    <x v="3"/>
    <n v="95"/>
    <n v="1"/>
    <x v="1"/>
    <x v="0"/>
    <x v="1"/>
    <s v="Standard Rules"/>
    <n v="0"/>
    <n v="0"/>
    <x v="3"/>
    <n v="806"/>
    <n v="1"/>
  </r>
  <r>
    <n v="2294"/>
    <s v="400 Pine St, CityE"/>
    <d v="2023-09-05T08:28:00"/>
    <x v="0"/>
    <x v="4"/>
    <s v="Bike C"/>
    <x v="0"/>
    <n v="187"/>
    <n v="17"/>
    <x v="1"/>
    <x v="1"/>
    <x v="1"/>
    <s v="Standard Rules"/>
    <n v="0"/>
    <n v="0"/>
    <x v="7"/>
    <n v="808"/>
    <n v="1"/>
  </r>
  <r>
    <n v="2298"/>
    <s v="976 Elm St, CityB"/>
    <d v="2023-09-01T14:31:00"/>
    <x v="0"/>
    <x v="95"/>
    <s v="Bike C"/>
    <x v="0"/>
    <n v="94"/>
    <n v="6"/>
    <x v="2"/>
    <x v="4"/>
    <x v="1"/>
    <s v="Standard Rules"/>
    <n v="0"/>
    <n v="1"/>
    <x v="6"/>
    <n v="812"/>
    <n v="1"/>
  </r>
  <r>
    <n v="2305"/>
    <s v="637 Elm St, CityE"/>
    <d v="2023-09-08T09:26:00"/>
    <x v="1"/>
    <x v="20"/>
    <s v="Bike C"/>
    <x v="2"/>
    <n v="152"/>
    <n v="5"/>
    <x v="2"/>
    <x v="4"/>
    <x v="1"/>
    <s v="Custom Rules"/>
    <n v="0"/>
    <n v="1"/>
    <x v="5"/>
    <s v=""/>
    <n v="1"/>
  </r>
  <r>
    <n v="2324"/>
    <s v="413 Cedar St, CityE"/>
    <d v="2023-09-02T15:16:00"/>
    <x v="0"/>
    <x v="65"/>
    <s v="Bike C"/>
    <x v="4"/>
    <n v="160"/>
    <n v="7"/>
    <x v="2"/>
    <x v="0"/>
    <x v="1"/>
    <s v="Custom Rules"/>
    <n v="0"/>
    <n v="1"/>
    <x v="4"/>
    <n v="811"/>
    <n v="1"/>
  </r>
  <r>
    <n v="2327"/>
    <s v="851 Cedar St, CityE"/>
    <d v="2023-09-06T15:50:00"/>
    <x v="1"/>
    <x v="88"/>
    <s v="Bike C"/>
    <x v="2"/>
    <n v="102"/>
    <n v="21"/>
    <x v="0"/>
    <x v="1"/>
    <x v="1"/>
    <s v="Expedited Rules"/>
    <n v="0"/>
    <n v="0"/>
    <x v="1"/>
    <s v=""/>
    <n v="1"/>
  </r>
  <r>
    <n v="2335"/>
    <s v="584 Cedar St, CityB"/>
    <d v="2023-09-05T15:34:00"/>
    <x v="1"/>
    <x v="28"/>
    <s v="Bike C"/>
    <x v="4"/>
    <n v="74"/>
    <n v="6"/>
    <x v="0"/>
    <x v="2"/>
    <x v="1"/>
    <s v="Standard Rules"/>
    <n v="0"/>
    <n v="0"/>
    <x v="7"/>
    <s v=""/>
    <n v="1"/>
  </r>
  <r>
    <n v="2342"/>
    <s v="485 Elm St, CityD"/>
    <d v="2023-09-02T14:23:00"/>
    <x v="0"/>
    <x v="37"/>
    <s v="Bike C"/>
    <x v="4"/>
    <n v="148"/>
    <n v="17"/>
    <x v="1"/>
    <x v="4"/>
    <x v="1"/>
    <s v="Custom Rules"/>
    <n v="0"/>
    <n v="0"/>
    <x v="4"/>
    <n v="811"/>
    <n v="1"/>
  </r>
  <r>
    <n v="2345"/>
    <s v="658 Pine St, CityB"/>
    <d v="2023-09-01T10:38:00"/>
    <x v="1"/>
    <x v="9"/>
    <s v="Bike C"/>
    <x v="3"/>
    <n v="229"/>
    <n v="9"/>
    <x v="0"/>
    <x v="0"/>
    <x v="1"/>
    <s v="Standard Rules"/>
    <n v="0"/>
    <n v="0"/>
    <x v="6"/>
    <s v=""/>
    <n v="1"/>
  </r>
  <r>
    <n v="2355"/>
    <s v="924 Cedar St, CityE"/>
    <d v="2023-09-01T09:38:00"/>
    <x v="0"/>
    <x v="11"/>
    <s v="Bike C"/>
    <x v="3"/>
    <n v="141"/>
    <n v="2"/>
    <x v="0"/>
    <x v="0"/>
    <x v="1"/>
    <s v="Custom Rules"/>
    <n v="0"/>
    <n v="0"/>
    <x v="6"/>
    <n v="812"/>
    <n v="1"/>
  </r>
  <r>
    <n v="2370"/>
    <s v="409 Cedar St, CityB"/>
    <d v="2023-09-03T14:08:00"/>
    <x v="0"/>
    <x v="48"/>
    <s v="Bike C"/>
    <x v="1"/>
    <n v="230"/>
    <n v="12"/>
    <x v="1"/>
    <x v="3"/>
    <x v="1"/>
    <s v="Standard Rules"/>
    <n v="0"/>
    <n v="0"/>
    <x v="0"/>
    <n v="810"/>
    <n v="1"/>
  </r>
  <r>
    <n v="2379"/>
    <s v="854 Pine St, CityE"/>
    <d v="2023-09-06T10:43:00"/>
    <x v="1"/>
    <x v="52"/>
    <s v="Bike C"/>
    <x v="1"/>
    <n v="227"/>
    <n v="25"/>
    <x v="1"/>
    <x v="4"/>
    <x v="1"/>
    <s v="Custom Rules"/>
    <n v="0"/>
    <n v="0"/>
    <x v="1"/>
    <s v=""/>
    <n v="1"/>
  </r>
  <r>
    <n v="2392"/>
    <s v="52 Oak St, CityB"/>
    <d v="2023-09-05T12:28:00"/>
    <x v="0"/>
    <x v="51"/>
    <s v="Bike C"/>
    <x v="4"/>
    <n v="133"/>
    <n v="3"/>
    <x v="0"/>
    <x v="2"/>
    <x v="1"/>
    <s v="Expedited Rules"/>
    <n v="0"/>
    <n v="0"/>
    <x v="7"/>
    <n v="808"/>
    <n v="1"/>
  </r>
  <r>
    <n v="2400"/>
    <s v="141 Oak St, CityA"/>
    <d v="2023-09-07T16:13:00"/>
    <x v="1"/>
    <x v="22"/>
    <s v="Bike C"/>
    <x v="2"/>
    <n v="218"/>
    <n v="8"/>
    <x v="2"/>
    <x v="2"/>
    <x v="1"/>
    <s v="Standard Rules"/>
    <n v="0"/>
    <n v="1"/>
    <x v="3"/>
    <s v=""/>
    <n v="1"/>
  </r>
  <r>
    <n v="2401"/>
    <s v="569 Main St, CityD"/>
    <d v="2023-09-02T09:55:00"/>
    <x v="0"/>
    <x v="27"/>
    <s v="Bike C"/>
    <x v="3"/>
    <n v="124"/>
    <n v="27"/>
    <x v="1"/>
    <x v="1"/>
    <x v="1"/>
    <s v="Custom Rules"/>
    <n v="0"/>
    <n v="0"/>
    <x v="4"/>
    <n v="811"/>
    <n v="1"/>
  </r>
  <r>
    <n v="2435"/>
    <s v="759 Pine St, CityE"/>
    <d v="2023-09-05T14:17:00"/>
    <x v="1"/>
    <x v="72"/>
    <s v="Bike C"/>
    <x v="3"/>
    <n v="107"/>
    <n v="11"/>
    <x v="2"/>
    <x v="1"/>
    <x v="1"/>
    <s v="Custom Rules"/>
    <n v="0"/>
    <n v="1"/>
    <x v="7"/>
    <s v=""/>
    <n v="1"/>
  </r>
  <r>
    <n v="2455"/>
    <s v="882 Pine St, CityB"/>
    <d v="2023-09-02T15:53:00"/>
    <x v="0"/>
    <x v="42"/>
    <s v="Bike C"/>
    <x v="2"/>
    <n v="190"/>
    <n v="11"/>
    <x v="1"/>
    <x v="2"/>
    <x v="1"/>
    <s v="Custom Rules"/>
    <n v="0"/>
    <n v="0"/>
    <x v="4"/>
    <n v="811"/>
    <n v="1"/>
  </r>
  <r>
    <n v="2471"/>
    <s v="774 Cedar St, CityA"/>
    <d v="2023-09-08T16:08:00"/>
    <x v="0"/>
    <x v="13"/>
    <s v="Bike C"/>
    <x v="4"/>
    <n v="75"/>
    <n v="15"/>
    <x v="2"/>
    <x v="2"/>
    <x v="1"/>
    <s v="Custom Rules"/>
    <n v="0"/>
    <n v="1"/>
    <x v="5"/>
    <n v="805"/>
    <n v="1"/>
  </r>
  <r>
    <n v="1012"/>
    <s v="391 Pine St, CityB"/>
    <d v="2023-09-06T13:54:00"/>
    <x v="0"/>
    <x v="66"/>
    <s v="Truck B"/>
    <x v="3"/>
    <n v="150"/>
    <n v="18"/>
    <x v="1"/>
    <x v="2"/>
    <x v="2"/>
    <s v="Standard Rules"/>
    <n v="0"/>
    <n v="0"/>
    <x v="1"/>
    <n v="807"/>
    <n v="1"/>
  </r>
  <r>
    <n v="1018"/>
    <s v="233 Oak St, CityA"/>
    <d v="2023-09-05T10:43:00"/>
    <x v="1"/>
    <x v="73"/>
    <s v="Truck B"/>
    <x v="4"/>
    <n v="167"/>
    <n v="1"/>
    <x v="1"/>
    <x v="3"/>
    <x v="2"/>
    <s v="Custom Rules"/>
    <n v="0"/>
    <n v="0"/>
    <x v="7"/>
    <s v=""/>
    <n v="1"/>
  </r>
  <r>
    <n v="1037"/>
    <s v="958 Cedar St, CityA"/>
    <d v="2023-09-02T16:52:00"/>
    <x v="0"/>
    <x v="21"/>
    <s v="Truck B"/>
    <x v="2"/>
    <n v="134"/>
    <n v="18"/>
    <x v="1"/>
    <x v="0"/>
    <x v="2"/>
    <s v="Custom Rules"/>
    <n v="0"/>
    <n v="0"/>
    <x v="4"/>
    <n v="811"/>
    <n v="1"/>
  </r>
  <r>
    <n v="1055"/>
    <s v="535 Pine St, CityE"/>
    <d v="2023-09-06T08:49:00"/>
    <x v="0"/>
    <x v="80"/>
    <s v="Truck B"/>
    <x v="4"/>
    <n v="239"/>
    <n v="24"/>
    <x v="2"/>
    <x v="2"/>
    <x v="2"/>
    <s v="Custom Rules"/>
    <n v="0"/>
    <n v="1"/>
    <x v="1"/>
    <n v="807"/>
    <n v="1"/>
  </r>
  <r>
    <n v="1057"/>
    <s v="329 Elm St, CityD"/>
    <d v="2023-09-08T16:07:00"/>
    <x v="1"/>
    <x v="82"/>
    <s v="Truck B"/>
    <x v="0"/>
    <n v="87"/>
    <n v="5"/>
    <x v="1"/>
    <x v="3"/>
    <x v="2"/>
    <s v="Standard Rules"/>
    <n v="0"/>
    <n v="0"/>
    <x v="5"/>
    <s v=""/>
    <n v="1"/>
  </r>
  <r>
    <n v="1099"/>
    <s v="163 Pine St, CityA"/>
    <d v="2023-09-05T08:40:00"/>
    <x v="1"/>
    <x v="16"/>
    <s v="Truck B"/>
    <x v="0"/>
    <n v="173"/>
    <n v="3"/>
    <x v="1"/>
    <x v="4"/>
    <x v="2"/>
    <s v="Custom Rules"/>
    <n v="0"/>
    <n v="0"/>
    <x v="7"/>
    <s v=""/>
    <n v="1"/>
  </r>
  <r>
    <n v="1112"/>
    <s v="447 Cedar St, CityC"/>
    <d v="2023-09-01T10:55:00"/>
    <x v="1"/>
    <x v="8"/>
    <s v="Truck B"/>
    <x v="1"/>
    <n v="212"/>
    <n v="14"/>
    <x v="2"/>
    <x v="4"/>
    <x v="2"/>
    <s v="Standard Rules"/>
    <n v="0"/>
    <n v="1"/>
    <x v="6"/>
    <s v=""/>
    <n v="1"/>
  </r>
  <r>
    <n v="1121"/>
    <s v="390 Elm St, CityC"/>
    <d v="2023-09-03T11:59:00"/>
    <x v="0"/>
    <x v="35"/>
    <s v="Truck B"/>
    <x v="3"/>
    <n v="123"/>
    <n v="22"/>
    <x v="1"/>
    <x v="2"/>
    <x v="2"/>
    <s v="Custom Rules"/>
    <n v="0"/>
    <n v="0"/>
    <x v="0"/>
    <n v="810"/>
    <n v="1"/>
  </r>
  <r>
    <n v="1143"/>
    <s v="461 Elm St, CityD"/>
    <d v="2023-09-08T11:42:00"/>
    <x v="1"/>
    <x v="40"/>
    <s v="Truck B"/>
    <x v="2"/>
    <n v="223"/>
    <n v="12"/>
    <x v="1"/>
    <x v="0"/>
    <x v="2"/>
    <s v="Standard Rules"/>
    <n v="0"/>
    <n v="0"/>
    <x v="5"/>
    <s v=""/>
    <n v="1"/>
  </r>
  <r>
    <n v="1147"/>
    <s v="550 Oak St, CityB"/>
    <d v="2023-09-01T10:09:00"/>
    <x v="1"/>
    <x v="78"/>
    <s v="Truck B"/>
    <x v="4"/>
    <n v="71"/>
    <n v="3"/>
    <x v="1"/>
    <x v="1"/>
    <x v="2"/>
    <s v="Custom Rules"/>
    <n v="0"/>
    <n v="0"/>
    <x v="6"/>
    <s v=""/>
    <n v="1"/>
  </r>
  <r>
    <n v="1151"/>
    <s v="758 Main St, CityD"/>
    <d v="2023-09-01T08:56:00"/>
    <x v="1"/>
    <x v="60"/>
    <s v="Truck B"/>
    <x v="3"/>
    <n v="213"/>
    <n v="15"/>
    <x v="1"/>
    <x v="2"/>
    <x v="2"/>
    <s v="Custom Rules"/>
    <n v="0"/>
    <n v="0"/>
    <x v="6"/>
    <s v=""/>
    <n v="1"/>
  </r>
  <r>
    <n v="1172"/>
    <s v="346 Cedar St, CityB"/>
    <d v="2023-09-02T09:38:00"/>
    <x v="0"/>
    <x v="53"/>
    <s v="Truck B"/>
    <x v="1"/>
    <n v="175"/>
    <n v="1"/>
    <x v="0"/>
    <x v="0"/>
    <x v="2"/>
    <s v="Standard Rules"/>
    <n v="0"/>
    <n v="0"/>
    <x v="4"/>
    <n v="811"/>
    <n v="1"/>
  </r>
  <r>
    <n v="1185"/>
    <s v="22 Main St, CityA"/>
    <d v="2023-09-04T08:18:00"/>
    <x v="0"/>
    <x v="33"/>
    <s v="Truck B"/>
    <x v="1"/>
    <n v="110"/>
    <n v="19"/>
    <x v="0"/>
    <x v="0"/>
    <x v="2"/>
    <s v="Custom Rules"/>
    <n v="0"/>
    <n v="0"/>
    <x v="2"/>
    <n v="809"/>
    <n v="1"/>
  </r>
  <r>
    <n v="1192"/>
    <s v="347 Elm St, CityC"/>
    <d v="2023-09-07T16:43:00"/>
    <x v="0"/>
    <x v="92"/>
    <s v="Truck B"/>
    <x v="4"/>
    <n v="149"/>
    <n v="22"/>
    <x v="2"/>
    <x v="1"/>
    <x v="2"/>
    <s v="Custom Rules"/>
    <n v="0"/>
    <n v="1"/>
    <x v="3"/>
    <n v="806"/>
    <n v="1"/>
  </r>
  <r>
    <n v="1234"/>
    <s v="966 Oak St, CityC"/>
    <d v="2023-09-02T09:51:00"/>
    <x v="0"/>
    <x v="22"/>
    <s v="Truck B"/>
    <x v="3"/>
    <n v="79"/>
    <n v="4"/>
    <x v="0"/>
    <x v="1"/>
    <x v="2"/>
    <s v="Standard Rules"/>
    <n v="0"/>
    <n v="0"/>
    <x v="4"/>
    <n v="811"/>
    <n v="1"/>
  </r>
  <r>
    <n v="1235"/>
    <s v="566 Elm St, CityD"/>
    <d v="2023-09-01T08:13:00"/>
    <x v="0"/>
    <x v="22"/>
    <s v="Truck B"/>
    <x v="1"/>
    <n v="194"/>
    <n v="19"/>
    <x v="2"/>
    <x v="2"/>
    <x v="2"/>
    <s v="Custom Rules"/>
    <n v="0"/>
    <n v="1"/>
    <x v="6"/>
    <n v="812"/>
    <n v="1"/>
  </r>
  <r>
    <n v="1267"/>
    <s v="304 Cedar St, CityD"/>
    <d v="2023-09-02T14:27:00"/>
    <x v="1"/>
    <x v="74"/>
    <s v="Truck B"/>
    <x v="0"/>
    <n v="221"/>
    <n v="2"/>
    <x v="0"/>
    <x v="3"/>
    <x v="2"/>
    <s v="Custom Rules"/>
    <n v="0"/>
    <n v="0"/>
    <x v="4"/>
    <s v=""/>
    <n v="1"/>
  </r>
  <r>
    <n v="1270"/>
    <s v="754 Elm St, CityE"/>
    <d v="2023-09-08T08:28:00"/>
    <x v="0"/>
    <x v="48"/>
    <s v="Truck B"/>
    <x v="4"/>
    <n v="132"/>
    <n v="2"/>
    <x v="0"/>
    <x v="4"/>
    <x v="2"/>
    <s v="Custom Rules"/>
    <n v="0"/>
    <n v="0"/>
    <x v="5"/>
    <n v="805"/>
    <n v="1"/>
  </r>
  <r>
    <n v="1302"/>
    <s v="622 Pine St, CityD"/>
    <d v="2023-09-02T10:57:00"/>
    <x v="0"/>
    <x v="72"/>
    <s v="Truck B"/>
    <x v="4"/>
    <n v="237"/>
    <n v="1"/>
    <x v="2"/>
    <x v="3"/>
    <x v="2"/>
    <s v="Custom Rules"/>
    <n v="0"/>
    <n v="1"/>
    <x v="4"/>
    <n v="811"/>
    <n v="1"/>
  </r>
  <r>
    <n v="1323"/>
    <s v="349 Cedar St, CityC"/>
    <d v="2023-09-03T14:35:00"/>
    <x v="1"/>
    <x v="26"/>
    <s v="Truck B"/>
    <x v="3"/>
    <n v="213"/>
    <n v="4"/>
    <x v="0"/>
    <x v="2"/>
    <x v="2"/>
    <s v="Custom Rules"/>
    <n v="0"/>
    <n v="0"/>
    <x v="0"/>
    <s v=""/>
    <n v="1"/>
  </r>
  <r>
    <n v="1333"/>
    <s v="503 Pine St, CityE"/>
    <d v="2023-09-04T16:35:00"/>
    <x v="1"/>
    <x v="74"/>
    <s v="Truck B"/>
    <x v="4"/>
    <n v="185"/>
    <n v="13"/>
    <x v="1"/>
    <x v="0"/>
    <x v="2"/>
    <s v="Custom Rules"/>
    <n v="0"/>
    <n v="0"/>
    <x v="2"/>
    <s v=""/>
    <n v="1"/>
  </r>
  <r>
    <n v="1338"/>
    <s v="253 Elm St, CityA"/>
    <d v="2023-09-07T12:53:00"/>
    <x v="0"/>
    <x v="42"/>
    <s v="Truck B"/>
    <x v="3"/>
    <n v="191"/>
    <n v="10"/>
    <x v="1"/>
    <x v="0"/>
    <x v="2"/>
    <s v="Standard Rules"/>
    <n v="0"/>
    <n v="0"/>
    <x v="3"/>
    <n v="806"/>
    <n v="1"/>
  </r>
  <r>
    <n v="1352"/>
    <s v="668 Pine St, CityA"/>
    <d v="2023-09-07T08:56:00"/>
    <x v="1"/>
    <x v="46"/>
    <s v="Truck B"/>
    <x v="0"/>
    <n v="130"/>
    <n v="14"/>
    <x v="2"/>
    <x v="4"/>
    <x v="2"/>
    <s v="Standard Rules"/>
    <n v="0"/>
    <n v="1"/>
    <x v="3"/>
    <s v=""/>
    <n v="1"/>
  </r>
  <r>
    <n v="1369"/>
    <s v="41 Cedar St, CityA"/>
    <d v="2023-09-01T14:20:00"/>
    <x v="1"/>
    <x v="2"/>
    <s v="Truck B"/>
    <x v="1"/>
    <n v="155"/>
    <n v="2"/>
    <x v="1"/>
    <x v="2"/>
    <x v="2"/>
    <s v="Standard Rules"/>
    <n v="0"/>
    <n v="0"/>
    <x v="6"/>
    <s v=""/>
    <n v="1"/>
  </r>
  <r>
    <n v="1387"/>
    <s v="978 Elm St, CityE"/>
    <d v="2023-09-02T12:44:00"/>
    <x v="0"/>
    <x v="56"/>
    <s v="Truck B"/>
    <x v="4"/>
    <n v="93"/>
    <n v="28"/>
    <x v="1"/>
    <x v="1"/>
    <x v="2"/>
    <s v="Custom Rules"/>
    <n v="0"/>
    <n v="0"/>
    <x v="4"/>
    <n v="811"/>
    <n v="1"/>
  </r>
  <r>
    <n v="1390"/>
    <s v="523 Oak St, CityD"/>
    <d v="2023-09-03T09:07:00"/>
    <x v="0"/>
    <x v="12"/>
    <s v="Truck B"/>
    <x v="4"/>
    <n v="112"/>
    <n v="6"/>
    <x v="0"/>
    <x v="3"/>
    <x v="2"/>
    <s v="Custom Rules"/>
    <n v="0"/>
    <n v="0"/>
    <x v="0"/>
    <n v="810"/>
    <n v="1"/>
  </r>
  <r>
    <n v="1398"/>
    <s v="218 Elm St, CityE"/>
    <d v="2023-09-03T11:26:00"/>
    <x v="0"/>
    <x v="22"/>
    <s v="Truck B"/>
    <x v="4"/>
    <n v="84"/>
    <n v="24"/>
    <x v="2"/>
    <x v="0"/>
    <x v="2"/>
    <s v="Standard Rules"/>
    <n v="0"/>
    <n v="1"/>
    <x v="0"/>
    <n v="810"/>
    <n v="1"/>
  </r>
  <r>
    <n v="1409"/>
    <s v="43 Pine St, CityA"/>
    <d v="2023-09-01T12:10:00"/>
    <x v="0"/>
    <x v="77"/>
    <s v="Truck B"/>
    <x v="4"/>
    <n v="190"/>
    <n v="23"/>
    <x v="2"/>
    <x v="2"/>
    <x v="2"/>
    <s v="Standard Rules"/>
    <n v="0"/>
    <n v="1"/>
    <x v="6"/>
    <n v="812"/>
    <n v="1"/>
  </r>
  <r>
    <n v="1433"/>
    <s v="287 Pine St, CityA"/>
    <d v="2023-09-02T12:45:00"/>
    <x v="1"/>
    <x v="2"/>
    <s v="Truck B"/>
    <x v="3"/>
    <n v="144"/>
    <n v="2"/>
    <x v="1"/>
    <x v="0"/>
    <x v="2"/>
    <s v="Custom Rules"/>
    <n v="0"/>
    <n v="0"/>
    <x v="4"/>
    <s v=""/>
    <n v="1"/>
  </r>
  <r>
    <n v="1441"/>
    <s v="280 Oak St, CityA"/>
    <d v="2023-09-01T15:59:00"/>
    <x v="1"/>
    <x v="17"/>
    <s v="Truck B"/>
    <x v="3"/>
    <n v="170"/>
    <n v="1"/>
    <x v="0"/>
    <x v="4"/>
    <x v="2"/>
    <s v="Standard Rules"/>
    <n v="0"/>
    <n v="0"/>
    <x v="6"/>
    <s v=""/>
    <n v="1"/>
  </r>
  <r>
    <n v="1444"/>
    <s v="67 Pine St, CityD"/>
    <d v="2023-09-07T10:40:00"/>
    <x v="1"/>
    <x v="81"/>
    <s v="Truck B"/>
    <x v="2"/>
    <n v="167"/>
    <n v="8"/>
    <x v="0"/>
    <x v="1"/>
    <x v="2"/>
    <s v="Standard Rules"/>
    <n v="0"/>
    <n v="0"/>
    <x v="3"/>
    <s v=""/>
    <n v="1"/>
  </r>
  <r>
    <n v="1449"/>
    <s v="983 Oak St, CityC"/>
    <d v="2023-09-07T14:22:00"/>
    <x v="1"/>
    <x v="11"/>
    <s v="Truck B"/>
    <x v="0"/>
    <n v="176"/>
    <n v="16"/>
    <x v="2"/>
    <x v="2"/>
    <x v="2"/>
    <s v="Custom Rules"/>
    <n v="0"/>
    <n v="1"/>
    <x v="3"/>
    <s v=""/>
    <n v="1"/>
  </r>
  <r>
    <n v="1453"/>
    <s v="241 Pine St, CityA"/>
    <d v="2023-09-02T12:08:00"/>
    <x v="0"/>
    <x v="27"/>
    <s v="Truck B"/>
    <x v="2"/>
    <n v="235"/>
    <n v="27"/>
    <x v="1"/>
    <x v="4"/>
    <x v="2"/>
    <s v="Custom Rules"/>
    <n v="0"/>
    <n v="0"/>
    <x v="4"/>
    <n v="811"/>
    <n v="1"/>
  </r>
  <r>
    <n v="1474"/>
    <s v="519 Elm St, CityE"/>
    <d v="2023-09-04T12:21:00"/>
    <x v="0"/>
    <x v="2"/>
    <s v="Truck B"/>
    <x v="1"/>
    <n v="97"/>
    <n v="23"/>
    <x v="1"/>
    <x v="0"/>
    <x v="2"/>
    <s v="Standard Rules"/>
    <n v="0"/>
    <n v="0"/>
    <x v="2"/>
    <n v="809"/>
    <n v="1"/>
  </r>
  <r>
    <n v="1488"/>
    <s v="705 Main St, CityB"/>
    <d v="2023-09-04T09:30:00"/>
    <x v="0"/>
    <x v="40"/>
    <s v="Truck B"/>
    <x v="1"/>
    <n v="193"/>
    <n v="28"/>
    <x v="2"/>
    <x v="1"/>
    <x v="2"/>
    <s v="Custom Rules"/>
    <n v="0"/>
    <n v="1"/>
    <x v="2"/>
    <n v="809"/>
    <n v="1"/>
  </r>
  <r>
    <n v="1502"/>
    <s v="11 Cedar St, CityC"/>
    <d v="2023-09-07T16:47:00"/>
    <x v="0"/>
    <x v="29"/>
    <s v="Truck B"/>
    <x v="0"/>
    <n v="125"/>
    <n v="16"/>
    <x v="1"/>
    <x v="4"/>
    <x v="2"/>
    <s v="Custom Rules"/>
    <n v="0"/>
    <n v="0"/>
    <x v="3"/>
    <n v="806"/>
    <n v="1"/>
  </r>
  <r>
    <n v="1511"/>
    <s v="789 Main St, CityD"/>
    <d v="2023-09-04T16:59:00"/>
    <x v="1"/>
    <x v="92"/>
    <s v="Truck B"/>
    <x v="4"/>
    <n v="87"/>
    <n v="9"/>
    <x v="0"/>
    <x v="4"/>
    <x v="2"/>
    <s v="Standard Rules"/>
    <n v="0"/>
    <n v="0"/>
    <x v="2"/>
    <s v=""/>
    <n v="1"/>
  </r>
  <r>
    <n v="1522"/>
    <s v="796 Pine St, CityB"/>
    <d v="2023-09-07T11:23:00"/>
    <x v="1"/>
    <x v="62"/>
    <s v="Truck B"/>
    <x v="0"/>
    <n v="136"/>
    <n v="25"/>
    <x v="1"/>
    <x v="4"/>
    <x v="2"/>
    <s v="Standard Rules"/>
    <n v="0"/>
    <n v="0"/>
    <x v="3"/>
    <s v=""/>
    <n v="1"/>
  </r>
  <r>
    <n v="1573"/>
    <s v="491 Elm St, CityA"/>
    <d v="2023-09-07T12:05:00"/>
    <x v="1"/>
    <x v="35"/>
    <s v="Truck B"/>
    <x v="2"/>
    <n v="162"/>
    <n v="20"/>
    <x v="1"/>
    <x v="4"/>
    <x v="2"/>
    <s v="Custom Rules"/>
    <n v="0"/>
    <n v="0"/>
    <x v="3"/>
    <s v=""/>
    <n v="1"/>
  </r>
  <r>
    <n v="1578"/>
    <s v="526 Main St, CityE"/>
    <d v="2023-09-03T13:17:00"/>
    <x v="1"/>
    <x v="83"/>
    <s v="Truck B"/>
    <x v="2"/>
    <n v="77"/>
    <n v="21"/>
    <x v="2"/>
    <x v="4"/>
    <x v="2"/>
    <s v="Standard Rules"/>
    <n v="0"/>
    <n v="1"/>
    <x v="0"/>
    <s v=""/>
    <n v="1"/>
  </r>
  <r>
    <n v="1606"/>
    <s v="645 Oak St, CityC"/>
    <d v="2023-09-01T14:05:00"/>
    <x v="0"/>
    <x v="29"/>
    <s v="Truck B"/>
    <x v="4"/>
    <n v="234"/>
    <n v="28"/>
    <x v="1"/>
    <x v="2"/>
    <x v="2"/>
    <s v="Standard Rules"/>
    <n v="0"/>
    <n v="0"/>
    <x v="6"/>
    <n v="812"/>
    <n v="1"/>
  </r>
  <r>
    <n v="1611"/>
    <s v="996 Oak St, CityB"/>
    <d v="2023-09-01T13:43:00"/>
    <x v="1"/>
    <x v="97"/>
    <s v="Truck B"/>
    <x v="4"/>
    <n v="180"/>
    <n v="5"/>
    <x v="2"/>
    <x v="3"/>
    <x v="2"/>
    <s v="Standard Rules"/>
    <n v="0"/>
    <n v="1"/>
    <x v="6"/>
    <s v=""/>
    <n v="1"/>
  </r>
  <r>
    <n v="1613"/>
    <s v="693 Pine St, CityC"/>
    <d v="2023-09-05T09:56:00"/>
    <x v="1"/>
    <x v="69"/>
    <s v="Truck B"/>
    <x v="3"/>
    <n v="135"/>
    <n v="26"/>
    <x v="0"/>
    <x v="3"/>
    <x v="2"/>
    <s v="Custom Rules"/>
    <n v="0"/>
    <n v="0"/>
    <x v="7"/>
    <s v=""/>
    <n v="1"/>
  </r>
  <r>
    <n v="1614"/>
    <s v="271 Cedar St, CityD"/>
    <d v="2023-09-06T16:45:00"/>
    <x v="1"/>
    <x v="28"/>
    <s v="Truck B"/>
    <x v="2"/>
    <n v="106"/>
    <n v="28"/>
    <x v="1"/>
    <x v="0"/>
    <x v="2"/>
    <s v="Standard Rules"/>
    <n v="0"/>
    <n v="0"/>
    <x v="1"/>
    <s v=""/>
    <n v="1"/>
  </r>
  <r>
    <n v="1644"/>
    <s v="948 Pine St, CityB"/>
    <d v="2023-09-05T15:59:00"/>
    <x v="1"/>
    <x v="23"/>
    <s v="Truck B"/>
    <x v="1"/>
    <n v="226"/>
    <n v="15"/>
    <x v="0"/>
    <x v="1"/>
    <x v="2"/>
    <s v="Standard Rules"/>
    <n v="0"/>
    <n v="0"/>
    <x v="7"/>
    <s v=""/>
    <n v="1"/>
  </r>
  <r>
    <n v="1653"/>
    <s v="325 Elm St, CityB"/>
    <d v="2023-09-02T08:42:00"/>
    <x v="0"/>
    <x v="91"/>
    <s v="Truck B"/>
    <x v="4"/>
    <n v="227"/>
    <n v="6"/>
    <x v="1"/>
    <x v="3"/>
    <x v="2"/>
    <s v="Custom Rules"/>
    <n v="0"/>
    <n v="0"/>
    <x v="4"/>
    <n v="811"/>
    <n v="1"/>
  </r>
  <r>
    <n v="1680"/>
    <s v="807 Pine St, CityB"/>
    <d v="2023-09-01T09:03:00"/>
    <x v="0"/>
    <x v="30"/>
    <s v="Truck B"/>
    <x v="1"/>
    <n v="145"/>
    <n v="9"/>
    <x v="0"/>
    <x v="4"/>
    <x v="2"/>
    <s v="Custom Rules"/>
    <n v="0"/>
    <n v="0"/>
    <x v="6"/>
    <n v="812"/>
    <n v="1"/>
  </r>
  <r>
    <n v="1688"/>
    <s v="586 Oak St, CityC"/>
    <d v="2023-09-06T09:14:00"/>
    <x v="0"/>
    <x v="90"/>
    <s v="Truck B"/>
    <x v="0"/>
    <n v="202"/>
    <n v="14"/>
    <x v="2"/>
    <x v="1"/>
    <x v="2"/>
    <s v="Custom Rules"/>
    <n v="0"/>
    <n v="1"/>
    <x v="1"/>
    <n v="807"/>
    <n v="1"/>
  </r>
  <r>
    <n v="1691"/>
    <s v="92 Pine St, CityC"/>
    <d v="2023-09-06T13:43:00"/>
    <x v="1"/>
    <x v="86"/>
    <s v="Truck B"/>
    <x v="4"/>
    <n v="195"/>
    <n v="10"/>
    <x v="1"/>
    <x v="2"/>
    <x v="2"/>
    <s v="Custom Rules"/>
    <n v="0"/>
    <n v="0"/>
    <x v="1"/>
    <s v=""/>
    <n v="1"/>
  </r>
  <r>
    <n v="1692"/>
    <s v="357 Elm St, CityC"/>
    <d v="2023-09-06T10:02:00"/>
    <x v="0"/>
    <x v="2"/>
    <s v="Truck B"/>
    <x v="2"/>
    <n v="114"/>
    <n v="14"/>
    <x v="0"/>
    <x v="3"/>
    <x v="2"/>
    <s v="Standard Rules"/>
    <n v="0"/>
    <n v="0"/>
    <x v="1"/>
    <n v="807"/>
    <n v="1"/>
  </r>
  <r>
    <n v="1717"/>
    <s v="780 Oak St, CityB"/>
    <d v="2023-09-02T12:21:00"/>
    <x v="1"/>
    <x v="36"/>
    <s v="Truck B"/>
    <x v="0"/>
    <n v="161"/>
    <n v="24"/>
    <x v="2"/>
    <x v="4"/>
    <x v="2"/>
    <s v="Custom Rules"/>
    <n v="0"/>
    <n v="1"/>
    <x v="4"/>
    <s v=""/>
    <n v="1"/>
  </r>
  <r>
    <n v="1722"/>
    <s v="517 Main St, CityD"/>
    <d v="2023-09-04T16:16:00"/>
    <x v="1"/>
    <x v="62"/>
    <s v="Truck B"/>
    <x v="3"/>
    <n v="190"/>
    <n v="16"/>
    <x v="1"/>
    <x v="4"/>
    <x v="2"/>
    <s v="Custom Rules"/>
    <n v="0"/>
    <n v="0"/>
    <x v="2"/>
    <s v=""/>
    <n v="1"/>
  </r>
  <r>
    <n v="1760"/>
    <s v="613 Oak St, CityC"/>
    <d v="2023-09-03T16:08:00"/>
    <x v="1"/>
    <x v="5"/>
    <s v="Truck B"/>
    <x v="4"/>
    <n v="97"/>
    <n v="10"/>
    <x v="0"/>
    <x v="1"/>
    <x v="2"/>
    <s v="Custom Rules"/>
    <n v="0"/>
    <n v="0"/>
    <x v="0"/>
    <s v=""/>
    <n v="1"/>
  </r>
  <r>
    <n v="1764"/>
    <s v="199 Oak St, CityE"/>
    <d v="2023-09-03T11:08:00"/>
    <x v="1"/>
    <x v="88"/>
    <s v="Truck B"/>
    <x v="2"/>
    <n v="150"/>
    <n v="22"/>
    <x v="0"/>
    <x v="3"/>
    <x v="2"/>
    <s v="Custom Rules"/>
    <n v="0"/>
    <n v="0"/>
    <x v="0"/>
    <s v=""/>
    <n v="1"/>
  </r>
  <r>
    <n v="1788"/>
    <s v="939 Elm St, CityA"/>
    <d v="2023-09-02T10:38:00"/>
    <x v="0"/>
    <x v="52"/>
    <s v="Truck B"/>
    <x v="3"/>
    <n v="150"/>
    <n v="18"/>
    <x v="1"/>
    <x v="3"/>
    <x v="2"/>
    <s v="Standard Rules"/>
    <n v="0"/>
    <n v="0"/>
    <x v="4"/>
    <n v="811"/>
    <n v="1"/>
  </r>
  <r>
    <n v="1796"/>
    <s v="572 Cedar St, CityC"/>
    <d v="2023-09-03T14:10:00"/>
    <x v="1"/>
    <x v="10"/>
    <s v="Truck B"/>
    <x v="3"/>
    <n v="151"/>
    <n v="2"/>
    <x v="1"/>
    <x v="1"/>
    <x v="2"/>
    <s v="Custom Rules"/>
    <n v="0"/>
    <n v="0"/>
    <x v="0"/>
    <s v=""/>
    <n v="1"/>
  </r>
  <r>
    <n v="1798"/>
    <s v="160 Cedar St, CityE"/>
    <d v="2023-09-08T09:26:00"/>
    <x v="0"/>
    <x v="14"/>
    <s v="Truck B"/>
    <x v="4"/>
    <n v="201"/>
    <n v="10"/>
    <x v="1"/>
    <x v="2"/>
    <x v="2"/>
    <s v="Custom Rules"/>
    <n v="0"/>
    <n v="0"/>
    <x v="5"/>
    <n v="805"/>
    <n v="1"/>
  </r>
  <r>
    <n v="1812"/>
    <s v="430 Cedar St, CityC"/>
    <d v="2023-09-07T12:41:00"/>
    <x v="1"/>
    <x v="88"/>
    <s v="Truck B"/>
    <x v="3"/>
    <n v="211"/>
    <n v="23"/>
    <x v="1"/>
    <x v="2"/>
    <x v="2"/>
    <s v="Standard Rules"/>
    <n v="0"/>
    <n v="0"/>
    <x v="3"/>
    <s v=""/>
    <n v="1"/>
  </r>
  <r>
    <n v="1828"/>
    <s v="85 Main St, CityA"/>
    <d v="2023-09-03T11:56:00"/>
    <x v="1"/>
    <x v="14"/>
    <s v="Truck B"/>
    <x v="2"/>
    <n v="68"/>
    <n v="4"/>
    <x v="1"/>
    <x v="1"/>
    <x v="2"/>
    <s v="Custom Rules"/>
    <n v="0"/>
    <n v="0"/>
    <x v="0"/>
    <s v=""/>
    <n v="1"/>
  </r>
  <r>
    <n v="1838"/>
    <s v="630 Main St, CityB"/>
    <d v="2023-09-05T14:58:00"/>
    <x v="0"/>
    <x v="90"/>
    <s v="Truck B"/>
    <x v="1"/>
    <n v="206"/>
    <n v="20"/>
    <x v="1"/>
    <x v="2"/>
    <x v="2"/>
    <s v="Standard Rules"/>
    <n v="0"/>
    <n v="0"/>
    <x v="7"/>
    <n v="808"/>
    <n v="1"/>
  </r>
  <r>
    <n v="1839"/>
    <s v="809 Elm St, CityD"/>
    <d v="2023-09-08T15:21:00"/>
    <x v="1"/>
    <x v="10"/>
    <s v="Truck B"/>
    <x v="4"/>
    <n v="140"/>
    <n v="18"/>
    <x v="2"/>
    <x v="1"/>
    <x v="2"/>
    <s v="Custom Rules"/>
    <n v="0"/>
    <n v="1"/>
    <x v="5"/>
    <s v=""/>
    <n v="1"/>
  </r>
  <r>
    <n v="1849"/>
    <s v="403 Oak St, CityB"/>
    <d v="2023-09-05T13:59:00"/>
    <x v="0"/>
    <x v="99"/>
    <s v="Truck B"/>
    <x v="0"/>
    <n v="168"/>
    <n v="27"/>
    <x v="0"/>
    <x v="1"/>
    <x v="2"/>
    <s v="Custom Rules"/>
    <n v="0"/>
    <n v="0"/>
    <x v="7"/>
    <n v="808"/>
    <n v="1"/>
  </r>
  <r>
    <n v="1857"/>
    <s v="82 Main St, CityE"/>
    <d v="2023-09-02T13:49:00"/>
    <x v="1"/>
    <x v="54"/>
    <s v="Truck B"/>
    <x v="1"/>
    <n v="141"/>
    <n v="7"/>
    <x v="1"/>
    <x v="4"/>
    <x v="2"/>
    <s v="Custom Rules"/>
    <n v="0"/>
    <n v="0"/>
    <x v="4"/>
    <s v=""/>
    <n v="1"/>
  </r>
  <r>
    <n v="1865"/>
    <s v="310 Elm St, CityD"/>
    <d v="2023-09-01T12:13:00"/>
    <x v="0"/>
    <x v="50"/>
    <s v="Truck B"/>
    <x v="2"/>
    <n v="119"/>
    <n v="26"/>
    <x v="0"/>
    <x v="4"/>
    <x v="2"/>
    <s v="Custom Rules"/>
    <n v="0"/>
    <n v="0"/>
    <x v="6"/>
    <n v="812"/>
    <n v="1"/>
  </r>
  <r>
    <n v="1868"/>
    <s v="354 Main St, CityA"/>
    <d v="2023-09-01T11:06:00"/>
    <x v="0"/>
    <x v="46"/>
    <s v="Truck B"/>
    <x v="4"/>
    <n v="115"/>
    <n v="7"/>
    <x v="2"/>
    <x v="3"/>
    <x v="2"/>
    <s v="Standard Rules"/>
    <n v="0"/>
    <n v="1"/>
    <x v="6"/>
    <n v="812"/>
    <n v="1"/>
  </r>
  <r>
    <n v="1871"/>
    <s v="675 Pine St, CityC"/>
    <d v="2023-09-02T10:09:00"/>
    <x v="0"/>
    <x v="77"/>
    <s v="Truck B"/>
    <x v="4"/>
    <n v="202"/>
    <n v="16"/>
    <x v="1"/>
    <x v="2"/>
    <x v="2"/>
    <s v="Standard Rules"/>
    <n v="0"/>
    <n v="0"/>
    <x v="4"/>
    <n v="811"/>
    <n v="1"/>
  </r>
  <r>
    <n v="1874"/>
    <s v="982 Cedar St, CityB"/>
    <d v="2023-09-04T13:10:00"/>
    <x v="0"/>
    <x v="24"/>
    <s v="Truck B"/>
    <x v="0"/>
    <n v="227"/>
    <n v="28"/>
    <x v="2"/>
    <x v="2"/>
    <x v="2"/>
    <s v="Custom Rules"/>
    <n v="0"/>
    <n v="1"/>
    <x v="2"/>
    <n v="809"/>
    <n v="1"/>
  </r>
  <r>
    <n v="1942"/>
    <s v="107 Cedar St, CityD"/>
    <d v="2023-09-07T14:03:00"/>
    <x v="1"/>
    <x v="9"/>
    <s v="Truck B"/>
    <x v="4"/>
    <n v="161"/>
    <n v="6"/>
    <x v="0"/>
    <x v="4"/>
    <x v="2"/>
    <s v="Custom Rules"/>
    <n v="0"/>
    <n v="0"/>
    <x v="3"/>
    <s v=""/>
    <n v="1"/>
  </r>
  <r>
    <n v="1947"/>
    <s v="790 Pine St, CityD"/>
    <d v="2023-09-05T16:03:00"/>
    <x v="0"/>
    <x v="67"/>
    <s v="Truck B"/>
    <x v="3"/>
    <n v="109"/>
    <n v="12"/>
    <x v="0"/>
    <x v="1"/>
    <x v="2"/>
    <s v="Standard Rules"/>
    <n v="0"/>
    <n v="0"/>
    <x v="7"/>
    <n v="808"/>
    <n v="1"/>
  </r>
  <r>
    <n v="1956"/>
    <s v="534 Cedar St, CityA"/>
    <d v="2023-09-05T16:50:00"/>
    <x v="0"/>
    <x v="24"/>
    <s v="Truck B"/>
    <x v="0"/>
    <n v="101"/>
    <n v="26"/>
    <x v="1"/>
    <x v="4"/>
    <x v="2"/>
    <s v="Custom Rules"/>
    <n v="0"/>
    <n v="0"/>
    <x v="7"/>
    <n v="808"/>
    <n v="1"/>
  </r>
  <r>
    <n v="1962"/>
    <s v="842 Pine St, CityC"/>
    <d v="2023-09-02T10:59:00"/>
    <x v="1"/>
    <x v="76"/>
    <s v="Truck B"/>
    <x v="0"/>
    <n v="224"/>
    <n v="10"/>
    <x v="1"/>
    <x v="3"/>
    <x v="2"/>
    <s v="Custom Rules"/>
    <n v="0"/>
    <n v="0"/>
    <x v="4"/>
    <s v=""/>
    <n v="1"/>
  </r>
  <r>
    <n v="1970"/>
    <s v="757 Oak St, CityD"/>
    <d v="2023-09-01T08:30:00"/>
    <x v="0"/>
    <x v="98"/>
    <s v="Truck B"/>
    <x v="0"/>
    <n v="78"/>
    <n v="3"/>
    <x v="0"/>
    <x v="1"/>
    <x v="2"/>
    <s v="Standard Rules"/>
    <n v="0"/>
    <n v="0"/>
    <x v="6"/>
    <n v="812"/>
    <n v="1"/>
  </r>
  <r>
    <n v="1972"/>
    <s v="336 Elm St, CityA"/>
    <d v="2023-09-03T10:27:00"/>
    <x v="0"/>
    <x v="25"/>
    <s v="Truck B"/>
    <x v="2"/>
    <n v="93"/>
    <n v="6"/>
    <x v="2"/>
    <x v="1"/>
    <x v="2"/>
    <s v="Custom Rules"/>
    <n v="0"/>
    <n v="1"/>
    <x v="0"/>
    <n v="810"/>
    <n v="1"/>
  </r>
  <r>
    <n v="1976"/>
    <s v="999 Oak St, CityC"/>
    <d v="2023-09-04T11:36:00"/>
    <x v="0"/>
    <x v="45"/>
    <s v="Truck B"/>
    <x v="2"/>
    <n v="150"/>
    <n v="6"/>
    <x v="1"/>
    <x v="1"/>
    <x v="2"/>
    <s v="Standard Rules"/>
    <n v="0"/>
    <n v="0"/>
    <x v="2"/>
    <n v="809"/>
    <n v="1"/>
  </r>
  <r>
    <n v="1983"/>
    <s v="958 Cedar St, CityE"/>
    <d v="2023-09-07T10:28:00"/>
    <x v="1"/>
    <x v="1"/>
    <s v="Truck B"/>
    <x v="3"/>
    <n v="203"/>
    <n v="24"/>
    <x v="2"/>
    <x v="2"/>
    <x v="2"/>
    <s v="Custom Rules"/>
    <n v="0"/>
    <n v="1"/>
    <x v="3"/>
    <s v=""/>
    <n v="1"/>
  </r>
  <r>
    <n v="2000"/>
    <s v="418 Main St, CityE"/>
    <d v="2023-09-08T14:35:00"/>
    <x v="1"/>
    <x v="10"/>
    <s v="Truck B"/>
    <x v="3"/>
    <n v="138"/>
    <n v="25"/>
    <x v="0"/>
    <x v="1"/>
    <x v="2"/>
    <s v="Custom Rules"/>
    <n v="0"/>
    <n v="0"/>
    <x v="5"/>
    <s v=""/>
    <n v="1"/>
  </r>
  <r>
    <n v="2023"/>
    <s v="3 Elm St, CityA"/>
    <d v="2023-09-04T15:26:00"/>
    <x v="1"/>
    <x v="48"/>
    <s v="Truck B"/>
    <x v="1"/>
    <n v="205"/>
    <n v="10"/>
    <x v="1"/>
    <x v="2"/>
    <x v="2"/>
    <s v="Standard Rules"/>
    <n v="0"/>
    <n v="0"/>
    <x v="2"/>
    <s v=""/>
    <n v="1"/>
  </r>
  <r>
    <n v="2065"/>
    <s v="112 Oak St, CityD"/>
    <d v="2023-09-04T09:59:00"/>
    <x v="0"/>
    <x v="41"/>
    <s v="Truck B"/>
    <x v="0"/>
    <n v="203"/>
    <n v="24"/>
    <x v="2"/>
    <x v="4"/>
    <x v="2"/>
    <s v="Custom Rules"/>
    <n v="0"/>
    <n v="1"/>
    <x v="2"/>
    <n v="809"/>
    <n v="1"/>
  </r>
  <r>
    <n v="2071"/>
    <s v="333 Main St, CityC"/>
    <d v="2023-09-06T16:35:00"/>
    <x v="0"/>
    <x v="49"/>
    <s v="Truck B"/>
    <x v="2"/>
    <n v="202"/>
    <n v="1"/>
    <x v="0"/>
    <x v="0"/>
    <x v="2"/>
    <s v="Standard Rules"/>
    <n v="0"/>
    <n v="0"/>
    <x v="1"/>
    <n v="807"/>
    <n v="1"/>
  </r>
  <r>
    <n v="2084"/>
    <s v="263 Main St, CityE"/>
    <d v="2023-09-06T08:35:00"/>
    <x v="1"/>
    <x v="4"/>
    <s v="Truck B"/>
    <x v="2"/>
    <n v="84"/>
    <n v="29"/>
    <x v="0"/>
    <x v="0"/>
    <x v="2"/>
    <s v="Custom Rules"/>
    <n v="0"/>
    <n v="0"/>
    <x v="1"/>
    <s v=""/>
    <n v="1"/>
  </r>
  <r>
    <n v="2090"/>
    <s v="811 Cedar St, CityE"/>
    <d v="2023-09-05T11:02:00"/>
    <x v="0"/>
    <x v="55"/>
    <s v="Truck B"/>
    <x v="0"/>
    <n v="119"/>
    <n v="9"/>
    <x v="1"/>
    <x v="3"/>
    <x v="2"/>
    <s v="Custom Rules"/>
    <n v="0"/>
    <n v="0"/>
    <x v="7"/>
    <n v="808"/>
    <n v="1"/>
  </r>
  <r>
    <n v="2107"/>
    <s v="63 Pine St, CityB"/>
    <d v="2023-09-07T09:42:00"/>
    <x v="0"/>
    <x v="93"/>
    <s v="Truck B"/>
    <x v="1"/>
    <n v="98"/>
    <n v="26"/>
    <x v="1"/>
    <x v="3"/>
    <x v="2"/>
    <s v="Standard Rules"/>
    <n v="0"/>
    <n v="0"/>
    <x v="3"/>
    <n v="806"/>
    <n v="1"/>
  </r>
  <r>
    <n v="2110"/>
    <s v="643 Oak St, CityD"/>
    <d v="2023-09-08T10:49:00"/>
    <x v="1"/>
    <x v="23"/>
    <s v="Truck B"/>
    <x v="2"/>
    <n v="238"/>
    <n v="16"/>
    <x v="1"/>
    <x v="0"/>
    <x v="2"/>
    <s v="Standard Rules"/>
    <n v="0"/>
    <n v="0"/>
    <x v="5"/>
    <s v=""/>
    <n v="1"/>
  </r>
  <r>
    <n v="2134"/>
    <s v="574 Pine St, CityD"/>
    <d v="2023-09-02T10:21:00"/>
    <x v="0"/>
    <x v="1"/>
    <s v="Truck B"/>
    <x v="2"/>
    <n v="64"/>
    <n v="18"/>
    <x v="1"/>
    <x v="4"/>
    <x v="2"/>
    <s v="Standard Rules"/>
    <n v="0"/>
    <n v="0"/>
    <x v="4"/>
    <n v="811"/>
    <n v="1"/>
  </r>
  <r>
    <n v="2141"/>
    <s v="552 Cedar St, CityA"/>
    <d v="2023-09-03T10:06:00"/>
    <x v="0"/>
    <x v="44"/>
    <s v="Truck B"/>
    <x v="1"/>
    <n v="232"/>
    <n v="10"/>
    <x v="0"/>
    <x v="0"/>
    <x v="2"/>
    <s v="Standard Rules"/>
    <n v="0"/>
    <n v="0"/>
    <x v="0"/>
    <n v="810"/>
    <n v="1"/>
  </r>
  <r>
    <n v="2153"/>
    <s v="31 Main St, CityA"/>
    <d v="2023-09-03T10:11:00"/>
    <x v="1"/>
    <x v="93"/>
    <s v="Truck B"/>
    <x v="2"/>
    <n v="181"/>
    <n v="16"/>
    <x v="1"/>
    <x v="3"/>
    <x v="2"/>
    <s v="Custom Rules"/>
    <n v="0"/>
    <n v="0"/>
    <x v="0"/>
    <s v=""/>
    <n v="1"/>
  </r>
  <r>
    <n v="2154"/>
    <s v="799 Main St, CityA"/>
    <d v="2023-09-05T15:24:00"/>
    <x v="1"/>
    <x v="65"/>
    <s v="Truck B"/>
    <x v="2"/>
    <n v="188"/>
    <n v="26"/>
    <x v="2"/>
    <x v="2"/>
    <x v="2"/>
    <s v="Custom Rules"/>
    <n v="0"/>
    <n v="1"/>
    <x v="7"/>
    <s v=""/>
    <n v="1"/>
  </r>
  <r>
    <n v="2163"/>
    <s v="814 Cedar St, CityC"/>
    <d v="2023-09-04T16:52:00"/>
    <x v="1"/>
    <x v="31"/>
    <s v="Truck B"/>
    <x v="2"/>
    <n v="72"/>
    <n v="28"/>
    <x v="1"/>
    <x v="3"/>
    <x v="2"/>
    <s v="Standard Rules"/>
    <n v="0"/>
    <n v="0"/>
    <x v="2"/>
    <s v=""/>
    <n v="1"/>
  </r>
  <r>
    <n v="2167"/>
    <s v="685 Cedar St, CityE"/>
    <d v="2023-09-06T16:38:00"/>
    <x v="0"/>
    <x v="78"/>
    <s v="Truck B"/>
    <x v="2"/>
    <n v="169"/>
    <n v="24"/>
    <x v="0"/>
    <x v="1"/>
    <x v="2"/>
    <s v="Custom Rules"/>
    <n v="0"/>
    <n v="0"/>
    <x v="1"/>
    <n v="807"/>
    <n v="1"/>
  </r>
  <r>
    <n v="2178"/>
    <s v="371 Cedar St, CityC"/>
    <d v="2023-09-08T10:28:00"/>
    <x v="0"/>
    <x v="89"/>
    <s v="Truck B"/>
    <x v="0"/>
    <n v="114"/>
    <n v="23"/>
    <x v="1"/>
    <x v="3"/>
    <x v="2"/>
    <s v="Standard Rules"/>
    <n v="0"/>
    <n v="0"/>
    <x v="5"/>
    <n v="805"/>
    <n v="1"/>
  </r>
  <r>
    <n v="2197"/>
    <s v="855 Cedar St, CityA"/>
    <d v="2023-09-02T16:21:00"/>
    <x v="0"/>
    <x v="44"/>
    <s v="Truck B"/>
    <x v="1"/>
    <n v="189"/>
    <n v="22"/>
    <x v="0"/>
    <x v="4"/>
    <x v="2"/>
    <s v="Standard Rules"/>
    <n v="0"/>
    <n v="0"/>
    <x v="4"/>
    <n v="811"/>
    <n v="1"/>
  </r>
  <r>
    <n v="2214"/>
    <s v="220 Main St, CityC"/>
    <d v="2023-09-01T10:53:00"/>
    <x v="0"/>
    <x v="13"/>
    <s v="Truck B"/>
    <x v="1"/>
    <n v="76"/>
    <n v="19"/>
    <x v="1"/>
    <x v="2"/>
    <x v="2"/>
    <s v="Custom Rules"/>
    <n v="0"/>
    <n v="0"/>
    <x v="6"/>
    <n v="812"/>
    <n v="1"/>
  </r>
  <r>
    <n v="2253"/>
    <s v="879 Pine St, CityE"/>
    <d v="2023-09-08T10:52:00"/>
    <x v="1"/>
    <x v="90"/>
    <s v="Truck B"/>
    <x v="4"/>
    <n v="216"/>
    <n v="24"/>
    <x v="1"/>
    <x v="3"/>
    <x v="2"/>
    <s v="Standard Rules"/>
    <n v="0"/>
    <n v="0"/>
    <x v="5"/>
    <s v=""/>
    <n v="1"/>
  </r>
  <r>
    <n v="2264"/>
    <s v="123 Pine St, CityA"/>
    <d v="2023-09-04T08:04:00"/>
    <x v="1"/>
    <x v="34"/>
    <s v="Truck B"/>
    <x v="4"/>
    <n v="235"/>
    <n v="11"/>
    <x v="2"/>
    <x v="0"/>
    <x v="2"/>
    <s v="Standard Rules"/>
    <n v="0"/>
    <n v="1"/>
    <x v="2"/>
    <s v=""/>
    <n v="1"/>
  </r>
  <r>
    <n v="2278"/>
    <s v="622 Cedar St, CityE"/>
    <d v="2023-09-02T16:44:00"/>
    <x v="1"/>
    <x v="7"/>
    <s v="Truck B"/>
    <x v="2"/>
    <n v="234"/>
    <n v="6"/>
    <x v="0"/>
    <x v="0"/>
    <x v="2"/>
    <s v="Standard Rules"/>
    <n v="0"/>
    <n v="0"/>
    <x v="4"/>
    <s v=""/>
    <n v="1"/>
  </r>
  <r>
    <n v="2287"/>
    <s v="244 Pine St, CityD"/>
    <d v="2023-09-02T13:36:00"/>
    <x v="1"/>
    <x v="94"/>
    <s v="Truck B"/>
    <x v="4"/>
    <n v="77"/>
    <n v="22"/>
    <x v="1"/>
    <x v="1"/>
    <x v="2"/>
    <s v="Custom Rules"/>
    <n v="0"/>
    <n v="0"/>
    <x v="4"/>
    <s v=""/>
    <n v="1"/>
  </r>
  <r>
    <n v="2309"/>
    <s v="6 Cedar St, CityD"/>
    <d v="2023-09-01T14:18:00"/>
    <x v="1"/>
    <x v="71"/>
    <s v="Truck B"/>
    <x v="4"/>
    <n v="225"/>
    <n v="9"/>
    <x v="0"/>
    <x v="3"/>
    <x v="2"/>
    <s v="Standard Rules"/>
    <n v="0"/>
    <n v="0"/>
    <x v="6"/>
    <s v=""/>
    <n v="1"/>
  </r>
  <r>
    <n v="2319"/>
    <s v="378 Cedar St, CityE"/>
    <d v="2023-09-05T12:34:00"/>
    <x v="1"/>
    <x v="83"/>
    <s v="Truck B"/>
    <x v="1"/>
    <n v="71"/>
    <n v="1"/>
    <x v="0"/>
    <x v="4"/>
    <x v="2"/>
    <s v="Custom Rules"/>
    <n v="0"/>
    <n v="0"/>
    <x v="7"/>
    <s v=""/>
    <n v="1"/>
  </r>
  <r>
    <n v="2336"/>
    <s v="977 Elm St, CityB"/>
    <d v="2023-09-01T14:28:00"/>
    <x v="0"/>
    <x v="3"/>
    <s v="Truck B"/>
    <x v="2"/>
    <n v="122"/>
    <n v="1"/>
    <x v="2"/>
    <x v="4"/>
    <x v="2"/>
    <s v="Custom Rules"/>
    <n v="0"/>
    <n v="1"/>
    <x v="6"/>
    <n v="812"/>
    <n v="1"/>
  </r>
  <r>
    <n v="2343"/>
    <s v="656 Main St, CityD"/>
    <d v="2023-09-05T08:14:00"/>
    <x v="0"/>
    <x v="47"/>
    <s v="Truck B"/>
    <x v="2"/>
    <n v="125"/>
    <n v="22"/>
    <x v="2"/>
    <x v="2"/>
    <x v="2"/>
    <s v="Custom Rules"/>
    <n v="0"/>
    <n v="1"/>
    <x v="7"/>
    <n v="808"/>
    <n v="1"/>
  </r>
  <r>
    <n v="2351"/>
    <s v="142 Cedar St, CityA"/>
    <d v="2023-09-07T13:39:00"/>
    <x v="1"/>
    <x v="46"/>
    <s v="Truck B"/>
    <x v="2"/>
    <n v="207"/>
    <n v="28"/>
    <x v="0"/>
    <x v="1"/>
    <x v="2"/>
    <s v="Custom Rules"/>
    <n v="0"/>
    <n v="0"/>
    <x v="3"/>
    <s v=""/>
    <n v="1"/>
  </r>
  <r>
    <n v="2373"/>
    <s v="642 Main St, CityA"/>
    <d v="2023-09-03T15:31:00"/>
    <x v="0"/>
    <x v="14"/>
    <s v="Truck B"/>
    <x v="0"/>
    <n v="207"/>
    <n v="22"/>
    <x v="0"/>
    <x v="4"/>
    <x v="2"/>
    <s v="Custom Rules"/>
    <n v="0"/>
    <n v="0"/>
    <x v="0"/>
    <n v="810"/>
    <n v="1"/>
  </r>
  <r>
    <n v="2380"/>
    <s v="207 Main St, CityA"/>
    <d v="2023-09-06T10:45:00"/>
    <x v="0"/>
    <x v="64"/>
    <s v="Truck B"/>
    <x v="0"/>
    <n v="117"/>
    <n v="2"/>
    <x v="1"/>
    <x v="4"/>
    <x v="2"/>
    <s v="Custom Rules"/>
    <n v="0"/>
    <n v="0"/>
    <x v="1"/>
    <n v="807"/>
    <n v="1"/>
  </r>
  <r>
    <n v="2394"/>
    <s v="18 Pine St, CityD"/>
    <d v="2023-09-05T09:22:00"/>
    <x v="1"/>
    <x v="62"/>
    <s v="Truck B"/>
    <x v="4"/>
    <n v="119"/>
    <n v="3"/>
    <x v="2"/>
    <x v="3"/>
    <x v="2"/>
    <s v="Custom Rules"/>
    <n v="0"/>
    <n v="1"/>
    <x v="7"/>
    <s v=""/>
    <n v="1"/>
  </r>
  <r>
    <n v="2412"/>
    <s v="354 Pine St, CityA"/>
    <d v="2023-09-04T14:20:00"/>
    <x v="0"/>
    <x v="32"/>
    <s v="Truck B"/>
    <x v="4"/>
    <n v="104"/>
    <n v="20"/>
    <x v="2"/>
    <x v="4"/>
    <x v="2"/>
    <s v="Custom Rules"/>
    <n v="0"/>
    <n v="1"/>
    <x v="2"/>
    <n v="809"/>
    <n v="1"/>
  </r>
  <r>
    <n v="2477"/>
    <s v="130 Main St, CityC"/>
    <d v="2023-09-06T08:18:00"/>
    <x v="0"/>
    <x v="82"/>
    <s v="Truck B"/>
    <x v="0"/>
    <n v="235"/>
    <n v="13"/>
    <x v="1"/>
    <x v="1"/>
    <x v="2"/>
    <s v="Standard Rules"/>
    <n v="0"/>
    <n v="0"/>
    <x v="1"/>
    <n v="807"/>
    <n v="1"/>
  </r>
  <r>
    <n v="2480"/>
    <s v="444 Cedar St, CityC"/>
    <d v="2023-09-02T11:25:00"/>
    <x v="1"/>
    <x v="63"/>
    <s v="Truck B"/>
    <x v="3"/>
    <n v="155"/>
    <n v="9"/>
    <x v="1"/>
    <x v="3"/>
    <x v="2"/>
    <s v="Custom Rules"/>
    <n v="0"/>
    <n v="0"/>
    <x v="4"/>
    <s v=""/>
    <n v="1"/>
  </r>
  <r>
    <n v="2494"/>
    <s v="987 Cedar St, CityA"/>
    <d v="2023-09-08T11:37:00"/>
    <x v="1"/>
    <x v="12"/>
    <s v="Truck B"/>
    <x v="3"/>
    <n v="71"/>
    <n v="3"/>
    <x v="0"/>
    <x v="1"/>
    <x v="2"/>
    <s v="Standard Rules"/>
    <n v="0"/>
    <n v="0"/>
    <x v="5"/>
    <s v=""/>
    <n v="1"/>
  </r>
  <r>
    <n v="1007"/>
    <s v="856 Elm St, CityA"/>
    <d v="2023-09-07T13:48:00"/>
    <x v="0"/>
    <x v="62"/>
    <s v="Truck B"/>
    <x v="1"/>
    <n v="161"/>
    <n v="8"/>
    <x v="2"/>
    <x v="1"/>
    <x v="2"/>
    <s v="Expedited Rules"/>
    <n v="0"/>
    <n v="1"/>
    <x v="3"/>
    <n v="806"/>
    <n v="1"/>
  </r>
  <r>
    <n v="1014"/>
    <s v="99 Oak St, CityC"/>
    <d v="2023-09-08T16:25:00"/>
    <x v="1"/>
    <x v="94"/>
    <s v="Truck B"/>
    <x v="4"/>
    <n v="66"/>
    <n v="11"/>
    <x v="0"/>
    <x v="0"/>
    <x v="2"/>
    <s v="Expedited Rules"/>
    <n v="0"/>
    <n v="0"/>
    <x v="5"/>
    <s v=""/>
    <n v="1"/>
  </r>
  <r>
    <n v="1028"/>
    <s v="979 Elm St, CityB"/>
    <d v="2023-09-02T09:14:00"/>
    <x v="1"/>
    <x v="49"/>
    <s v="Truck B"/>
    <x v="4"/>
    <n v="165"/>
    <n v="17"/>
    <x v="0"/>
    <x v="4"/>
    <x v="2"/>
    <s v="Expedited Rules"/>
    <n v="0"/>
    <n v="0"/>
    <x v="4"/>
    <s v=""/>
    <n v="1"/>
  </r>
  <r>
    <n v="1040"/>
    <s v="605 Cedar St, CityB"/>
    <d v="2023-09-06T11:33:00"/>
    <x v="1"/>
    <x v="87"/>
    <s v="Truck B"/>
    <x v="2"/>
    <n v="103"/>
    <n v="9"/>
    <x v="0"/>
    <x v="0"/>
    <x v="2"/>
    <s v="Expedited Rules"/>
    <n v="0"/>
    <n v="0"/>
    <x v="1"/>
    <s v=""/>
    <n v="1"/>
  </r>
  <r>
    <n v="1095"/>
    <s v="642 Pine St, CityA"/>
    <d v="2023-09-04T09:33:00"/>
    <x v="0"/>
    <x v="40"/>
    <s v="Truck B"/>
    <x v="1"/>
    <n v="157"/>
    <n v="1"/>
    <x v="0"/>
    <x v="2"/>
    <x v="2"/>
    <s v="Expedited Rules"/>
    <n v="0"/>
    <n v="0"/>
    <x v="2"/>
    <n v="809"/>
    <n v="1"/>
  </r>
  <r>
    <n v="1139"/>
    <s v="578 Cedar St, CityA"/>
    <d v="2023-09-08T10:57:00"/>
    <x v="1"/>
    <x v="40"/>
    <s v="Truck B"/>
    <x v="1"/>
    <n v="97"/>
    <n v="13"/>
    <x v="0"/>
    <x v="4"/>
    <x v="2"/>
    <s v="Expedited Rules"/>
    <n v="0"/>
    <n v="0"/>
    <x v="5"/>
    <s v=""/>
    <n v="1"/>
  </r>
  <r>
    <n v="1150"/>
    <s v="904 Elm St, CityC"/>
    <d v="2023-09-03T16:12:00"/>
    <x v="1"/>
    <x v="46"/>
    <s v="Truck B"/>
    <x v="0"/>
    <n v="106"/>
    <n v="10"/>
    <x v="0"/>
    <x v="0"/>
    <x v="2"/>
    <s v="Expedited Rules"/>
    <n v="0"/>
    <n v="0"/>
    <x v="0"/>
    <s v=""/>
    <n v="1"/>
  </r>
  <r>
    <n v="1158"/>
    <s v="752 Pine St, CityD"/>
    <d v="2023-09-05T11:01:00"/>
    <x v="0"/>
    <x v="45"/>
    <s v="Truck B"/>
    <x v="0"/>
    <n v="83"/>
    <n v="8"/>
    <x v="2"/>
    <x v="1"/>
    <x v="2"/>
    <s v="Expedited Rules"/>
    <n v="0"/>
    <n v="1"/>
    <x v="7"/>
    <n v="808"/>
    <n v="1"/>
  </r>
  <r>
    <n v="1205"/>
    <s v="705 Oak St, CityD"/>
    <d v="2023-09-06T14:59:00"/>
    <x v="1"/>
    <x v="63"/>
    <s v="Truck B"/>
    <x v="2"/>
    <n v="171"/>
    <n v="12"/>
    <x v="1"/>
    <x v="2"/>
    <x v="2"/>
    <s v="Expedited Rules"/>
    <n v="0"/>
    <n v="0"/>
    <x v="1"/>
    <s v=""/>
    <n v="1"/>
  </r>
  <r>
    <n v="1224"/>
    <s v="768 Pine St, CityA"/>
    <d v="2023-09-06T09:01:00"/>
    <x v="1"/>
    <x v="36"/>
    <s v="Truck B"/>
    <x v="3"/>
    <n v="61"/>
    <n v="29"/>
    <x v="0"/>
    <x v="2"/>
    <x v="2"/>
    <s v="Expedited Rules"/>
    <n v="0"/>
    <n v="0"/>
    <x v="1"/>
    <s v=""/>
    <n v="1"/>
  </r>
  <r>
    <n v="1242"/>
    <s v="383 Main St, CityB"/>
    <d v="2023-09-03T15:06:00"/>
    <x v="0"/>
    <x v="77"/>
    <s v="Truck B"/>
    <x v="4"/>
    <n v="186"/>
    <n v="24"/>
    <x v="1"/>
    <x v="3"/>
    <x v="2"/>
    <s v="Expedited Rules"/>
    <n v="0"/>
    <n v="0"/>
    <x v="0"/>
    <n v="810"/>
    <n v="1"/>
  </r>
  <r>
    <n v="1246"/>
    <s v="892 Cedar St, CityA"/>
    <d v="2023-09-07T16:02:00"/>
    <x v="1"/>
    <x v="24"/>
    <s v="Truck B"/>
    <x v="3"/>
    <n v="66"/>
    <n v="21"/>
    <x v="1"/>
    <x v="4"/>
    <x v="2"/>
    <s v="Expedited Rules"/>
    <n v="0"/>
    <n v="0"/>
    <x v="3"/>
    <s v=""/>
    <n v="1"/>
  </r>
  <r>
    <n v="1257"/>
    <s v="620 Elm St, CityD"/>
    <d v="2023-09-01T12:31:00"/>
    <x v="0"/>
    <x v="28"/>
    <s v="Truck B"/>
    <x v="0"/>
    <n v="218"/>
    <n v="25"/>
    <x v="2"/>
    <x v="4"/>
    <x v="2"/>
    <s v="Expedited Rules"/>
    <n v="0"/>
    <n v="1"/>
    <x v="6"/>
    <n v="812"/>
    <n v="1"/>
  </r>
  <r>
    <n v="1261"/>
    <s v="998 Elm St, CityC"/>
    <d v="2023-09-07T12:53:00"/>
    <x v="1"/>
    <x v="94"/>
    <s v="Truck B"/>
    <x v="3"/>
    <n v="91"/>
    <n v="10"/>
    <x v="1"/>
    <x v="3"/>
    <x v="2"/>
    <s v="Expedited Rules"/>
    <n v="0"/>
    <n v="0"/>
    <x v="3"/>
    <s v=""/>
    <n v="1"/>
  </r>
  <r>
    <n v="1279"/>
    <s v="695 Main St, CityE"/>
    <d v="2023-09-08T14:50:00"/>
    <x v="0"/>
    <x v="57"/>
    <s v="Truck B"/>
    <x v="0"/>
    <n v="227"/>
    <n v="1"/>
    <x v="2"/>
    <x v="1"/>
    <x v="2"/>
    <s v="Expedited Rules"/>
    <n v="0"/>
    <n v="1"/>
    <x v="5"/>
    <n v="805"/>
    <n v="1"/>
  </r>
  <r>
    <n v="1280"/>
    <s v="269 Oak St, CityD"/>
    <d v="2023-09-02T11:41:00"/>
    <x v="1"/>
    <x v="91"/>
    <s v="Truck B"/>
    <x v="2"/>
    <n v="98"/>
    <n v="25"/>
    <x v="0"/>
    <x v="0"/>
    <x v="2"/>
    <s v="Expedited Rules"/>
    <n v="0"/>
    <n v="0"/>
    <x v="4"/>
    <s v=""/>
    <n v="1"/>
  </r>
  <r>
    <n v="1348"/>
    <s v="255 Pine St, CityD"/>
    <d v="2023-09-03T12:34:00"/>
    <x v="1"/>
    <x v="11"/>
    <s v="Truck B"/>
    <x v="4"/>
    <n v="156"/>
    <n v="1"/>
    <x v="1"/>
    <x v="2"/>
    <x v="2"/>
    <s v="Expedited Rules"/>
    <n v="0"/>
    <n v="0"/>
    <x v="0"/>
    <s v=""/>
    <n v="1"/>
  </r>
  <r>
    <n v="1358"/>
    <s v="283 Elm St, CityE"/>
    <d v="2023-09-03T11:22:00"/>
    <x v="1"/>
    <x v="28"/>
    <s v="Truck B"/>
    <x v="3"/>
    <n v="110"/>
    <n v="15"/>
    <x v="1"/>
    <x v="1"/>
    <x v="2"/>
    <s v="Expedited Rules"/>
    <n v="0"/>
    <n v="0"/>
    <x v="0"/>
    <s v=""/>
    <n v="1"/>
  </r>
  <r>
    <n v="1391"/>
    <s v="25 Pine St, CityE"/>
    <d v="2023-09-08T10:03:00"/>
    <x v="0"/>
    <x v="19"/>
    <s v="Truck B"/>
    <x v="3"/>
    <n v="176"/>
    <n v="14"/>
    <x v="0"/>
    <x v="0"/>
    <x v="2"/>
    <s v="Expedited Rules"/>
    <n v="0"/>
    <n v="0"/>
    <x v="5"/>
    <n v="805"/>
    <n v="1"/>
  </r>
  <r>
    <n v="1418"/>
    <s v="882 Oak St, CityB"/>
    <d v="2023-09-03T14:50:00"/>
    <x v="0"/>
    <x v="73"/>
    <s v="Truck B"/>
    <x v="4"/>
    <n v="205"/>
    <n v="17"/>
    <x v="0"/>
    <x v="4"/>
    <x v="2"/>
    <s v="Expedited Rules"/>
    <n v="0"/>
    <n v="0"/>
    <x v="0"/>
    <n v="810"/>
    <n v="1"/>
  </r>
  <r>
    <n v="1437"/>
    <s v="942 Main St, CityD"/>
    <d v="2023-09-07T09:30:00"/>
    <x v="1"/>
    <x v="76"/>
    <s v="Truck B"/>
    <x v="4"/>
    <n v="221"/>
    <n v="29"/>
    <x v="0"/>
    <x v="3"/>
    <x v="2"/>
    <s v="Expedited Rules"/>
    <n v="0"/>
    <n v="0"/>
    <x v="3"/>
    <s v=""/>
    <n v="1"/>
  </r>
  <r>
    <n v="1454"/>
    <s v="666 Main St, CityE"/>
    <d v="2023-09-04T16:44:00"/>
    <x v="0"/>
    <x v="12"/>
    <s v="Truck B"/>
    <x v="4"/>
    <n v="79"/>
    <n v="3"/>
    <x v="0"/>
    <x v="2"/>
    <x v="2"/>
    <s v="Expedited Rules"/>
    <n v="0"/>
    <n v="0"/>
    <x v="2"/>
    <n v="809"/>
    <n v="1"/>
  </r>
  <r>
    <n v="1456"/>
    <s v="975 Pine St, CityB"/>
    <d v="2023-09-05T13:51:00"/>
    <x v="0"/>
    <x v="4"/>
    <s v="Truck B"/>
    <x v="4"/>
    <n v="212"/>
    <n v="20"/>
    <x v="0"/>
    <x v="3"/>
    <x v="2"/>
    <s v="Expedited Rules"/>
    <n v="0"/>
    <n v="0"/>
    <x v="7"/>
    <n v="808"/>
    <n v="1"/>
  </r>
  <r>
    <n v="1495"/>
    <s v="846 Elm St, CityE"/>
    <d v="2023-09-03T14:37:00"/>
    <x v="0"/>
    <x v="31"/>
    <s v="Truck B"/>
    <x v="3"/>
    <n v="118"/>
    <n v="29"/>
    <x v="0"/>
    <x v="3"/>
    <x v="2"/>
    <s v="Expedited Rules"/>
    <n v="0"/>
    <n v="0"/>
    <x v="0"/>
    <n v="810"/>
    <n v="1"/>
  </r>
  <r>
    <n v="1504"/>
    <s v="214 Oak St, CityD"/>
    <d v="2023-09-04T10:57:00"/>
    <x v="0"/>
    <x v="61"/>
    <s v="Truck B"/>
    <x v="3"/>
    <n v="75"/>
    <n v="28"/>
    <x v="1"/>
    <x v="0"/>
    <x v="2"/>
    <s v="Expedited Rules"/>
    <n v="0"/>
    <n v="0"/>
    <x v="2"/>
    <n v="809"/>
    <n v="1"/>
  </r>
  <r>
    <n v="1536"/>
    <s v="992 Main St, CityB"/>
    <d v="2023-09-02T15:53:00"/>
    <x v="1"/>
    <x v="91"/>
    <s v="Truck B"/>
    <x v="2"/>
    <n v="191"/>
    <n v="7"/>
    <x v="2"/>
    <x v="2"/>
    <x v="2"/>
    <s v="Expedited Rules"/>
    <n v="0"/>
    <n v="1"/>
    <x v="4"/>
    <s v=""/>
    <n v="1"/>
  </r>
  <r>
    <n v="1546"/>
    <s v="376 Pine St, CityA"/>
    <d v="2023-09-01T15:02:00"/>
    <x v="0"/>
    <x v="2"/>
    <s v="Truck B"/>
    <x v="3"/>
    <n v="130"/>
    <n v="3"/>
    <x v="0"/>
    <x v="3"/>
    <x v="2"/>
    <s v="Expedited Rules"/>
    <n v="0"/>
    <n v="0"/>
    <x v="6"/>
    <n v="812"/>
    <n v="1"/>
  </r>
  <r>
    <n v="1561"/>
    <s v="424 Main St, CityE"/>
    <d v="2023-09-06T10:27:00"/>
    <x v="1"/>
    <x v="69"/>
    <s v="Truck B"/>
    <x v="3"/>
    <n v="176"/>
    <n v="18"/>
    <x v="1"/>
    <x v="3"/>
    <x v="2"/>
    <s v="Expedited Rules"/>
    <n v="0"/>
    <n v="0"/>
    <x v="1"/>
    <s v=""/>
    <n v="1"/>
  </r>
  <r>
    <n v="1622"/>
    <s v="211 Cedar St, CityC"/>
    <d v="2023-09-05T15:12:00"/>
    <x v="0"/>
    <x v="61"/>
    <s v="Truck B"/>
    <x v="3"/>
    <n v="196"/>
    <n v="17"/>
    <x v="1"/>
    <x v="0"/>
    <x v="2"/>
    <s v="Expedited Rules"/>
    <n v="0"/>
    <n v="0"/>
    <x v="7"/>
    <n v="808"/>
    <n v="1"/>
  </r>
  <r>
    <n v="1637"/>
    <s v="111 Pine St, CityD"/>
    <d v="2023-09-04T12:59:00"/>
    <x v="1"/>
    <x v="59"/>
    <s v="Truck B"/>
    <x v="3"/>
    <n v="204"/>
    <n v="24"/>
    <x v="0"/>
    <x v="3"/>
    <x v="2"/>
    <s v="Expedited Rules"/>
    <n v="0"/>
    <n v="0"/>
    <x v="2"/>
    <s v=""/>
    <n v="1"/>
  </r>
  <r>
    <n v="1640"/>
    <s v="371 Main St, CityA"/>
    <d v="2023-09-05T14:58:00"/>
    <x v="0"/>
    <x v="14"/>
    <s v="Truck B"/>
    <x v="0"/>
    <n v="213"/>
    <n v="21"/>
    <x v="2"/>
    <x v="2"/>
    <x v="2"/>
    <s v="Expedited Rules"/>
    <n v="0"/>
    <n v="1"/>
    <x v="7"/>
    <n v="808"/>
    <n v="1"/>
  </r>
  <r>
    <n v="1645"/>
    <s v="41 Cedar St, CityA"/>
    <d v="2023-09-06T08:25:00"/>
    <x v="0"/>
    <x v="35"/>
    <s v="Truck B"/>
    <x v="4"/>
    <n v="185"/>
    <n v="27"/>
    <x v="2"/>
    <x v="1"/>
    <x v="2"/>
    <s v="Expedited Rules"/>
    <n v="0"/>
    <n v="1"/>
    <x v="1"/>
    <n v="807"/>
    <n v="1"/>
  </r>
  <r>
    <n v="1689"/>
    <s v="391 Main St, CityD"/>
    <d v="2023-09-06T10:34:00"/>
    <x v="1"/>
    <x v="56"/>
    <s v="Truck B"/>
    <x v="0"/>
    <n v="157"/>
    <n v="26"/>
    <x v="2"/>
    <x v="1"/>
    <x v="2"/>
    <s v="Expedited Rules"/>
    <n v="0"/>
    <n v="1"/>
    <x v="1"/>
    <s v=""/>
    <n v="1"/>
  </r>
  <r>
    <n v="1762"/>
    <s v="489 Main St, CityD"/>
    <d v="2023-09-04T08:11:00"/>
    <x v="1"/>
    <x v="34"/>
    <s v="Truck B"/>
    <x v="2"/>
    <n v="211"/>
    <n v="26"/>
    <x v="1"/>
    <x v="0"/>
    <x v="2"/>
    <s v="Expedited Rules"/>
    <n v="0"/>
    <n v="0"/>
    <x v="2"/>
    <s v=""/>
    <n v="1"/>
  </r>
  <r>
    <n v="1780"/>
    <s v="148 Elm St, CityB"/>
    <d v="2023-09-01T13:56:00"/>
    <x v="1"/>
    <x v="43"/>
    <s v="Truck B"/>
    <x v="4"/>
    <n v="184"/>
    <n v="7"/>
    <x v="2"/>
    <x v="0"/>
    <x v="2"/>
    <s v="Expedited Rules"/>
    <n v="0"/>
    <n v="1"/>
    <x v="6"/>
    <s v=""/>
    <n v="1"/>
  </r>
  <r>
    <n v="1782"/>
    <s v="283 Pine St, CityB"/>
    <d v="2023-09-01T11:00:00"/>
    <x v="1"/>
    <x v="43"/>
    <s v="Truck B"/>
    <x v="3"/>
    <n v="146"/>
    <n v="29"/>
    <x v="1"/>
    <x v="4"/>
    <x v="2"/>
    <s v="Expedited Rules"/>
    <n v="0"/>
    <n v="0"/>
    <x v="6"/>
    <s v=""/>
    <n v="1"/>
  </r>
  <r>
    <n v="1784"/>
    <s v="13 Elm St, CityB"/>
    <d v="2023-09-08T15:29:00"/>
    <x v="1"/>
    <x v="53"/>
    <s v="Truck B"/>
    <x v="4"/>
    <n v="209"/>
    <n v="24"/>
    <x v="0"/>
    <x v="4"/>
    <x v="2"/>
    <s v="Expedited Rules"/>
    <n v="0"/>
    <n v="0"/>
    <x v="5"/>
    <s v=""/>
    <n v="1"/>
  </r>
  <r>
    <n v="1818"/>
    <s v="425 Pine St, CityA"/>
    <d v="2023-09-03T14:42:00"/>
    <x v="1"/>
    <x v="29"/>
    <s v="Truck B"/>
    <x v="1"/>
    <n v="182"/>
    <n v="25"/>
    <x v="2"/>
    <x v="4"/>
    <x v="2"/>
    <s v="Expedited Rules"/>
    <n v="0"/>
    <n v="1"/>
    <x v="0"/>
    <s v=""/>
    <n v="1"/>
  </r>
  <r>
    <n v="1827"/>
    <s v="874 Main St, CityA"/>
    <d v="2023-09-06T11:35:00"/>
    <x v="1"/>
    <x v="99"/>
    <s v="Truck B"/>
    <x v="3"/>
    <n v="238"/>
    <n v="4"/>
    <x v="0"/>
    <x v="3"/>
    <x v="2"/>
    <s v="Expedited Rules"/>
    <n v="0"/>
    <n v="0"/>
    <x v="1"/>
    <s v=""/>
    <n v="1"/>
  </r>
  <r>
    <n v="1837"/>
    <s v="597 Main St, CityA"/>
    <d v="2023-09-08T12:23:00"/>
    <x v="1"/>
    <x v="42"/>
    <s v="Truck B"/>
    <x v="2"/>
    <n v="114"/>
    <n v="17"/>
    <x v="2"/>
    <x v="3"/>
    <x v="2"/>
    <s v="Expedited Rules"/>
    <n v="0"/>
    <n v="1"/>
    <x v="5"/>
    <s v=""/>
    <n v="1"/>
  </r>
  <r>
    <n v="1876"/>
    <s v="426 Main St, CityD"/>
    <d v="2023-09-08T10:27:00"/>
    <x v="0"/>
    <x v="97"/>
    <s v="Truck B"/>
    <x v="2"/>
    <n v="192"/>
    <n v="15"/>
    <x v="0"/>
    <x v="1"/>
    <x v="2"/>
    <s v="Expedited Rules"/>
    <n v="0"/>
    <n v="0"/>
    <x v="5"/>
    <n v="805"/>
    <n v="1"/>
  </r>
  <r>
    <n v="1919"/>
    <s v="954 Oak St, CityB"/>
    <d v="2023-09-07T08:30:00"/>
    <x v="0"/>
    <x v="78"/>
    <s v="Truck B"/>
    <x v="1"/>
    <n v="122"/>
    <n v="6"/>
    <x v="2"/>
    <x v="0"/>
    <x v="2"/>
    <s v="Expedited Rules"/>
    <n v="0"/>
    <n v="1"/>
    <x v="3"/>
    <n v="806"/>
    <n v="1"/>
  </r>
  <r>
    <n v="1954"/>
    <s v="883 Pine St, CityA"/>
    <d v="2023-09-07T11:49:00"/>
    <x v="0"/>
    <x v="24"/>
    <s v="Truck B"/>
    <x v="1"/>
    <n v="185"/>
    <n v="14"/>
    <x v="2"/>
    <x v="0"/>
    <x v="2"/>
    <s v="Expedited Rules"/>
    <n v="0"/>
    <n v="1"/>
    <x v="3"/>
    <n v="806"/>
    <n v="1"/>
  </r>
  <r>
    <n v="1957"/>
    <s v="608 Elm St, CityD"/>
    <d v="2023-09-08T14:14:00"/>
    <x v="0"/>
    <x v="88"/>
    <s v="Truck B"/>
    <x v="3"/>
    <n v="215"/>
    <n v="5"/>
    <x v="2"/>
    <x v="1"/>
    <x v="2"/>
    <s v="Expedited Rules"/>
    <n v="0"/>
    <n v="1"/>
    <x v="5"/>
    <n v="805"/>
    <n v="1"/>
  </r>
  <r>
    <n v="1978"/>
    <s v="591 Elm St, CityE"/>
    <d v="2023-09-08T15:34:00"/>
    <x v="0"/>
    <x v="88"/>
    <s v="Truck B"/>
    <x v="3"/>
    <n v="179"/>
    <n v="14"/>
    <x v="0"/>
    <x v="2"/>
    <x v="2"/>
    <s v="Expedited Rules"/>
    <n v="0"/>
    <n v="0"/>
    <x v="5"/>
    <n v="805"/>
    <n v="1"/>
  </r>
  <r>
    <n v="1979"/>
    <s v="820 Main St, CityB"/>
    <d v="2023-09-08T14:02:00"/>
    <x v="1"/>
    <x v="62"/>
    <s v="Truck B"/>
    <x v="2"/>
    <n v="110"/>
    <n v="26"/>
    <x v="0"/>
    <x v="1"/>
    <x v="2"/>
    <s v="Expedited Rules"/>
    <n v="0"/>
    <n v="0"/>
    <x v="5"/>
    <s v=""/>
    <n v="1"/>
  </r>
  <r>
    <n v="1994"/>
    <s v="963 Cedar St, CityB"/>
    <d v="2023-09-02T09:37:00"/>
    <x v="1"/>
    <x v="83"/>
    <s v="Truck B"/>
    <x v="3"/>
    <n v="162"/>
    <n v="25"/>
    <x v="1"/>
    <x v="1"/>
    <x v="2"/>
    <s v="Expedited Rules"/>
    <n v="0"/>
    <n v="0"/>
    <x v="4"/>
    <s v=""/>
    <n v="1"/>
  </r>
  <r>
    <n v="2037"/>
    <s v="537 Oak St, CityB"/>
    <d v="2023-09-01T14:16:00"/>
    <x v="1"/>
    <x v="19"/>
    <s v="Truck B"/>
    <x v="1"/>
    <n v="153"/>
    <n v="1"/>
    <x v="0"/>
    <x v="2"/>
    <x v="2"/>
    <s v="Expedited Rules"/>
    <n v="0"/>
    <n v="0"/>
    <x v="6"/>
    <s v=""/>
    <n v="1"/>
  </r>
  <r>
    <n v="2039"/>
    <s v="145 Oak St, CityC"/>
    <d v="2023-09-01T10:14:00"/>
    <x v="1"/>
    <x v="17"/>
    <s v="Truck B"/>
    <x v="1"/>
    <n v="179"/>
    <n v="14"/>
    <x v="0"/>
    <x v="1"/>
    <x v="2"/>
    <s v="Expedited Rules"/>
    <n v="0"/>
    <n v="0"/>
    <x v="6"/>
    <s v=""/>
    <n v="1"/>
  </r>
  <r>
    <n v="2053"/>
    <s v="883 Cedar St, CityC"/>
    <d v="2023-09-05T08:19:00"/>
    <x v="1"/>
    <x v="48"/>
    <s v="Truck B"/>
    <x v="3"/>
    <n v="238"/>
    <n v="29"/>
    <x v="2"/>
    <x v="4"/>
    <x v="2"/>
    <s v="Expedited Rules"/>
    <n v="0"/>
    <n v="1"/>
    <x v="7"/>
    <s v=""/>
    <n v="1"/>
  </r>
  <r>
    <n v="2054"/>
    <s v="765 Pine St, CityA"/>
    <d v="2023-09-05T14:54:00"/>
    <x v="0"/>
    <x v="93"/>
    <s v="Truck B"/>
    <x v="0"/>
    <n v="142"/>
    <n v="22"/>
    <x v="2"/>
    <x v="3"/>
    <x v="2"/>
    <s v="Expedited Rules"/>
    <n v="0"/>
    <n v="1"/>
    <x v="7"/>
    <n v="808"/>
    <n v="1"/>
  </r>
  <r>
    <n v="2056"/>
    <s v="248 Oak St, CityC"/>
    <d v="2023-09-04T10:46:00"/>
    <x v="1"/>
    <x v="36"/>
    <s v="Truck B"/>
    <x v="2"/>
    <n v="177"/>
    <n v="18"/>
    <x v="2"/>
    <x v="0"/>
    <x v="2"/>
    <s v="Expedited Rules"/>
    <n v="0"/>
    <n v="1"/>
    <x v="2"/>
    <s v=""/>
    <n v="1"/>
  </r>
  <r>
    <n v="2057"/>
    <s v="830 Elm St, CityE"/>
    <d v="2023-09-01T08:52:00"/>
    <x v="0"/>
    <x v="40"/>
    <s v="Truck B"/>
    <x v="2"/>
    <n v="118"/>
    <n v="2"/>
    <x v="2"/>
    <x v="1"/>
    <x v="2"/>
    <s v="Expedited Rules"/>
    <n v="0"/>
    <n v="1"/>
    <x v="6"/>
    <n v="812"/>
    <n v="1"/>
  </r>
  <r>
    <n v="2124"/>
    <s v="677 Cedar St, CityB"/>
    <d v="2023-09-06T12:03:00"/>
    <x v="1"/>
    <x v="43"/>
    <s v="Truck B"/>
    <x v="4"/>
    <n v="111"/>
    <n v="15"/>
    <x v="1"/>
    <x v="4"/>
    <x v="2"/>
    <s v="Expedited Rules"/>
    <n v="0"/>
    <n v="0"/>
    <x v="1"/>
    <s v=""/>
    <n v="1"/>
  </r>
  <r>
    <n v="2145"/>
    <s v="848 Elm St, CityA"/>
    <d v="2023-09-07T13:44:00"/>
    <x v="1"/>
    <x v="0"/>
    <s v="Truck B"/>
    <x v="4"/>
    <n v="115"/>
    <n v="16"/>
    <x v="0"/>
    <x v="2"/>
    <x v="2"/>
    <s v="Expedited Rules"/>
    <n v="0"/>
    <n v="0"/>
    <x v="3"/>
    <s v=""/>
    <n v="1"/>
  </r>
  <r>
    <n v="2160"/>
    <s v="59 Cedar St, CityA"/>
    <d v="2023-09-05T13:43:00"/>
    <x v="0"/>
    <x v="17"/>
    <s v="Truck B"/>
    <x v="3"/>
    <n v="217"/>
    <n v="7"/>
    <x v="1"/>
    <x v="4"/>
    <x v="2"/>
    <s v="Expedited Rules"/>
    <n v="0"/>
    <n v="0"/>
    <x v="7"/>
    <n v="808"/>
    <n v="1"/>
  </r>
  <r>
    <n v="2183"/>
    <s v="234 Oak St, CityC"/>
    <d v="2023-09-02T13:34:00"/>
    <x v="1"/>
    <x v="41"/>
    <s v="Truck B"/>
    <x v="1"/>
    <n v="72"/>
    <n v="4"/>
    <x v="0"/>
    <x v="3"/>
    <x v="2"/>
    <s v="Expedited Rules"/>
    <n v="0"/>
    <n v="0"/>
    <x v="4"/>
    <s v=""/>
    <n v="1"/>
  </r>
  <r>
    <n v="2215"/>
    <s v="984 Oak St, CityA"/>
    <d v="2023-09-07T08:50:00"/>
    <x v="0"/>
    <x v="74"/>
    <s v="Truck B"/>
    <x v="2"/>
    <n v="148"/>
    <n v="20"/>
    <x v="1"/>
    <x v="0"/>
    <x v="2"/>
    <s v="Expedited Rules"/>
    <n v="0"/>
    <n v="0"/>
    <x v="3"/>
    <n v="806"/>
    <n v="1"/>
  </r>
  <r>
    <n v="2221"/>
    <s v="349 Cedar St, CityB"/>
    <d v="2023-09-02T12:49:00"/>
    <x v="0"/>
    <x v="37"/>
    <s v="Truck B"/>
    <x v="2"/>
    <n v="186"/>
    <n v="17"/>
    <x v="1"/>
    <x v="4"/>
    <x v="2"/>
    <s v="Expedited Rules"/>
    <n v="0"/>
    <n v="0"/>
    <x v="4"/>
    <n v="811"/>
    <n v="1"/>
  </r>
  <r>
    <n v="2250"/>
    <s v="941 Cedar St, CityE"/>
    <d v="2023-09-03T14:53:00"/>
    <x v="1"/>
    <x v="46"/>
    <s v="Truck B"/>
    <x v="3"/>
    <n v="157"/>
    <n v="2"/>
    <x v="0"/>
    <x v="4"/>
    <x v="2"/>
    <s v="Expedited Rules"/>
    <n v="0"/>
    <n v="0"/>
    <x v="0"/>
    <s v=""/>
    <n v="1"/>
  </r>
  <r>
    <n v="2259"/>
    <s v="563 Elm St, CityE"/>
    <d v="2023-09-02T16:21:00"/>
    <x v="1"/>
    <x v="22"/>
    <s v="Truck B"/>
    <x v="1"/>
    <n v="98"/>
    <n v="3"/>
    <x v="2"/>
    <x v="1"/>
    <x v="2"/>
    <s v="Expedited Rules"/>
    <n v="0"/>
    <n v="1"/>
    <x v="4"/>
    <s v=""/>
    <n v="1"/>
  </r>
  <r>
    <n v="2283"/>
    <s v="713 Oak St, CityB"/>
    <d v="2023-09-01T10:47:00"/>
    <x v="0"/>
    <x v="61"/>
    <s v="Truck B"/>
    <x v="1"/>
    <n v="105"/>
    <n v="10"/>
    <x v="1"/>
    <x v="0"/>
    <x v="2"/>
    <s v="Expedited Rules"/>
    <n v="0"/>
    <n v="0"/>
    <x v="6"/>
    <n v="812"/>
    <n v="1"/>
  </r>
  <r>
    <n v="2303"/>
    <s v="642 Pine St, CityD"/>
    <d v="2023-09-04T09:32:00"/>
    <x v="0"/>
    <x v="22"/>
    <s v="Truck B"/>
    <x v="2"/>
    <n v="239"/>
    <n v="18"/>
    <x v="2"/>
    <x v="1"/>
    <x v="2"/>
    <s v="Expedited Rules"/>
    <n v="0"/>
    <n v="1"/>
    <x v="2"/>
    <n v="809"/>
    <n v="1"/>
  </r>
  <r>
    <n v="2315"/>
    <s v="630 Main St, CityA"/>
    <d v="2023-09-03T10:25:00"/>
    <x v="0"/>
    <x v="79"/>
    <s v="Truck B"/>
    <x v="1"/>
    <n v="170"/>
    <n v="12"/>
    <x v="1"/>
    <x v="1"/>
    <x v="2"/>
    <s v="Expedited Rules"/>
    <n v="0"/>
    <n v="0"/>
    <x v="0"/>
    <n v="810"/>
    <n v="1"/>
  </r>
  <r>
    <n v="2318"/>
    <s v="842 Main St, CityE"/>
    <d v="2023-09-03T08:53:00"/>
    <x v="1"/>
    <x v="93"/>
    <s v="Truck B"/>
    <x v="2"/>
    <n v="94"/>
    <n v="18"/>
    <x v="1"/>
    <x v="1"/>
    <x v="2"/>
    <s v="Expedited Rules"/>
    <n v="0"/>
    <n v="0"/>
    <x v="0"/>
    <s v=""/>
    <n v="1"/>
  </r>
  <r>
    <n v="2321"/>
    <s v="293 Cedar St, CityB"/>
    <d v="2023-09-04T11:00:00"/>
    <x v="0"/>
    <x v="52"/>
    <s v="Truck B"/>
    <x v="3"/>
    <n v="191"/>
    <n v="26"/>
    <x v="1"/>
    <x v="4"/>
    <x v="2"/>
    <s v="Expedited Rules"/>
    <n v="0"/>
    <n v="0"/>
    <x v="2"/>
    <n v="809"/>
    <n v="1"/>
  </r>
  <r>
    <n v="2362"/>
    <s v="587 Pine St, CityC"/>
    <d v="2023-09-03T14:20:00"/>
    <x v="1"/>
    <x v="13"/>
    <s v="Truck B"/>
    <x v="0"/>
    <n v="195"/>
    <n v="23"/>
    <x v="2"/>
    <x v="3"/>
    <x v="2"/>
    <s v="Expedited Rules"/>
    <n v="0"/>
    <n v="1"/>
    <x v="0"/>
    <s v=""/>
    <n v="1"/>
  </r>
  <r>
    <n v="2367"/>
    <s v="827 Cedar St, CityC"/>
    <d v="2023-09-02T13:13:00"/>
    <x v="0"/>
    <x v="29"/>
    <s v="Truck B"/>
    <x v="0"/>
    <n v="152"/>
    <n v="22"/>
    <x v="2"/>
    <x v="4"/>
    <x v="2"/>
    <s v="Expedited Rules"/>
    <n v="0"/>
    <n v="1"/>
    <x v="4"/>
    <n v="811"/>
    <n v="1"/>
  </r>
  <r>
    <n v="2425"/>
    <s v="315 Oak St, CityE"/>
    <d v="2023-09-06T12:57:00"/>
    <x v="0"/>
    <x v="71"/>
    <s v="Truck B"/>
    <x v="1"/>
    <n v="99"/>
    <n v="17"/>
    <x v="0"/>
    <x v="0"/>
    <x v="2"/>
    <s v="Expedited Rules"/>
    <n v="0"/>
    <n v="0"/>
    <x v="1"/>
    <n v="807"/>
    <n v="1"/>
  </r>
  <r>
    <n v="2447"/>
    <s v="182 Cedar St, CityC"/>
    <d v="2023-09-02T13:51:00"/>
    <x v="1"/>
    <x v="54"/>
    <s v="Truck B"/>
    <x v="4"/>
    <n v="228"/>
    <n v="19"/>
    <x v="1"/>
    <x v="0"/>
    <x v="2"/>
    <s v="Expedited Rules"/>
    <n v="0"/>
    <n v="0"/>
    <x v="4"/>
    <s v=""/>
    <n v="1"/>
  </r>
  <r>
    <n v="2489"/>
    <s v="241 Cedar St, CityD"/>
    <d v="2023-09-07T16:20:00"/>
    <x v="1"/>
    <x v="3"/>
    <s v="Truck B"/>
    <x v="4"/>
    <n v="92"/>
    <n v="29"/>
    <x v="2"/>
    <x v="3"/>
    <x v="2"/>
    <s v="Expedited Rules"/>
    <n v="0"/>
    <n v="1"/>
    <x v="3"/>
    <s v=""/>
    <n v="1"/>
  </r>
  <r>
    <n v="2496"/>
    <s v="626 Cedar St, CityD"/>
    <d v="2023-09-07T09:06:00"/>
    <x v="0"/>
    <x v="57"/>
    <s v="Truck B"/>
    <x v="1"/>
    <n v="213"/>
    <n v="18"/>
    <x v="2"/>
    <x v="3"/>
    <x v="2"/>
    <s v="Expedited Rules"/>
    <n v="0"/>
    <n v="1"/>
    <x v="3"/>
    <n v="806"/>
    <n v="1"/>
  </r>
  <r>
    <n v="1008"/>
    <s v="665 Pine St, CityA"/>
    <d v="2023-09-06T14:46:00"/>
    <x v="0"/>
    <x v="99"/>
    <s v="Truck B"/>
    <x v="2"/>
    <n v="96"/>
    <n v="17"/>
    <x v="2"/>
    <x v="3"/>
    <x v="1"/>
    <s v="Expedited Rules"/>
    <n v="0"/>
    <n v="1"/>
    <x v="1"/>
    <n v="807"/>
    <n v="1"/>
  </r>
  <r>
    <n v="1053"/>
    <s v="680 Oak St, CityE"/>
    <d v="2023-09-02T10:44:00"/>
    <x v="0"/>
    <x v="14"/>
    <s v="Truck B"/>
    <x v="0"/>
    <n v="66"/>
    <n v="13"/>
    <x v="0"/>
    <x v="0"/>
    <x v="1"/>
    <s v="Expedited Rules"/>
    <n v="0"/>
    <n v="0"/>
    <x v="4"/>
    <n v="811"/>
    <n v="1"/>
  </r>
  <r>
    <n v="1065"/>
    <s v="790 Main St, CityE"/>
    <d v="2023-09-08T16:26:00"/>
    <x v="0"/>
    <x v="44"/>
    <s v="Truck B"/>
    <x v="3"/>
    <n v="238"/>
    <n v="7"/>
    <x v="0"/>
    <x v="4"/>
    <x v="1"/>
    <s v="Standard Rules"/>
    <n v="0"/>
    <n v="0"/>
    <x v="5"/>
    <n v="805"/>
    <n v="1"/>
  </r>
  <r>
    <n v="1072"/>
    <s v="395 Elm St, CityC"/>
    <d v="2023-09-03T12:11:00"/>
    <x v="1"/>
    <x v="65"/>
    <s v="Truck B"/>
    <x v="3"/>
    <n v="67"/>
    <n v="23"/>
    <x v="2"/>
    <x v="3"/>
    <x v="1"/>
    <s v="Expedited Rules"/>
    <n v="0"/>
    <n v="1"/>
    <x v="0"/>
    <s v=""/>
    <n v="1"/>
  </r>
  <r>
    <n v="1074"/>
    <s v="844 Pine St, CityE"/>
    <d v="2023-09-07T09:51:00"/>
    <x v="0"/>
    <x v="9"/>
    <s v="Truck B"/>
    <x v="4"/>
    <n v="144"/>
    <n v="8"/>
    <x v="0"/>
    <x v="3"/>
    <x v="1"/>
    <s v="Expedited Rules"/>
    <n v="0"/>
    <n v="0"/>
    <x v="3"/>
    <n v="806"/>
    <n v="1"/>
  </r>
  <r>
    <n v="1075"/>
    <s v="537 Elm St, CityE"/>
    <d v="2023-09-03T13:01:00"/>
    <x v="0"/>
    <x v="74"/>
    <s v="Truck B"/>
    <x v="2"/>
    <n v="200"/>
    <n v="26"/>
    <x v="2"/>
    <x v="2"/>
    <x v="1"/>
    <s v="Custom Rules"/>
    <n v="0"/>
    <n v="1"/>
    <x v="0"/>
    <n v="810"/>
    <n v="1"/>
  </r>
  <r>
    <n v="1082"/>
    <s v="211 Main St, CityC"/>
    <d v="2023-09-01T09:13:00"/>
    <x v="0"/>
    <x v="28"/>
    <s v="Truck B"/>
    <x v="0"/>
    <n v="180"/>
    <n v="24"/>
    <x v="1"/>
    <x v="2"/>
    <x v="1"/>
    <s v="Expedited Rules"/>
    <n v="0"/>
    <n v="0"/>
    <x v="6"/>
    <n v="812"/>
    <n v="1"/>
  </r>
  <r>
    <n v="1086"/>
    <s v="160 Elm St, CityE"/>
    <d v="2023-09-05T09:18:00"/>
    <x v="1"/>
    <x v="42"/>
    <s v="Truck B"/>
    <x v="1"/>
    <n v="133"/>
    <n v="21"/>
    <x v="1"/>
    <x v="4"/>
    <x v="1"/>
    <s v="Standard Rules"/>
    <n v="0"/>
    <n v="0"/>
    <x v="7"/>
    <s v=""/>
    <n v="1"/>
  </r>
  <r>
    <n v="1088"/>
    <s v="904 Pine St, CityE"/>
    <d v="2023-09-08T14:37:00"/>
    <x v="0"/>
    <x v="76"/>
    <s v="Truck B"/>
    <x v="4"/>
    <n v="199"/>
    <n v="18"/>
    <x v="2"/>
    <x v="2"/>
    <x v="1"/>
    <s v="Expedited Rules"/>
    <n v="0"/>
    <n v="1"/>
    <x v="5"/>
    <n v="805"/>
    <n v="1"/>
  </r>
  <r>
    <n v="1110"/>
    <s v="854 Pine St, CityB"/>
    <d v="2023-09-05T16:40:00"/>
    <x v="0"/>
    <x v="62"/>
    <s v="Truck B"/>
    <x v="2"/>
    <n v="156"/>
    <n v="23"/>
    <x v="2"/>
    <x v="0"/>
    <x v="1"/>
    <s v="Standard Rules"/>
    <n v="0"/>
    <n v="1"/>
    <x v="7"/>
    <n v="808"/>
    <n v="1"/>
  </r>
  <r>
    <n v="1113"/>
    <s v="449 Elm St, CityD"/>
    <d v="2023-09-02T13:09:00"/>
    <x v="1"/>
    <x v="46"/>
    <s v="Truck B"/>
    <x v="3"/>
    <n v="234"/>
    <n v="15"/>
    <x v="1"/>
    <x v="3"/>
    <x v="1"/>
    <s v="Expedited Rules"/>
    <n v="0"/>
    <n v="0"/>
    <x v="4"/>
    <s v=""/>
    <n v="1"/>
  </r>
  <r>
    <n v="1118"/>
    <s v="350 Oak St, CityB"/>
    <d v="2023-09-08T15:07:00"/>
    <x v="0"/>
    <x v="5"/>
    <s v="Truck B"/>
    <x v="4"/>
    <n v="193"/>
    <n v="23"/>
    <x v="0"/>
    <x v="4"/>
    <x v="1"/>
    <s v="Expedited Rules"/>
    <n v="0"/>
    <n v="0"/>
    <x v="5"/>
    <n v="805"/>
    <n v="1"/>
  </r>
  <r>
    <n v="1129"/>
    <s v="988 Oak St, CityA"/>
    <d v="2023-09-06T13:41:00"/>
    <x v="1"/>
    <x v="54"/>
    <s v="Truck B"/>
    <x v="0"/>
    <n v="195"/>
    <n v="22"/>
    <x v="1"/>
    <x v="1"/>
    <x v="1"/>
    <s v="Custom Rules"/>
    <n v="0"/>
    <n v="0"/>
    <x v="1"/>
    <s v=""/>
    <n v="1"/>
  </r>
  <r>
    <n v="1137"/>
    <s v="788 Cedar St, CityA"/>
    <d v="2023-09-05T12:55:00"/>
    <x v="0"/>
    <x v="82"/>
    <s v="Truck B"/>
    <x v="3"/>
    <n v="132"/>
    <n v="21"/>
    <x v="2"/>
    <x v="3"/>
    <x v="1"/>
    <s v="Expedited Rules"/>
    <n v="0"/>
    <n v="1"/>
    <x v="7"/>
    <n v="808"/>
    <n v="1"/>
  </r>
  <r>
    <n v="1145"/>
    <s v="652 Pine St, CityD"/>
    <d v="2023-09-08T09:13:00"/>
    <x v="1"/>
    <x v="82"/>
    <s v="Truck B"/>
    <x v="0"/>
    <n v="221"/>
    <n v="16"/>
    <x v="1"/>
    <x v="1"/>
    <x v="1"/>
    <s v="Custom Rules"/>
    <n v="0"/>
    <n v="0"/>
    <x v="5"/>
    <s v=""/>
    <n v="1"/>
  </r>
  <r>
    <n v="1171"/>
    <s v="53 Elm St, CityB"/>
    <d v="2023-09-08T11:43:00"/>
    <x v="0"/>
    <x v="6"/>
    <s v="Truck B"/>
    <x v="1"/>
    <n v="137"/>
    <n v="23"/>
    <x v="2"/>
    <x v="4"/>
    <x v="1"/>
    <s v="Standard Rules"/>
    <n v="0"/>
    <n v="1"/>
    <x v="5"/>
    <n v="805"/>
    <n v="1"/>
  </r>
  <r>
    <n v="1173"/>
    <s v="676 Pine St, CityE"/>
    <d v="2023-09-01T10:25:00"/>
    <x v="0"/>
    <x v="30"/>
    <s v="Truck B"/>
    <x v="1"/>
    <n v="121"/>
    <n v="29"/>
    <x v="0"/>
    <x v="0"/>
    <x v="1"/>
    <s v="Custom Rules"/>
    <n v="0"/>
    <n v="0"/>
    <x v="6"/>
    <n v="812"/>
    <n v="1"/>
  </r>
  <r>
    <n v="1188"/>
    <s v="762 Elm St, CityB"/>
    <d v="2023-09-05T10:29:00"/>
    <x v="0"/>
    <x v="63"/>
    <s v="Truck B"/>
    <x v="1"/>
    <n v="70"/>
    <n v="12"/>
    <x v="0"/>
    <x v="2"/>
    <x v="1"/>
    <s v="Expedited Rules"/>
    <n v="0"/>
    <n v="0"/>
    <x v="7"/>
    <n v="808"/>
    <n v="1"/>
  </r>
  <r>
    <n v="1191"/>
    <s v="927 Pine St, CityD"/>
    <d v="2023-09-01T09:18:00"/>
    <x v="1"/>
    <x v="65"/>
    <s v="Truck B"/>
    <x v="0"/>
    <n v="147"/>
    <n v="6"/>
    <x v="0"/>
    <x v="0"/>
    <x v="1"/>
    <s v="Expedited Rules"/>
    <n v="0"/>
    <n v="0"/>
    <x v="6"/>
    <s v=""/>
    <n v="1"/>
  </r>
  <r>
    <n v="1204"/>
    <s v="786 Main St, CityE"/>
    <d v="2023-09-04T10:17:00"/>
    <x v="1"/>
    <x v="86"/>
    <s v="Truck B"/>
    <x v="0"/>
    <n v="101"/>
    <n v="24"/>
    <x v="2"/>
    <x v="1"/>
    <x v="1"/>
    <s v="Expedited Rules"/>
    <n v="0"/>
    <n v="1"/>
    <x v="2"/>
    <s v=""/>
    <n v="1"/>
  </r>
  <r>
    <n v="1231"/>
    <s v="714 Pine St, CityC"/>
    <d v="2023-09-05T09:08:00"/>
    <x v="0"/>
    <x v="67"/>
    <s v="Truck B"/>
    <x v="3"/>
    <n v="237"/>
    <n v="8"/>
    <x v="1"/>
    <x v="2"/>
    <x v="1"/>
    <s v="Expedited Rules"/>
    <n v="0"/>
    <n v="0"/>
    <x v="7"/>
    <n v="808"/>
    <n v="1"/>
  </r>
  <r>
    <n v="1245"/>
    <s v="741 Main St, CityC"/>
    <d v="2023-09-04T15:05:00"/>
    <x v="1"/>
    <x v="78"/>
    <s v="Truck B"/>
    <x v="1"/>
    <n v="64"/>
    <n v="8"/>
    <x v="1"/>
    <x v="1"/>
    <x v="1"/>
    <s v="Standard Rules"/>
    <n v="0"/>
    <n v="0"/>
    <x v="2"/>
    <s v=""/>
    <n v="1"/>
  </r>
  <r>
    <n v="1250"/>
    <s v="722 Elm St, CityB"/>
    <d v="2023-09-05T12:23:00"/>
    <x v="1"/>
    <x v="61"/>
    <s v="Truck B"/>
    <x v="1"/>
    <n v="97"/>
    <n v="5"/>
    <x v="2"/>
    <x v="4"/>
    <x v="1"/>
    <s v="Standard Rules"/>
    <n v="0"/>
    <n v="1"/>
    <x v="7"/>
    <s v=""/>
    <n v="1"/>
  </r>
  <r>
    <n v="1260"/>
    <s v="7 Main St, CityB"/>
    <d v="2023-09-08T14:10:00"/>
    <x v="1"/>
    <x v="19"/>
    <s v="Truck B"/>
    <x v="0"/>
    <n v="193"/>
    <n v="5"/>
    <x v="1"/>
    <x v="3"/>
    <x v="1"/>
    <s v="Custom Rules"/>
    <n v="0"/>
    <n v="0"/>
    <x v="5"/>
    <s v=""/>
    <n v="1"/>
  </r>
  <r>
    <n v="1275"/>
    <s v="774 Pine St, CityA"/>
    <d v="2023-09-02T13:15:00"/>
    <x v="0"/>
    <x v="27"/>
    <s v="Truck B"/>
    <x v="4"/>
    <n v="114"/>
    <n v="9"/>
    <x v="0"/>
    <x v="3"/>
    <x v="1"/>
    <s v="Standard Rules"/>
    <n v="0"/>
    <n v="0"/>
    <x v="4"/>
    <n v="811"/>
    <n v="1"/>
  </r>
  <r>
    <n v="1276"/>
    <s v="691 Pine St, CityA"/>
    <d v="2023-09-03T13:50:00"/>
    <x v="0"/>
    <x v="30"/>
    <s v="Truck B"/>
    <x v="4"/>
    <n v="148"/>
    <n v="29"/>
    <x v="2"/>
    <x v="2"/>
    <x v="1"/>
    <s v="Standard Rules"/>
    <n v="0"/>
    <n v="1"/>
    <x v="0"/>
    <n v="810"/>
    <n v="1"/>
  </r>
  <r>
    <n v="1286"/>
    <s v="477 Pine St, CityC"/>
    <d v="2023-09-01T15:18:00"/>
    <x v="0"/>
    <x v="78"/>
    <s v="Truck B"/>
    <x v="0"/>
    <n v="104"/>
    <n v="22"/>
    <x v="1"/>
    <x v="3"/>
    <x v="1"/>
    <s v="Custom Rules"/>
    <n v="0"/>
    <n v="0"/>
    <x v="6"/>
    <n v="812"/>
    <n v="1"/>
  </r>
  <r>
    <n v="1296"/>
    <s v="98 Main St, CityD"/>
    <d v="2023-09-03T16:54:00"/>
    <x v="1"/>
    <x v="24"/>
    <s v="Truck B"/>
    <x v="1"/>
    <n v="177"/>
    <n v="25"/>
    <x v="2"/>
    <x v="2"/>
    <x v="1"/>
    <s v="Standard Rules"/>
    <n v="0"/>
    <n v="1"/>
    <x v="0"/>
    <s v=""/>
    <n v="1"/>
  </r>
  <r>
    <n v="1301"/>
    <s v="234 Elm St, CityD"/>
    <d v="2023-09-08T11:23:00"/>
    <x v="1"/>
    <x v="68"/>
    <s v="Truck B"/>
    <x v="3"/>
    <n v="178"/>
    <n v="11"/>
    <x v="2"/>
    <x v="2"/>
    <x v="1"/>
    <s v="Custom Rules"/>
    <n v="0"/>
    <n v="1"/>
    <x v="5"/>
    <s v=""/>
    <n v="1"/>
  </r>
  <r>
    <n v="1313"/>
    <s v="440 Cedar St, CityA"/>
    <d v="2023-09-01T16:11:00"/>
    <x v="1"/>
    <x v="11"/>
    <s v="Truck B"/>
    <x v="3"/>
    <n v="182"/>
    <n v="15"/>
    <x v="2"/>
    <x v="2"/>
    <x v="1"/>
    <s v="Custom Rules"/>
    <n v="0"/>
    <n v="1"/>
    <x v="6"/>
    <s v=""/>
    <n v="1"/>
  </r>
  <r>
    <n v="1328"/>
    <s v="501 Cedar St, CityD"/>
    <d v="2023-09-02T12:57:00"/>
    <x v="0"/>
    <x v="68"/>
    <s v="Truck B"/>
    <x v="2"/>
    <n v="143"/>
    <n v="14"/>
    <x v="0"/>
    <x v="1"/>
    <x v="1"/>
    <s v="Custom Rules"/>
    <n v="0"/>
    <n v="0"/>
    <x v="4"/>
    <n v="811"/>
    <n v="1"/>
  </r>
  <r>
    <n v="1331"/>
    <s v="769 Elm St, CityE"/>
    <d v="2023-09-04T16:41:00"/>
    <x v="0"/>
    <x v="17"/>
    <s v="Truck B"/>
    <x v="2"/>
    <n v="91"/>
    <n v="17"/>
    <x v="0"/>
    <x v="4"/>
    <x v="1"/>
    <s v="Standard Rules"/>
    <n v="0"/>
    <n v="0"/>
    <x v="2"/>
    <n v="809"/>
    <n v="1"/>
  </r>
  <r>
    <n v="1344"/>
    <s v="844 Elm St, CityE"/>
    <d v="2023-09-06T10:35:00"/>
    <x v="0"/>
    <x v="85"/>
    <s v="Truck B"/>
    <x v="3"/>
    <n v="156"/>
    <n v="15"/>
    <x v="1"/>
    <x v="0"/>
    <x v="1"/>
    <s v="Standard Rules"/>
    <n v="0"/>
    <n v="0"/>
    <x v="1"/>
    <n v="807"/>
    <n v="1"/>
  </r>
  <r>
    <n v="1346"/>
    <s v="752 Main St, CityB"/>
    <d v="2023-09-06T10:59:00"/>
    <x v="1"/>
    <x v="4"/>
    <s v="Truck B"/>
    <x v="0"/>
    <n v="110"/>
    <n v="12"/>
    <x v="1"/>
    <x v="4"/>
    <x v="1"/>
    <s v="Custom Rules"/>
    <n v="0"/>
    <n v="0"/>
    <x v="1"/>
    <s v=""/>
    <n v="1"/>
  </r>
  <r>
    <n v="1349"/>
    <s v="718 Main St, CityC"/>
    <d v="2023-09-04T08:32:00"/>
    <x v="0"/>
    <x v="73"/>
    <s v="Truck B"/>
    <x v="1"/>
    <n v="237"/>
    <n v="6"/>
    <x v="1"/>
    <x v="3"/>
    <x v="1"/>
    <s v="Custom Rules"/>
    <n v="0"/>
    <n v="0"/>
    <x v="2"/>
    <n v="809"/>
    <n v="1"/>
  </r>
  <r>
    <n v="1355"/>
    <s v="161 Cedar St, CityD"/>
    <d v="2023-09-01T09:27:00"/>
    <x v="1"/>
    <x v="95"/>
    <s v="Truck B"/>
    <x v="2"/>
    <n v="126"/>
    <n v="9"/>
    <x v="2"/>
    <x v="4"/>
    <x v="1"/>
    <s v="Custom Rules"/>
    <n v="0"/>
    <n v="1"/>
    <x v="6"/>
    <s v=""/>
    <n v="1"/>
  </r>
  <r>
    <n v="1357"/>
    <s v="960 Oak St, CityD"/>
    <d v="2023-09-02T09:13:00"/>
    <x v="1"/>
    <x v="54"/>
    <s v="Truck B"/>
    <x v="0"/>
    <n v="152"/>
    <n v="18"/>
    <x v="1"/>
    <x v="1"/>
    <x v="1"/>
    <s v="Standard Rules"/>
    <n v="0"/>
    <n v="0"/>
    <x v="4"/>
    <s v=""/>
    <n v="1"/>
  </r>
  <r>
    <n v="1365"/>
    <s v="27 Pine St, CityC"/>
    <d v="2023-09-01T14:21:00"/>
    <x v="0"/>
    <x v="1"/>
    <s v="Truck B"/>
    <x v="4"/>
    <n v="85"/>
    <n v="9"/>
    <x v="0"/>
    <x v="0"/>
    <x v="1"/>
    <s v="Custom Rules"/>
    <n v="0"/>
    <n v="0"/>
    <x v="6"/>
    <n v="812"/>
    <n v="1"/>
  </r>
  <r>
    <n v="1381"/>
    <s v="460 Elm St, CityA"/>
    <d v="2023-09-06T11:53:00"/>
    <x v="0"/>
    <x v="67"/>
    <s v="Truck B"/>
    <x v="3"/>
    <n v="181"/>
    <n v="27"/>
    <x v="2"/>
    <x v="3"/>
    <x v="1"/>
    <s v="Expedited Rules"/>
    <n v="0"/>
    <n v="1"/>
    <x v="1"/>
    <n v="807"/>
    <n v="1"/>
  </r>
  <r>
    <n v="1405"/>
    <s v="123 Oak St, CityD"/>
    <d v="2023-09-05T14:24:00"/>
    <x v="1"/>
    <x v="92"/>
    <s v="Truck B"/>
    <x v="0"/>
    <n v="81"/>
    <n v="26"/>
    <x v="2"/>
    <x v="1"/>
    <x v="1"/>
    <s v="Standard Rules"/>
    <n v="0"/>
    <n v="1"/>
    <x v="7"/>
    <s v=""/>
    <n v="1"/>
  </r>
  <r>
    <n v="1406"/>
    <s v="30 Pine St, CityE"/>
    <d v="2023-09-07T16:39:00"/>
    <x v="0"/>
    <x v="22"/>
    <s v="Truck B"/>
    <x v="3"/>
    <n v="220"/>
    <n v="27"/>
    <x v="0"/>
    <x v="3"/>
    <x v="1"/>
    <s v="Expedited Rules"/>
    <n v="0"/>
    <n v="0"/>
    <x v="3"/>
    <n v="806"/>
    <n v="1"/>
  </r>
  <r>
    <n v="1415"/>
    <s v="581 Oak St, CityB"/>
    <d v="2023-09-01T16:51:00"/>
    <x v="1"/>
    <x v="15"/>
    <s v="Truck B"/>
    <x v="1"/>
    <n v="203"/>
    <n v="28"/>
    <x v="2"/>
    <x v="4"/>
    <x v="1"/>
    <s v="Expedited Rules"/>
    <n v="0"/>
    <n v="1"/>
    <x v="6"/>
    <s v=""/>
    <n v="1"/>
  </r>
  <r>
    <n v="1421"/>
    <s v="772 Elm St, CityD"/>
    <d v="2023-09-07T08:06:00"/>
    <x v="1"/>
    <x v="82"/>
    <s v="Truck B"/>
    <x v="0"/>
    <n v="101"/>
    <n v="25"/>
    <x v="2"/>
    <x v="2"/>
    <x v="1"/>
    <s v="Standard Rules"/>
    <n v="0"/>
    <n v="1"/>
    <x v="3"/>
    <s v=""/>
    <n v="1"/>
  </r>
  <r>
    <n v="1430"/>
    <s v="55 Oak St, CityB"/>
    <d v="2023-09-06T10:48:00"/>
    <x v="0"/>
    <x v="10"/>
    <s v="Truck B"/>
    <x v="4"/>
    <n v="134"/>
    <n v="21"/>
    <x v="1"/>
    <x v="2"/>
    <x v="1"/>
    <s v="Standard Rules"/>
    <n v="0"/>
    <n v="0"/>
    <x v="1"/>
    <n v="807"/>
    <n v="1"/>
  </r>
  <r>
    <n v="1434"/>
    <s v="305 Main St, CityA"/>
    <d v="2023-09-05T09:23:00"/>
    <x v="1"/>
    <x v="92"/>
    <s v="Truck B"/>
    <x v="1"/>
    <n v="224"/>
    <n v="23"/>
    <x v="1"/>
    <x v="2"/>
    <x v="1"/>
    <s v="Standard Rules"/>
    <n v="0"/>
    <n v="0"/>
    <x v="7"/>
    <s v=""/>
    <n v="1"/>
  </r>
  <r>
    <n v="1438"/>
    <s v="179 Main St, CityA"/>
    <d v="2023-09-08T15:45:00"/>
    <x v="1"/>
    <x v="21"/>
    <s v="Truck B"/>
    <x v="1"/>
    <n v="178"/>
    <n v="12"/>
    <x v="2"/>
    <x v="2"/>
    <x v="1"/>
    <s v="Expedited Rules"/>
    <n v="0"/>
    <n v="1"/>
    <x v="5"/>
    <s v=""/>
    <n v="1"/>
  </r>
  <r>
    <n v="1446"/>
    <s v="443 Pine St, CityD"/>
    <d v="2023-09-04T10:03:00"/>
    <x v="1"/>
    <x v="7"/>
    <s v="Truck B"/>
    <x v="0"/>
    <n v="179"/>
    <n v="25"/>
    <x v="1"/>
    <x v="3"/>
    <x v="1"/>
    <s v="Expedited Rules"/>
    <n v="0"/>
    <n v="0"/>
    <x v="2"/>
    <s v=""/>
    <n v="1"/>
  </r>
  <r>
    <n v="1450"/>
    <s v="737 Pine St, CityB"/>
    <d v="2023-09-08T16:03:00"/>
    <x v="0"/>
    <x v="53"/>
    <s v="Truck B"/>
    <x v="1"/>
    <n v="75"/>
    <n v="7"/>
    <x v="0"/>
    <x v="0"/>
    <x v="1"/>
    <s v="Standard Rules"/>
    <n v="0"/>
    <n v="0"/>
    <x v="5"/>
    <n v="805"/>
    <n v="1"/>
  </r>
  <r>
    <n v="1452"/>
    <s v="688 Oak St, CityB"/>
    <d v="2023-09-03T13:16:00"/>
    <x v="0"/>
    <x v="73"/>
    <s v="Truck B"/>
    <x v="1"/>
    <n v="136"/>
    <n v="18"/>
    <x v="2"/>
    <x v="3"/>
    <x v="1"/>
    <s v="Standard Rules"/>
    <n v="0"/>
    <n v="1"/>
    <x v="0"/>
    <n v="810"/>
    <n v="1"/>
  </r>
  <r>
    <n v="1457"/>
    <s v="733 Main St, CityC"/>
    <d v="2023-09-07T08:02:00"/>
    <x v="0"/>
    <x v="61"/>
    <s v="Truck B"/>
    <x v="1"/>
    <n v="198"/>
    <n v="28"/>
    <x v="2"/>
    <x v="4"/>
    <x v="1"/>
    <s v="Standard Rules"/>
    <n v="0"/>
    <n v="1"/>
    <x v="3"/>
    <n v="806"/>
    <n v="1"/>
  </r>
  <r>
    <n v="1461"/>
    <s v="675 Oak St, CityE"/>
    <d v="2023-09-02T11:54:00"/>
    <x v="0"/>
    <x v="8"/>
    <s v="Truck B"/>
    <x v="2"/>
    <n v="174"/>
    <n v="19"/>
    <x v="2"/>
    <x v="2"/>
    <x v="1"/>
    <s v="Standard Rules"/>
    <n v="0"/>
    <n v="1"/>
    <x v="4"/>
    <n v="811"/>
    <n v="1"/>
  </r>
  <r>
    <n v="1473"/>
    <s v="912 Main St, CityC"/>
    <d v="2023-09-01T14:15:00"/>
    <x v="0"/>
    <x v="8"/>
    <s v="Truck B"/>
    <x v="0"/>
    <n v="104"/>
    <n v="19"/>
    <x v="2"/>
    <x v="2"/>
    <x v="1"/>
    <s v="Expedited Rules"/>
    <n v="0"/>
    <n v="1"/>
    <x v="6"/>
    <n v="812"/>
    <n v="1"/>
  </r>
  <r>
    <n v="1514"/>
    <s v="28 Pine St, CityA"/>
    <d v="2023-09-04T08:11:00"/>
    <x v="1"/>
    <x v="87"/>
    <s v="Truck B"/>
    <x v="1"/>
    <n v="201"/>
    <n v="25"/>
    <x v="2"/>
    <x v="2"/>
    <x v="1"/>
    <s v="Expedited Rules"/>
    <n v="0"/>
    <n v="1"/>
    <x v="2"/>
    <s v=""/>
    <n v="1"/>
  </r>
  <r>
    <n v="1518"/>
    <s v="742 Main St, CityD"/>
    <d v="2023-09-01T09:02:00"/>
    <x v="0"/>
    <x v="51"/>
    <s v="Truck B"/>
    <x v="4"/>
    <n v="226"/>
    <n v="14"/>
    <x v="2"/>
    <x v="0"/>
    <x v="1"/>
    <s v="Expedited Rules"/>
    <n v="0"/>
    <n v="1"/>
    <x v="6"/>
    <n v="812"/>
    <n v="1"/>
  </r>
  <r>
    <n v="1524"/>
    <s v="11 Elm St, CityE"/>
    <d v="2023-09-05T11:57:00"/>
    <x v="1"/>
    <x v="75"/>
    <s v="Truck B"/>
    <x v="0"/>
    <n v="79"/>
    <n v="29"/>
    <x v="1"/>
    <x v="1"/>
    <x v="1"/>
    <s v="Standard Rules"/>
    <n v="0"/>
    <n v="0"/>
    <x v="7"/>
    <s v=""/>
    <n v="1"/>
  </r>
  <r>
    <n v="1530"/>
    <s v="260 Cedar St, CityA"/>
    <d v="2023-09-06T14:55:00"/>
    <x v="0"/>
    <x v="90"/>
    <s v="Truck B"/>
    <x v="0"/>
    <n v="72"/>
    <n v="22"/>
    <x v="2"/>
    <x v="1"/>
    <x v="1"/>
    <s v="Custom Rules"/>
    <n v="0"/>
    <n v="1"/>
    <x v="1"/>
    <n v="807"/>
    <n v="1"/>
  </r>
  <r>
    <n v="1555"/>
    <s v="929 Elm St, CityA"/>
    <d v="2023-09-01T09:23:00"/>
    <x v="1"/>
    <x v="63"/>
    <s v="Truck B"/>
    <x v="3"/>
    <n v="222"/>
    <n v="2"/>
    <x v="1"/>
    <x v="2"/>
    <x v="1"/>
    <s v="Expedited Rules"/>
    <n v="0"/>
    <n v="0"/>
    <x v="6"/>
    <s v=""/>
    <n v="1"/>
  </r>
  <r>
    <n v="1560"/>
    <s v="69 Elm St, CityE"/>
    <d v="2023-09-02T10:01:00"/>
    <x v="1"/>
    <x v="80"/>
    <s v="Truck B"/>
    <x v="3"/>
    <n v="217"/>
    <n v="19"/>
    <x v="2"/>
    <x v="1"/>
    <x v="1"/>
    <s v="Expedited Rules"/>
    <n v="0"/>
    <n v="1"/>
    <x v="4"/>
    <s v=""/>
    <n v="1"/>
  </r>
  <r>
    <n v="1580"/>
    <s v="860 Oak St, CityB"/>
    <d v="2023-09-08T12:23:00"/>
    <x v="0"/>
    <x v="46"/>
    <s v="Truck B"/>
    <x v="3"/>
    <n v="61"/>
    <n v="6"/>
    <x v="2"/>
    <x v="3"/>
    <x v="1"/>
    <s v="Expedited Rules"/>
    <n v="0"/>
    <n v="1"/>
    <x v="5"/>
    <n v="805"/>
    <n v="1"/>
  </r>
  <r>
    <n v="1588"/>
    <s v="911 Pine St, CityB"/>
    <d v="2023-09-01T14:17:00"/>
    <x v="1"/>
    <x v="0"/>
    <s v="Truck B"/>
    <x v="4"/>
    <n v="236"/>
    <n v="9"/>
    <x v="1"/>
    <x v="3"/>
    <x v="1"/>
    <s v="Standard Rules"/>
    <n v="0"/>
    <n v="0"/>
    <x v="6"/>
    <s v=""/>
    <n v="1"/>
  </r>
  <r>
    <n v="1589"/>
    <s v="248 Cedar St, CityE"/>
    <d v="2023-09-04T15:10:00"/>
    <x v="1"/>
    <x v="0"/>
    <s v="Truck B"/>
    <x v="2"/>
    <n v="149"/>
    <n v="5"/>
    <x v="2"/>
    <x v="3"/>
    <x v="1"/>
    <s v="Standard Rules"/>
    <n v="0"/>
    <n v="1"/>
    <x v="2"/>
    <s v=""/>
    <n v="1"/>
  </r>
  <r>
    <n v="1610"/>
    <s v="580 Elm St, CityC"/>
    <d v="2023-09-07T15:04:00"/>
    <x v="0"/>
    <x v="24"/>
    <s v="Truck B"/>
    <x v="0"/>
    <n v="163"/>
    <n v="19"/>
    <x v="1"/>
    <x v="3"/>
    <x v="1"/>
    <s v="Standard Rules"/>
    <n v="0"/>
    <n v="0"/>
    <x v="3"/>
    <n v="806"/>
    <n v="1"/>
  </r>
  <r>
    <n v="1631"/>
    <s v="194 Oak St, CityD"/>
    <d v="2023-09-03T13:55:00"/>
    <x v="1"/>
    <x v="11"/>
    <s v="Truck B"/>
    <x v="0"/>
    <n v="116"/>
    <n v="1"/>
    <x v="0"/>
    <x v="1"/>
    <x v="1"/>
    <s v="Custom Rules"/>
    <n v="0"/>
    <n v="0"/>
    <x v="0"/>
    <s v=""/>
    <n v="1"/>
  </r>
  <r>
    <n v="1651"/>
    <s v="363 Elm St, CityB"/>
    <d v="2023-09-01T13:06:00"/>
    <x v="0"/>
    <x v="10"/>
    <s v="Truck B"/>
    <x v="4"/>
    <n v="188"/>
    <n v="26"/>
    <x v="1"/>
    <x v="2"/>
    <x v="1"/>
    <s v="Standard Rules"/>
    <n v="0"/>
    <n v="0"/>
    <x v="6"/>
    <n v="812"/>
    <n v="1"/>
  </r>
  <r>
    <n v="1661"/>
    <s v="625 Elm St, CityB"/>
    <d v="2023-09-06T14:45:00"/>
    <x v="1"/>
    <x v="96"/>
    <s v="Truck B"/>
    <x v="4"/>
    <n v="135"/>
    <n v="18"/>
    <x v="2"/>
    <x v="1"/>
    <x v="1"/>
    <s v="Expedited Rules"/>
    <n v="0"/>
    <n v="1"/>
    <x v="1"/>
    <s v=""/>
    <n v="1"/>
  </r>
  <r>
    <n v="1666"/>
    <s v="457 Elm St, CityB"/>
    <d v="2023-09-06T13:50:00"/>
    <x v="0"/>
    <x v="76"/>
    <s v="Truck B"/>
    <x v="2"/>
    <n v="233"/>
    <n v="22"/>
    <x v="2"/>
    <x v="2"/>
    <x v="1"/>
    <s v="Custom Rules"/>
    <n v="0"/>
    <n v="1"/>
    <x v="1"/>
    <n v="807"/>
    <n v="1"/>
  </r>
  <r>
    <n v="1670"/>
    <s v="769 Pine St, CityA"/>
    <d v="2023-09-03T13:13:00"/>
    <x v="1"/>
    <x v="7"/>
    <s v="Truck B"/>
    <x v="1"/>
    <n v="198"/>
    <n v="10"/>
    <x v="0"/>
    <x v="4"/>
    <x v="1"/>
    <s v="Expedited Rules"/>
    <n v="0"/>
    <n v="0"/>
    <x v="0"/>
    <s v=""/>
    <n v="1"/>
  </r>
  <r>
    <n v="1671"/>
    <s v="555 Oak St, CityB"/>
    <d v="2023-09-05T13:51:00"/>
    <x v="1"/>
    <x v="14"/>
    <s v="Truck B"/>
    <x v="1"/>
    <n v="230"/>
    <n v="24"/>
    <x v="0"/>
    <x v="2"/>
    <x v="1"/>
    <s v="Custom Rules"/>
    <n v="0"/>
    <n v="0"/>
    <x v="7"/>
    <s v=""/>
    <n v="1"/>
  </r>
  <r>
    <n v="1676"/>
    <s v="859 Pine St, CityE"/>
    <d v="2023-09-03T11:54:00"/>
    <x v="1"/>
    <x v="61"/>
    <s v="Truck B"/>
    <x v="0"/>
    <n v="161"/>
    <n v="1"/>
    <x v="2"/>
    <x v="4"/>
    <x v="1"/>
    <s v="Expedited Rules"/>
    <n v="0"/>
    <n v="1"/>
    <x v="0"/>
    <s v=""/>
    <n v="1"/>
  </r>
  <r>
    <n v="1710"/>
    <s v="296 Cedar St, CityD"/>
    <d v="2023-09-06T11:24:00"/>
    <x v="1"/>
    <x v="93"/>
    <s v="Truck B"/>
    <x v="2"/>
    <n v="194"/>
    <n v="17"/>
    <x v="2"/>
    <x v="4"/>
    <x v="1"/>
    <s v="Custom Rules"/>
    <n v="0"/>
    <n v="1"/>
    <x v="1"/>
    <s v=""/>
    <n v="1"/>
  </r>
  <r>
    <n v="1711"/>
    <s v="965 Pine St, CityB"/>
    <d v="2023-09-07T12:08:00"/>
    <x v="0"/>
    <x v="23"/>
    <s v="Truck B"/>
    <x v="1"/>
    <n v="151"/>
    <n v="7"/>
    <x v="1"/>
    <x v="0"/>
    <x v="1"/>
    <s v="Custom Rules"/>
    <n v="0"/>
    <n v="0"/>
    <x v="3"/>
    <n v="806"/>
    <n v="1"/>
  </r>
  <r>
    <n v="1716"/>
    <s v="128 Pine St, CityE"/>
    <d v="2023-09-04T11:50:00"/>
    <x v="1"/>
    <x v="81"/>
    <s v="Truck B"/>
    <x v="0"/>
    <n v="218"/>
    <n v="2"/>
    <x v="2"/>
    <x v="2"/>
    <x v="1"/>
    <s v="Standard Rules"/>
    <n v="0"/>
    <n v="1"/>
    <x v="2"/>
    <s v=""/>
    <n v="1"/>
  </r>
  <r>
    <n v="1721"/>
    <s v="526 Main St, CityE"/>
    <d v="2023-09-07T08:40:00"/>
    <x v="1"/>
    <x v="1"/>
    <s v="Truck B"/>
    <x v="3"/>
    <n v="90"/>
    <n v="24"/>
    <x v="2"/>
    <x v="4"/>
    <x v="1"/>
    <s v="Standard Rules"/>
    <n v="0"/>
    <n v="1"/>
    <x v="3"/>
    <s v=""/>
    <n v="1"/>
  </r>
  <r>
    <n v="1737"/>
    <s v="736 Pine St, CityC"/>
    <d v="2023-09-03T08:44:00"/>
    <x v="0"/>
    <x v="24"/>
    <s v="Truck B"/>
    <x v="4"/>
    <n v="232"/>
    <n v="19"/>
    <x v="2"/>
    <x v="1"/>
    <x v="1"/>
    <s v="Expedited Rules"/>
    <n v="0"/>
    <n v="1"/>
    <x v="0"/>
    <n v="810"/>
    <n v="1"/>
  </r>
  <r>
    <n v="1749"/>
    <s v="665 Oak St, CityD"/>
    <d v="2023-09-02T13:35:00"/>
    <x v="0"/>
    <x v="13"/>
    <s v="Truck B"/>
    <x v="3"/>
    <n v="110"/>
    <n v="8"/>
    <x v="1"/>
    <x v="2"/>
    <x v="1"/>
    <s v="Standard Rules"/>
    <n v="0"/>
    <n v="0"/>
    <x v="4"/>
    <n v="811"/>
    <n v="1"/>
  </r>
  <r>
    <n v="1753"/>
    <s v="478 Pine St, CityC"/>
    <d v="2023-09-06T08:48:00"/>
    <x v="1"/>
    <x v="84"/>
    <s v="Truck B"/>
    <x v="3"/>
    <n v="227"/>
    <n v="1"/>
    <x v="2"/>
    <x v="1"/>
    <x v="1"/>
    <s v="Expedited Rules"/>
    <n v="0"/>
    <n v="1"/>
    <x v="1"/>
    <s v=""/>
    <n v="1"/>
  </r>
  <r>
    <n v="1759"/>
    <s v="909 Pine St, CityA"/>
    <d v="2023-09-02T08:42:00"/>
    <x v="0"/>
    <x v="53"/>
    <s v="Truck B"/>
    <x v="4"/>
    <n v="165"/>
    <n v="21"/>
    <x v="0"/>
    <x v="4"/>
    <x v="1"/>
    <s v="Expedited Rules"/>
    <n v="0"/>
    <n v="0"/>
    <x v="4"/>
    <n v="811"/>
    <n v="1"/>
  </r>
  <r>
    <n v="1765"/>
    <s v="170 Main St, CityA"/>
    <d v="2023-09-02T08:16:00"/>
    <x v="1"/>
    <x v="85"/>
    <s v="Truck B"/>
    <x v="2"/>
    <n v="73"/>
    <n v="1"/>
    <x v="1"/>
    <x v="2"/>
    <x v="1"/>
    <s v="Custom Rules"/>
    <n v="0"/>
    <n v="0"/>
    <x v="4"/>
    <s v=""/>
    <n v="1"/>
  </r>
  <r>
    <n v="1767"/>
    <s v="62 Main St, CityE"/>
    <d v="2023-09-04T12:41:00"/>
    <x v="1"/>
    <x v="48"/>
    <s v="Truck B"/>
    <x v="1"/>
    <n v="171"/>
    <n v="2"/>
    <x v="0"/>
    <x v="2"/>
    <x v="1"/>
    <s v="Custom Rules"/>
    <n v="0"/>
    <n v="0"/>
    <x v="2"/>
    <s v=""/>
    <n v="1"/>
  </r>
  <r>
    <n v="1806"/>
    <s v="821 Oak St, CityA"/>
    <d v="2023-09-05T12:37:00"/>
    <x v="0"/>
    <x v="83"/>
    <s v="Truck B"/>
    <x v="0"/>
    <n v="110"/>
    <n v="22"/>
    <x v="1"/>
    <x v="1"/>
    <x v="1"/>
    <s v="Custom Rules"/>
    <n v="0"/>
    <n v="0"/>
    <x v="7"/>
    <n v="808"/>
    <n v="1"/>
  </r>
  <r>
    <n v="1831"/>
    <s v="53 Main St, CityD"/>
    <d v="2023-09-04T13:34:00"/>
    <x v="0"/>
    <x v="20"/>
    <s v="Truck B"/>
    <x v="1"/>
    <n v="177"/>
    <n v="23"/>
    <x v="2"/>
    <x v="0"/>
    <x v="1"/>
    <s v="Custom Rules"/>
    <n v="0"/>
    <n v="1"/>
    <x v="2"/>
    <n v="809"/>
    <n v="1"/>
  </r>
  <r>
    <n v="1841"/>
    <s v="274 Cedar St, CityC"/>
    <d v="2023-09-06T13:12:00"/>
    <x v="1"/>
    <x v="77"/>
    <s v="Truck B"/>
    <x v="1"/>
    <n v="124"/>
    <n v="23"/>
    <x v="0"/>
    <x v="1"/>
    <x v="1"/>
    <s v="Custom Rules"/>
    <n v="0"/>
    <n v="0"/>
    <x v="1"/>
    <s v=""/>
    <n v="1"/>
  </r>
  <r>
    <n v="1870"/>
    <s v="192 Pine St, CityD"/>
    <d v="2023-09-06T15:33:00"/>
    <x v="0"/>
    <x v="82"/>
    <s v="Truck B"/>
    <x v="3"/>
    <n v="119"/>
    <n v="4"/>
    <x v="0"/>
    <x v="3"/>
    <x v="1"/>
    <s v="Expedited Rules"/>
    <n v="0"/>
    <n v="0"/>
    <x v="1"/>
    <n v="807"/>
    <n v="1"/>
  </r>
  <r>
    <n v="1878"/>
    <s v="44 Elm St, CityB"/>
    <d v="2023-09-08T08:07:00"/>
    <x v="0"/>
    <x v="18"/>
    <s v="Truck B"/>
    <x v="4"/>
    <n v="173"/>
    <n v="10"/>
    <x v="1"/>
    <x v="4"/>
    <x v="1"/>
    <s v="Standard Rules"/>
    <n v="0"/>
    <n v="0"/>
    <x v="5"/>
    <n v="805"/>
    <n v="1"/>
  </r>
  <r>
    <n v="1897"/>
    <s v="937 Cedar St, CityE"/>
    <d v="2023-09-05T08:38:00"/>
    <x v="0"/>
    <x v="0"/>
    <s v="Truck B"/>
    <x v="0"/>
    <n v="183"/>
    <n v="6"/>
    <x v="0"/>
    <x v="3"/>
    <x v="1"/>
    <s v="Standard Rules"/>
    <n v="0"/>
    <n v="0"/>
    <x v="7"/>
    <n v="808"/>
    <n v="1"/>
  </r>
  <r>
    <n v="1899"/>
    <s v="229 Pine St, CityC"/>
    <d v="2023-09-07T11:48:00"/>
    <x v="1"/>
    <x v="75"/>
    <s v="Truck B"/>
    <x v="1"/>
    <n v="103"/>
    <n v="6"/>
    <x v="2"/>
    <x v="1"/>
    <x v="1"/>
    <s v="Standard Rules"/>
    <n v="0"/>
    <n v="1"/>
    <x v="3"/>
    <s v=""/>
    <n v="1"/>
  </r>
  <r>
    <n v="1904"/>
    <s v="228 Pine St, CityB"/>
    <d v="2023-09-03T13:45:00"/>
    <x v="1"/>
    <x v="79"/>
    <s v="Truck B"/>
    <x v="1"/>
    <n v="229"/>
    <n v="10"/>
    <x v="2"/>
    <x v="3"/>
    <x v="1"/>
    <s v="Standard Rules"/>
    <n v="0"/>
    <n v="1"/>
    <x v="0"/>
    <s v=""/>
    <n v="1"/>
  </r>
  <r>
    <n v="1921"/>
    <s v="426 Elm St, CityD"/>
    <d v="2023-09-01T16:29:00"/>
    <x v="1"/>
    <x v="92"/>
    <s v="Truck B"/>
    <x v="4"/>
    <n v="67"/>
    <n v="1"/>
    <x v="0"/>
    <x v="4"/>
    <x v="1"/>
    <s v="Custom Rules"/>
    <n v="0"/>
    <n v="0"/>
    <x v="6"/>
    <s v=""/>
    <n v="1"/>
  </r>
  <r>
    <n v="1939"/>
    <s v="835 Cedar St, CityB"/>
    <d v="2023-09-06T12:09:00"/>
    <x v="1"/>
    <x v="22"/>
    <s v="Truck B"/>
    <x v="3"/>
    <n v="187"/>
    <n v="22"/>
    <x v="0"/>
    <x v="3"/>
    <x v="1"/>
    <s v="Expedited Rules"/>
    <n v="0"/>
    <n v="0"/>
    <x v="1"/>
    <s v=""/>
    <n v="1"/>
  </r>
  <r>
    <n v="1943"/>
    <s v="218 Elm St, CityB"/>
    <d v="2023-09-06T10:52:00"/>
    <x v="1"/>
    <x v="81"/>
    <s v="Truck B"/>
    <x v="1"/>
    <n v="200"/>
    <n v="21"/>
    <x v="1"/>
    <x v="0"/>
    <x v="1"/>
    <s v="Standard Rules"/>
    <n v="0"/>
    <n v="0"/>
    <x v="1"/>
    <s v=""/>
    <n v="1"/>
  </r>
  <r>
    <n v="1958"/>
    <s v="507 Cedar St, CityE"/>
    <d v="2023-09-02T13:24:00"/>
    <x v="0"/>
    <x v="66"/>
    <s v="Truck B"/>
    <x v="4"/>
    <n v="228"/>
    <n v="21"/>
    <x v="2"/>
    <x v="0"/>
    <x v="1"/>
    <s v="Expedited Rules"/>
    <n v="0"/>
    <n v="1"/>
    <x v="4"/>
    <n v="811"/>
    <n v="1"/>
  </r>
  <r>
    <n v="1980"/>
    <s v="51 Oak St, CityC"/>
    <d v="2023-09-03T11:04:00"/>
    <x v="1"/>
    <x v="32"/>
    <s v="Truck B"/>
    <x v="2"/>
    <n v="214"/>
    <n v="10"/>
    <x v="0"/>
    <x v="1"/>
    <x v="1"/>
    <s v="Standard Rules"/>
    <n v="0"/>
    <n v="0"/>
    <x v="0"/>
    <s v=""/>
    <n v="1"/>
  </r>
  <r>
    <n v="1993"/>
    <s v="271 Elm St, CityE"/>
    <d v="2023-09-03T10:02:00"/>
    <x v="1"/>
    <x v="58"/>
    <s v="Truck B"/>
    <x v="1"/>
    <n v="63"/>
    <n v="27"/>
    <x v="1"/>
    <x v="1"/>
    <x v="1"/>
    <s v="Custom Rules"/>
    <n v="0"/>
    <n v="0"/>
    <x v="0"/>
    <s v=""/>
    <n v="1"/>
  </r>
  <r>
    <n v="1998"/>
    <s v="224 Elm St, CityB"/>
    <d v="2023-09-01T12:30:00"/>
    <x v="0"/>
    <x v="65"/>
    <s v="Truck B"/>
    <x v="2"/>
    <n v="159"/>
    <n v="12"/>
    <x v="2"/>
    <x v="0"/>
    <x v="1"/>
    <s v="Expedited Rules"/>
    <n v="0"/>
    <n v="1"/>
    <x v="6"/>
    <n v="812"/>
    <n v="1"/>
  </r>
  <r>
    <n v="2002"/>
    <s v="814 Elm St, CityD"/>
    <d v="2023-09-07T16:42:00"/>
    <x v="0"/>
    <x v="44"/>
    <s v="Truck B"/>
    <x v="3"/>
    <n v="133"/>
    <n v="25"/>
    <x v="0"/>
    <x v="1"/>
    <x v="1"/>
    <s v="Custom Rules"/>
    <n v="0"/>
    <n v="0"/>
    <x v="3"/>
    <n v="806"/>
    <n v="1"/>
  </r>
  <r>
    <n v="2006"/>
    <s v="845 Cedar St, CityC"/>
    <d v="2023-09-04T14:52:00"/>
    <x v="0"/>
    <x v="40"/>
    <s v="Truck B"/>
    <x v="4"/>
    <n v="230"/>
    <n v="23"/>
    <x v="1"/>
    <x v="1"/>
    <x v="1"/>
    <s v="Custom Rules"/>
    <n v="0"/>
    <n v="0"/>
    <x v="2"/>
    <n v="809"/>
    <n v="1"/>
  </r>
  <r>
    <n v="2025"/>
    <s v="110 Oak St, CityB"/>
    <d v="2023-09-06T09:54:00"/>
    <x v="0"/>
    <x v="87"/>
    <s v="Truck B"/>
    <x v="1"/>
    <n v="161"/>
    <n v="2"/>
    <x v="2"/>
    <x v="3"/>
    <x v="1"/>
    <s v="Standard Rules"/>
    <n v="0"/>
    <n v="1"/>
    <x v="1"/>
    <n v="807"/>
    <n v="1"/>
  </r>
  <r>
    <n v="2043"/>
    <s v="311 Elm St, CityD"/>
    <d v="2023-09-03T09:15:00"/>
    <x v="1"/>
    <x v="23"/>
    <s v="Truck B"/>
    <x v="3"/>
    <n v="131"/>
    <n v="7"/>
    <x v="0"/>
    <x v="4"/>
    <x v="1"/>
    <s v="Expedited Rules"/>
    <n v="0"/>
    <n v="0"/>
    <x v="0"/>
    <s v=""/>
    <n v="1"/>
  </r>
  <r>
    <n v="2045"/>
    <s v="987 Pine St, CityC"/>
    <d v="2023-09-03T10:03:00"/>
    <x v="0"/>
    <x v="16"/>
    <s v="Truck B"/>
    <x v="2"/>
    <n v="102"/>
    <n v="4"/>
    <x v="2"/>
    <x v="3"/>
    <x v="1"/>
    <s v="Custom Rules"/>
    <n v="0"/>
    <n v="1"/>
    <x v="0"/>
    <n v="810"/>
    <n v="1"/>
  </r>
  <r>
    <n v="2061"/>
    <s v="4 Elm St, CityA"/>
    <d v="2023-09-07T13:54:00"/>
    <x v="0"/>
    <x v="41"/>
    <s v="Truck B"/>
    <x v="3"/>
    <n v="145"/>
    <n v="6"/>
    <x v="1"/>
    <x v="1"/>
    <x v="1"/>
    <s v="Expedited Rules"/>
    <n v="0"/>
    <n v="0"/>
    <x v="3"/>
    <n v="806"/>
    <n v="1"/>
  </r>
  <r>
    <n v="2066"/>
    <s v="258 Oak St, CityE"/>
    <d v="2023-09-06T09:16:00"/>
    <x v="0"/>
    <x v="4"/>
    <s v="Truck B"/>
    <x v="1"/>
    <n v="220"/>
    <n v="19"/>
    <x v="0"/>
    <x v="3"/>
    <x v="1"/>
    <s v="Standard Rules"/>
    <n v="0"/>
    <n v="0"/>
    <x v="1"/>
    <n v="807"/>
    <n v="1"/>
  </r>
  <r>
    <n v="2068"/>
    <s v="579 Cedar St, CityC"/>
    <d v="2023-09-06T12:44:00"/>
    <x v="1"/>
    <x v="15"/>
    <s v="Truck B"/>
    <x v="2"/>
    <n v="221"/>
    <n v="8"/>
    <x v="0"/>
    <x v="0"/>
    <x v="1"/>
    <s v="Expedited Rules"/>
    <n v="0"/>
    <n v="0"/>
    <x v="1"/>
    <s v=""/>
    <n v="1"/>
  </r>
  <r>
    <n v="2073"/>
    <s v="546 Oak St, CityD"/>
    <d v="2023-09-03T12:56:00"/>
    <x v="0"/>
    <x v="23"/>
    <s v="Truck B"/>
    <x v="4"/>
    <n v="110"/>
    <n v="13"/>
    <x v="2"/>
    <x v="1"/>
    <x v="1"/>
    <s v="Expedited Rules"/>
    <n v="0"/>
    <n v="1"/>
    <x v="0"/>
    <n v="810"/>
    <n v="1"/>
  </r>
  <r>
    <n v="2077"/>
    <s v="421 Main St, CityB"/>
    <d v="2023-09-08T11:19:00"/>
    <x v="1"/>
    <x v="27"/>
    <s v="Truck B"/>
    <x v="4"/>
    <n v="159"/>
    <n v="19"/>
    <x v="1"/>
    <x v="2"/>
    <x v="1"/>
    <s v="Standard Rules"/>
    <n v="0"/>
    <n v="0"/>
    <x v="5"/>
    <s v=""/>
    <n v="1"/>
  </r>
  <r>
    <n v="2078"/>
    <s v="479 Pine St, CityE"/>
    <d v="2023-09-05T12:11:00"/>
    <x v="1"/>
    <x v="34"/>
    <s v="Truck B"/>
    <x v="1"/>
    <n v="91"/>
    <n v="4"/>
    <x v="2"/>
    <x v="0"/>
    <x v="1"/>
    <s v="Standard Rules"/>
    <n v="0"/>
    <n v="1"/>
    <x v="7"/>
    <s v=""/>
    <n v="1"/>
  </r>
  <r>
    <n v="2093"/>
    <s v="172 Main St, CityD"/>
    <d v="2023-09-06T16:50:00"/>
    <x v="0"/>
    <x v="99"/>
    <s v="Truck B"/>
    <x v="4"/>
    <n v="94"/>
    <n v="21"/>
    <x v="0"/>
    <x v="1"/>
    <x v="1"/>
    <s v="Expedited Rules"/>
    <n v="0"/>
    <n v="0"/>
    <x v="1"/>
    <n v="807"/>
    <n v="1"/>
  </r>
  <r>
    <n v="2095"/>
    <s v="909 Oak St, CityA"/>
    <d v="2023-09-05T16:39:00"/>
    <x v="1"/>
    <x v="3"/>
    <s v="Truck B"/>
    <x v="2"/>
    <n v="197"/>
    <n v="4"/>
    <x v="2"/>
    <x v="3"/>
    <x v="1"/>
    <s v="Expedited Rules"/>
    <n v="0"/>
    <n v="1"/>
    <x v="7"/>
    <s v=""/>
    <n v="1"/>
  </r>
  <r>
    <n v="2108"/>
    <s v="634 Elm St, CityA"/>
    <d v="2023-09-01T15:23:00"/>
    <x v="0"/>
    <x v="16"/>
    <s v="Truck B"/>
    <x v="4"/>
    <n v="65"/>
    <n v="11"/>
    <x v="1"/>
    <x v="1"/>
    <x v="1"/>
    <s v="Standard Rules"/>
    <n v="0"/>
    <n v="0"/>
    <x v="6"/>
    <n v="812"/>
    <n v="1"/>
  </r>
  <r>
    <n v="2114"/>
    <s v="546 Elm St, CityD"/>
    <d v="2023-09-02T11:03:00"/>
    <x v="1"/>
    <x v="48"/>
    <s v="Truck B"/>
    <x v="1"/>
    <n v="149"/>
    <n v="6"/>
    <x v="2"/>
    <x v="3"/>
    <x v="1"/>
    <s v="Expedited Rules"/>
    <n v="0"/>
    <n v="1"/>
    <x v="4"/>
    <s v=""/>
    <n v="1"/>
  </r>
  <r>
    <n v="2121"/>
    <s v="921 Cedar St, CityC"/>
    <d v="2023-09-01T09:51:00"/>
    <x v="1"/>
    <x v="68"/>
    <s v="Truck B"/>
    <x v="2"/>
    <n v="161"/>
    <n v="21"/>
    <x v="0"/>
    <x v="4"/>
    <x v="1"/>
    <s v="Custom Rules"/>
    <n v="0"/>
    <n v="0"/>
    <x v="6"/>
    <s v=""/>
    <n v="1"/>
  </r>
  <r>
    <n v="2131"/>
    <s v="950 Main St, CityE"/>
    <d v="2023-09-04T13:40:00"/>
    <x v="0"/>
    <x v="66"/>
    <s v="Truck B"/>
    <x v="1"/>
    <n v="188"/>
    <n v="15"/>
    <x v="0"/>
    <x v="0"/>
    <x v="1"/>
    <s v="Standard Rules"/>
    <n v="0"/>
    <n v="0"/>
    <x v="2"/>
    <n v="809"/>
    <n v="1"/>
  </r>
  <r>
    <n v="2132"/>
    <s v="119 Elm St, CityA"/>
    <d v="2023-09-08T16:55:00"/>
    <x v="0"/>
    <x v="57"/>
    <s v="Truck B"/>
    <x v="3"/>
    <n v="75"/>
    <n v="28"/>
    <x v="0"/>
    <x v="3"/>
    <x v="1"/>
    <s v="Custom Rules"/>
    <n v="0"/>
    <n v="0"/>
    <x v="5"/>
    <n v="805"/>
    <n v="1"/>
  </r>
  <r>
    <n v="2143"/>
    <s v="96 Oak St, CityC"/>
    <d v="2023-09-08T09:33:00"/>
    <x v="0"/>
    <x v="96"/>
    <s v="Truck B"/>
    <x v="0"/>
    <n v="184"/>
    <n v="1"/>
    <x v="1"/>
    <x v="2"/>
    <x v="1"/>
    <s v="Standard Rules"/>
    <n v="0"/>
    <n v="0"/>
    <x v="5"/>
    <n v="805"/>
    <n v="1"/>
  </r>
  <r>
    <n v="2146"/>
    <s v="438 Pine St, CityB"/>
    <d v="2023-09-02T08:42:00"/>
    <x v="1"/>
    <x v="78"/>
    <s v="Truck B"/>
    <x v="1"/>
    <n v="66"/>
    <n v="18"/>
    <x v="1"/>
    <x v="4"/>
    <x v="1"/>
    <s v="Expedited Rules"/>
    <n v="0"/>
    <n v="0"/>
    <x v="4"/>
    <s v=""/>
    <n v="1"/>
  </r>
  <r>
    <n v="2155"/>
    <s v="884 Main St, CityA"/>
    <d v="2023-09-08T11:14:00"/>
    <x v="0"/>
    <x v="58"/>
    <s v="Truck B"/>
    <x v="0"/>
    <n v="162"/>
    <n v="3"/>
    <x v="2"/>
    <x v="0"/>
    <x v="1"/>
    <s v="Standard Rules"/>
    <n v="0"/>
    <n v="1"/>
    <x v="5"/>
    <n v="805"/>
    <n v="1"/>
  </r>
  <r>
    <n v="2162"/>
    <s v="321 Pine St, CityA"/>
    <d v="2023-09-01T11:47:00"/>
    <x v="1"/>
    <x v="7"/>
    <s v="Truck B"/>
    <x v="2"/>
    <n v="118"/>
    <n v="11"/>
    <x v="2"/>
    <x v="4"/>
    <x v="1"/>
    <s v="Standard Rules"/>
    <n v="0"/>
    <n v="1"/>
    <x v="6"/>
    <s v=""/>
    <n v="1"/>
  </r>
  <r>
    <n v="2190"/>
    <s v="877 Cedar St, CityE"/>
    <d v="2023-09-07T13:48:00"/>
    <x v="0"/>
    <x v="18"/>
    <s v="Truck B"/>
    <x v="0"/>
    <n v="166"/>
    <n v="17"/>
    <x v="1"/>
    <x v="0"/>
    <x v="1"/>
    <s v="Standard Rules"/>
    <n v="0"/>
    <n v="0"/>
    <x v="3"/>
    <n v="806"/>
    <n v="1"/>
  </r>
  <r>
    <n v="2212"/>
    <s v="775 Elm St, CityC"/>
    <d v="2023-09-01T16:34:00"/>
    <x v="0"/>
    <x v="30"/>
    <s v="Truck B"/>
    <x v="0"/>
    <n v="218"/>
    <n v="16"/>
    <x v="2"/>
    <x v="2"/>
    <x v="1"/>
    <s v="Custom Rules"/>
    <n v="0"/>
    <n v="1"/>
    <x v="6"/>
    <n v="812"/>
    <n v="1"/>
  </r>
  <r>
    <n v="2225"/>
    <s v="812 Oak St, CityC"/>
    <d v="2023-09-03T14:51:00"/>
    <x v="1"/>
    <x v="52"/>
    <s v="Truck B"/>
    <x v="2"/>
    <n v="141"/>
    <n v="29"/>
    <x v="1"/>
    <x v="4"/>
    <x v="1"/>
    <s v="Standard Rules"/>
    <n v="0"/>
    <n v="0"/>
    <x v="0"/>
    <s v=""/>
    <n v="1"/>
  </r>
  <r>
    <n v="2235"/>
    <s v="210 Elm St, CityB"/>
    <d v="2023-09-02T12:36:00"/>
    <x v="0"/>
    <x v="35"/>
    <s v="Truck B"/>
    <x v="4"/>
    <n v="93"/>
    <n v="28"/>
    <x v="0"/>
    <x v="0"/>
    <x v="1"/>
    <s v="Expedited Rules"/>
    <n v="0"/>
    <n v="0"/>
    <x v="4"/>
    <n v="811"/>
    <n v="1"/>
  </r>
  <r>
    <n v="2242"/>
    <s v="539 Pine St, CityA"/>
    <d v="2023-09-03T11:47:00"/>
    <x v="1"/>
    <x v="91"/>
    <s v="Truck B"/>
    <x v="1"/>
    <n v="175"/>
    <n v="5"/>
    <x v="1"/>
    <x v="1"/>
    <x v="1"/>
    <s v="Custom Rules"/>
    <n v="0"/>
    <n v="0"/>
    <x v="0"/>
    <s v=""/>
    <n v="1"/>
  </r>
  <r>
    <n v="2246"/>
    <s v="505 Elm St, CityB"/>
    <d v="2023-09-03T08:20:00"/>
    <x v="0"/>
    <x v="83"/>
    <s v="Truck B"/>
    <x v="0"/>
    <n v="223"/>
    <n v="27"/>
    <x v="2"/>
    <x v="3"/>
    <x v="1"/>
    <s v="Standard Rules"/>
    <n v="0"/>
    <n v="1"/>
    <x v="0"/>
    <n v="810"/>
    <n v="1"/>
  </r>
  <r>
    <n v="2268"/>
    <s v="908 Main St, CityA"/>
    <d v="2023-09-03T13:57:00"/>
    <x v="0"/>
    <x v="87"/>
    <s v="Truck B"/>
    <x v="4"/>
    <n v="228"/>
    <n v="6"/>
    <x v="1"/>
    <x v="0"/>
    <x v="1"/>
    <s v="Standard Rules"/>
    <n v="0"/>
    <n v="0"/>
    <x v="0"/>
    <n v="810"/>
    <n v="1"/>
  </r>
  <r>
    <n v="2272"/>
    <s v="112 Cedar St, CityC"/>
    <d v="2023-09-02T15:24:00"/>
    <x v="0"/>
    <x v="14"/>
    <s v="Truck B"/>
    <x v="1"/>
    <n v="238"/>
    <n v="21"/>
    <x v="1"/>
    <x v="2"/>
    <x v="1"/>
    <s v="Custom Rules"/>
    <n v="0"/>
    <n v="0"/>
    <x v="4"/>
    <n v="811"/>
    <n v="1"/>
  </r>
  <r>
    <n v="2273"/>
    <s v="232 Elm St, CityD"/>
    <d v="2023-09-06T08:27:00"/>
    <x v="0"/>
    <x v="85"/>
    <s v="Truck B"/>
    <x v="1"/>
    <n v="166"/>
    <n v="11"/>
    <x v="0"/>
    <x v="3"/>
    <x v="1"/>
    <s v="Custom Rules"/>
    <n v="0"/>
    <n v="0"/>
    <x v="1"/>
    <n v="807"/>
    <n v="1"/>
  </r>
  <r>
    <n v="2281"/>
    <s v="346 Pine St, CityA"/>
    <d v="2023-09-05T16:44:00"/>
    <x v="0"/>
    <x v="8"/>
    <s v="Truck B"/>
    <x v="1"/>
    <n v="159"/>
    <n v="24"/>
    <x v="1"/>
    <x v="2"/>
    <x v="1"/>
    <s v="Expedited Rules"/>
    <n v="0"/>
    <n v="0"/>
    <x v="7"/>
    <n v="808"/>
    <n v="1"/>
  </r>
  <r>
    <n v="2286"/>
    <s v="646 Main St, CityC"/>
    <d v="2023-09-03T16:24:00"/>
    <x v="1"/>
    <x v="11"/>
    <s v="Truck B"/>
    <x v="2"/>
    <n v="105"/>
    <n v="20"/>
    <x v="0"/>
    <x v="0"/>
    <x v="1"/>
    <s v="Custom Rules"/>
    <n v="0"/>
    <n v="0"/>
    <x v="0"/>
    <s v=""/>
    <n v="1"/>
  </r>
  <r>
    <n v="2300"/>
    <s v="54 Pine St, CityE"/>
    <d v="2023-09-08T12:43:00"/>
    <x v="1"/>
    <x v="9"/>
    <s v="Truck B"/>
    <x v="0"/>
    <n v="104"/>
    <n v="12"/>
    <x v="1"/>
    <x v="4"/>
    <x v="1"/>
    <s v="Expedited Rules"/>
    <n v="0"/>
    <n v="0"/>
    <x v="5"/>
    <s v=""/>
    <n v="1"/>
  </r>
  <r>
    <n v="2313"/>
    <s v="140 Pine St, CityA"/>
    <d v="2023-09-03T08:20:00"/>
    <x v="1"/>
    <x v="59"/>
    <s v="Truck B"/>
    <x v="0"/>
    <n v="95"/>
    <n v="4"/>
    <x v="1"/>
    <x v="2"/>
    <x v="1"/>
    <s v="Custom Rules"/>
    <n v="0"/>
    <n v="0"/>
    <x v="0"/>
    <s v=""/>
    <n v="1"/>
  </r>
  <r>
    <n v="2322"/>
    <s v="958 Main St, CityD"/>
    <d v="2023-09-08T08:21:00"/>
    <x v="0"/>
    <x v="16"/>
    <s v="Truck B"/>
    <x v="3"/>
    <n v="192"/>
    <n v="2"/>
    <x v="0"/>
    <x v="1"/>
    <x v="1"/>
    <s v="Expedited Rules"/>
    <n v="0"/>
    <n v="0"/>
    <x v="5"/>
    <n v="805"/>
    <n v="1"/>
  </r>
  <r>
    <n v="2360"/>
    <s v="677 Oak St, CityA"/>
    <d v="2023-09-05T12:34:00"/>
    <x v="0"/>
    <x v="68"/>
    <s v="Truck B"/>
    <x v="2"/>
    <n v="209"/>
    <n v="19"/>
    <x v="1"/>
    <x v="2"/>
    <x v="1"/>
    <s v="Expedited Rules"/>
    <n v="0"/>
    <n v="0"/>
    <x v="7"/>
    <n v="808"/>
    <n v="1"/>
  </r>
  <r>
    <n v="2363"/>
    <s v="417 Main St, CityB"/>
    <d v="2023-09-04T09:54:00"/>
    <x v="0"/>
    <x v="65"/>
    <s v="Truck B"/>
    <x v="3"/>
    <n v="123"/>
    <n v="25"/>
    <x v="0"/>
    <x v="1"/>
    <x v="1"/>
    <s v="Expedited Rules"/>
    <n v="0"/>
    <n v="0"/>
    <x v="2"/>
    <n v="809"/>
    <n v="1"/>
  </r>
  <r>
    <n v="2365"/>
    <s v="829 Pine St, CityA"/>
    <d v="2023-09-02T08:31:00"/>
    <x v="1"/>
    <x v="20"/>
    <s v="Truck B"/>
    <x v="4"/>
    <n v="128"/>
    <n v="18"/>
    <x v="1"/>
    <x v="1"/>
    <x v="1"/>
    <s v="Custom Rules"/>
    <n v="0"/>
    <n v="0"/>
    <x v="4"/>
    <s v=""/>
    <n v="1"/>
  </r>
  <r>
    <n v="2377"/>
    <s v="615 Pine St, CityD"/>
    <d v="2023-09-06T13:35:00"/>
    <x v="0"/>
    <x v="87"/>
    <s v="Truck B"/>
    <x v="1"/>
    <n v="197"/>
    <n v="20"/>
    <x v="2"/>
    <x v="0"/>
    <x v="1"/>
    <s v="Expedited Rules"/>
    <n v="0"/>
    <n v="1"/>
    <x v="1"/>
    <n v="807"/>
    <n v="1"/>
  </r>
  <r>
    <n v="2387"/>
    <s v="879 Oak St, CityA"/>
    <d v="2023-09-02T13:19:00"/>
    <x v="0"/>
    <x v="24"/>
    <s v="Truck B"/>
    <x v="0"/>
    <n v="151"/>
    <n v="8"/>
    <x v="0"/>
    <x v="2"/>
    <x v="1"/>
    <s v="Expedited Rules"/>
    <n v="0"/>
    <n v="0"/>
    <x v="4"/>
    <n v="811"/>
    <n v="1"/>
  </r>
  <r>
    <n v="2396"/>
    <s v="401 Elm St, CityA"/>
    <d v="2023-09-04T12:54:00"/>
    <x v="0"/>
    <x v="47"/>
    <s v="Truck B"/>
    <x v="1"/>
    <n v="75"/>
    <n v="4"/>
    <x v="1"/>
    <x v="0"/>
    <x v="1"/>
    <s v="Custom Rules"/>
    <n v="0"/>
    <n v="0"/>
    <x v="2"/>
    <n v="809"/>
    <n v="1"/>
  </r>
  <r>
    <n v="2413"/>
    <s v="479 Cedar St, CityA"/>
    <d v="2023-09-04T13:46:00"/>
    <x v="0"/>
    <x v="50"/>
    <s v="Truck B"/>
    <x v="3"/>
    <n v="68"/>
    <n v="16"/>
    <x v="1"/>
    <x v="1"/>
    <x v="1"/>
    <s v="Custom Rules"/>
    <n v="0"/>
    <n v="0"/>
    <x v="2"/>
    <n v="809"/>
    <n v="1"/>
  </r>
  <r>
    <n v="2417"/>
    <s v="1 Pine St, CityA"/>
    <d v="2023-09-05T11:18:00"/>
    <x v="1"/>
    <x v="99"/>
    <s v="Truck B"/>
    <x v="3"/>
    <n v="230"/>
    <n v="9"/>
    <x v="2"/>
    <x v="2"/>
    <x v="1"/>
    <s v="Custom Rules"/>
    <n v="0"/>
    <n v="1"/>
    <x v="7"/>
    <s v=""/>
    <n v="1"/>
  </r>
  <r>
    <n v="2420"/>
    <s v="136 Pine St, CityD"/>
    <d v="2023-09-07T10:37:00"/>
    <x v="0"/>
    <x v="36"/>
    <s v="Truck B"/>
    <x v="3"/>
    <n v="65"/>
    <n v="7"/>
    <x v="1"/>
    <x v="2"/>
    <x v="1"/>
    <s v="Custom Rules"/>
    <n v="0"/>
    <n v="0"/>
    <x v="3"/>
    <n v="806"/>
    <n v="1"/>
  </r>
  <r>
    <n v="2440"/>
    <s v="644 Elm St, CityC"/>
    <d v="2023-09-03T08:11:00"/>
    <x v="0"/>
    <x v="21"/>
    <s v="Truck B"/>
    <x v="4"/>
    <n v="233"/>
    <n v="18"/>
    <x v="2"/>
    <x v="0"/>
    <x v="1"/>
    <s v="Expedited Rules"/>
    <n v="0"/>
    <n v="1"/>
    <x v="0"/>
    <n v="810"/>
    <n v="1"/>
  </r>
  <r>
    <n v="2445"/>
    <s v="888 Elm St, CityE"/>
    <d v="2023-09-06T15:00:00"/>
    <x v="0"/>
    <x v="52"/>
    <s v="Truck B"/>
    <x v="4"/>
    <n v="62"/>
    <n v="28"/>
    <x v="2"/>
    <x v="0"/>
    <x v="1"/>
    <s v="Standard Rules"/>
    <n v="0"/>
    <n v="1"/>
    <x v="1"/>
    <n v="807"/>
    <n v="1"/>
  </r>
  <r>
    <n v="2465"/>
    <s v="459 Main St, CityC"/>
    <d v="2023-09-01T16:34:00"/>
    <x v="0"/>
    <x v="21"/>
    <s v="Truck B"/>
    <x v="3"/>
    <n v="152"/>
    <n v="23"/>
    <x v="0"/>
    <x v="2"/>
    <x v="1"/>
    <s v="Standard Rules"/>
    <n v="0"/>
    <n v="0"/>
    <x v="6"/>
    <n v="812"/>
    <n v="1"/>
  </r>
  <r>
    <n v="2481"/>
    <s v="520 Oak St, CityB"/>
    <d v="2023-09-08T13:59:00"/>
    <x v="0"/>
    <x v="1"/>
    <s v="Truck B"/>
    <x v="0"/>
    <n v="224"/>
    <n v="14"/>
    <x v="0"/>
    <x v="0"/>
    <x v="1"/>
    <s v="Standard Rules"/>
    <n v="0"/>
    <n v="0"/>
    <x v="5"/>
    <n v="805"/>
    <n v="1"/>
  </r>
  <r>
    <n v="2485"/>
    <s v="291 Oak St, CityD"/>
    <d v="2023-09-07T16:46:00"/>
    <x v="0"/>
    <x v="77"/>
    <s v="Truck B"/>
    <x v="0"/>
    <n v="222"/>
    <n v="4"/>
    <x v="0"/>
    <x v="0"/>
    <x v="1"/>
    <s v="Standard Rules"/>
    <n v="0"/>
    <n v="0"/>
    <x v="3"/>
    <n v="806"/>
    <n v="1"/>
  </r>
  <r>
    <n v="2486"/>
    <s v="642 Cedar St, CityE"/>
    <d v="2023-09-06T11:13:00"/>
    <x v="0"/>
    <x v="59"/>
    <s v="Truck B"/>
    <x v="3"/>
    <n v="159"/>
    <n v="6"/>
    <x v="1"/>
    <x v="4"/>
    <x v="1"/>
    <s v="Custom Rules"/>
    <n v="0"/>
    <n v="0"/>
    <x v="1"/>
    <n v="807"/>
    <n v="1"/>
  </r>
  <r>
    <n v="2500"/>
    <s v="510 Elm St, CityB"/>
    <d v="2023-09-03T15:31:00"/>
    <x v="1"/>
    <x v="78"/>
    <s v="Truck B"/>
    <x v="2"/>
    <n v="134"/>
    <n v="23"/>
    <x v="1"/>
    <x v="0"/>
    <x v="1"/>
    <s v="Standard Rules"/>
    <n v="0"/>
    <n v="0"/>
    <x v="0"/>
    <s v=""/>
    <n v="1"/>
  </r>
  <r>
    <n v="1002"/>
    <s v="55 Oak St, CityE"/>
    <d v="2023-09-01T15:47:00"/>
    <x v="1"/>
    <x v="17"/>
    <s v="Truck B"/>
    <x v="3"/>
    <n v="163"/>
    <n v="19"/>
    <x v="2"/>
    <x v="2"/>
    <x v="0"/>
    <s v="Custom Rules"/>
    <n v="0"/>
    <n v="1"/>
    <x v="6"/>
    <s v=""/>
    <n v="1"/>
  </r>
  <r>
    <n v="1004"/>
    <s v="66 Cedar St, CityD"/>
    <d v="2023-09-03T14:41:00"/>
    <x v="1"/>
    <x v="11"/>
    <s v="Truck B"/>
    <x v="3"/>
    <n v="143"/>
    <n v="17"/>
    <x v="0"/>
    <x v="4"/>
    <x v="0"/>
    <s v="Custom Rules"/>
    <n v="0"/>
    <n v="0"/>
    <x v="0"/>
    <s v=""/>
    <n v="1"/>
  </r>
  <r>
    <n v="1023"/>
    <s v="98 Elm St, CityA"/>
    <d v="2023-09-06T10:34:00"/>
    <x v="1"/>
    <x v="69"/>
    <s v="Truck B"/>
    <x v="2"/>
    <n v="151"/>
    <n v="6"/>
    <x v="0"/>
    <x v="0"/>
    <x v="0"/>
    <s v="Standard Rules"/>
    <n v="0"/>
    <n v="0"/>
    <x v="1"/>
    <s v=""/>
    <n v="1"/>
  </r>
  <r>
    <n v="1051"/>
    <s v="831 Cedar St, CityA"/>
    <d v="2023-09-06T15:54:00"/>
    <x v="1"/>
    <x v="74"/>
    <s v="Truck B"/>
    <x v="1"/>
    <n v="104"/>
    <n v="19"/>
    <x v="1"/>
    <x v="0"/>
    <x v="0"/>
    <s v="Custom Rules"/>
    <n v="0"/>
    <n v="0"/>
    <x v="1"/>
    <s v=""/>
    <n v="1"/>
  </r>
  <r>
    <n v="1077"/>
    <s v="102 Pine St, CityB"/>
    <d v="2023-09-05T08:09:00"/>
    <x v="0"/>
    <x v="61"/>
    <s v="Truck B"/>
    <x v="1"/>
    <n v="187"/>
    <n v="21"/>
    <x v="1"/>
    <x v="3"/>
    <x v="0"/>
    <s v="Expedited Rules"/>
    <n v="0"/>
    <n v="0"/>
    <x v="7"/>
    <n v="808"/>
    <n v="1"/>
  </r>
  <r>
    <n v="1092"/>
    <s v="844 Pine St, CityD"/>
    <d v="2023-09-01T10:47:00"/>
    <x v="1"/>
    <x v="29"/>
    <s v="Truck B"/>
    <x v="1"/>
    <n v="198"/>
    <n v="23"/>
    <x v="2"/>
    <x v="3"/>
    <x v="0"/>
    <s v="Standard Rules"/>
    <n v="0"/>
    <n v="1"/>
    <x v="6"/>
    <s v=""/>
    <n v="1"/>
  </r>
  <r>
    <n v="1100"/>
    <s v="188 Cedar St, CityC"/>
    <d v="2023-09-07T09:03:00"/>
    <x v="1"/>
    <x v="31"/>
    <s v="Truck B"/>
    <x v="3"/>
    <n v="202"/>
    <n v="20"/>
    <x v="0"/>
    <x v="2"/>
    <x v="0"/>
    <s v="Custom Rules"/>
    <n v="0"/>
    <n v="0"/>
    <x v="3"/>
    <s v=""/>
    <n v="1"/>
  </r>
  <r>
    <n v="1105"/>
    <s v="843 Elm St, CityA"/>
    <d v="2023-09-03T13:01:00"/>
    <x v="0"/>
    <x v="42"/>
    <s v="Truck B"/>
    <x v="1"/>
    <n v="239"/>
    <n v="22"/>
    <x v="2"/>
    <x v="3"/>
    <x v="0"/>
    <s v="Standard Rules"/>
    <n v="0"/>
    <n v="1"/>
    <x v="0"/>
    <n v="810"/>
    <n v="1"/>
  </r>
  <r>
    <n v="1119"/>
    <s v="359 Pine St, CityB"/>
    <d v="2023-09-08T10:04:00"/>
    <x v="1"/>
    <x v="81"/>
    <s v="Truck B"/>
    <x v="2"/>
    <n v="149"/>
    <n v="17"/>
    <x v="1"/>
    <x v="4"/>
    <x v="0"/>
    <s v="Expedited Rules"/>
    <n v="0"/>
    <n v="0"/>
    <x v="5"/>
    <s v=""/>
    <n v="1"/>
  </r>
  <r>
    <n v="1122"/>
    <s v="518 Main St, CityB"/>
    <d v="2023-09-03T08:20:00"/>
    <x v="1"/>
    <x v="36"/>
    <s v="Truck B"/>
    <x v="2"/>
    <n v="81"/>
    <n v="15"/>
    <x v="1"/>
    <x v="2"/>
    <x v="0"/>
    <s v="Expedited Rules"/>
    <n v="0"/>
    <n v="0"/>
    <x v="0"/>
    <s v=""/>
    <n v="1"/>
  </r>
  <r>
    <n v="1131"/>
    <s v="531 Cedar St, CityA"/>
    <d v="2023-09-05T13:35:00"/>
    <x v="1"/>
    <x v="72"/>
    <s v="Truck B"/>
    <x v="2"/>
    <n v="73"/>
    <n v="25"/>
    <x v="2"/>
    <x v="1"/>
    <x v="0"/>
    <s v="Custom Rules"/>
    <n v="0"/>
    <n v="1"/>
    <x v="7"/>
    <s v=""/>
    <n v="1"/>
  </r>
  <r>
    <n v="1162"/>
    <s v="741 Cedar St, CityB"/>
    <d v="2023-09-03T13:53:00"/>
    <x v="1"/>
    <x v="34"/>
    <s v="Truck B"/>
    <x v="0"/>
    <n v="118"/>
    <n v="19"/>
    <x v="2"/>
    <x v="3"/>
    <x v="0"/>
    <s v="Custom Rules"/>
    <n v="0"/>
    <n v="1"/>
    <x v="0"/>
    <s v=""/>
    <n v="1"/>
  </r>
  <r>
    <n v="1164"/>
    <s v="583 Elm St, CityE"/>
    <d v="2023-09-03T08:49:00"/>
    <x v="1"/>
    <x v="48"/>
    <s v="Truck B"/>
    <x v="3"/>
    <n v="236"/>
    <n v="20"/>
    <x v="1"/>
    <x v="0"/>
    <x v="0"/>
    <s v="Expedited Rules"/>
    <n v="0"/>
    <n v="0"/>
    <x v="0"/>
    <s v=""/>
    <n v="1"/>
  </r>
  <r>
    <n v="1166"/>
    <s v="884 Pine St, CityC"/>
    <d v="2023-09-05T08:05:00"/>
    <x v="1"/>
    <x v="93"/>
    <s v="Truck B"/>
    <x v="4"/>
    <n v="155"/>
    <n v="13"/>
    <x v="1"/>
    <x v="4"/>
    <x v="0"/>
    <s v="Custom Rules"/>
    <n v="0"/>
    <n v="0"/>
    <x v="7"/>
    <s v=""/>
    <n v="1"/>
  </r>
  <r>
    <n v="1176"/>
    <s v="582 Elm St, CityC"/>
    <d v="2023-09-08T09:55:00"/>
    <x v="1"/>
    <x v="3"/>
    <s v="Truck B"/>
    <x v="1"/>
    <n v="172"/>
    <n v="12"/>
    <x v="1"/>
    <x v="0"/>
    <x v="0"/>
    <s v="Expedited Rules"/>
    <n v="0"/>
    <n v="0"/>
    <x v="5"/>
    <s v=""/>
    <n v="1"/>
  </r>
  <r>
    <n v="1210"/>
    <s v="908 Oak St, CityA"/>
    <d v="2023-09-08T08:09:00"/>
    <x v="0"/>
    <x v="28"/>
    <s v="Truck B"/>
    <x v="0"/>
    <n v="212"/>
    <n v="23"/>
    <x v="2"/>
    <x v="4"/>
    <x v="0"/>
    <s v="Custom Rules"/>
    <n v="0"/>
    <n v="1"/>
    <x v="5"/>
    <n v="805"/>
    <n v="1"/>
  </r>
  <r>
    <n v="1217"/>
    <s v="174 Oak St, CityC"/>
    <d v="2023-09-03T14:14:00"/>
    <x v="0"/>
    <x v="74"/>
    <s v="Truck B"/>
    <x v="3"/>
    <n v="221"/>
    <n v="7"/>
    <x v="0"/>
    <x v="2"/>
    <x v="0"/>
    <s v="Expedited Rules"/>
    <n v="0"/>
    <n v="0"/>
    <x v="0"/>
    <n v="810"/>
    <n v="1"/>
  </r>
  <r>
    <n v="1229"/>
    <s v="927 Pine St, CityD"/>
    <d v="2023-09-03T14:53:00"/>
    <x v="0"/>
    <x v="93"/>
    <s v="Truck B"/>
    <x v="3"/>
    <n v="75"/>
    <n v="1"/>
    <x v="1"/>
    <x v="0"/>
    <x v="0"/>
    <s v="Standard Rules"/>
    <n v="0"/>
    <n v="0"/>
    <x v="0"/>
    <n v="810"/>
    <n v="1"/>
  </r>
  <r>
    <n v="1233"/>
    <s v="417 Oak St, CityB"/>
    <d v="2023-09-01T09:02:00"/>
    <x v="0"/>
    <x v="84"/>
    <s v="Truck B"/>
    <x v="3"/>
    <n v="63"/>
    <n v="8"/>
    <x v="2"/>
    <x v="3"/>
    <x v="0"/>
    <s v="Custom Rules"/>
    <n v="0"/>
    <n v="1"/>
    <x v="6"/>
    <n v="812"/>
    <n v="1"/>
  </r>
  <r>
    <n v="1238"/>
    <s v="825 Oak St, CityE"/>
    <d v="2023-09-02T12:48:00"/>
    <x v="0"/>
    <x v="11"/>
    <s v="Truck B"/>
    <x v="3"/>
    <n v="111"/>
    <n v="19"/>
    <x v="0"/>
    <x v="1"/>
    <x v="0"/>
    <s v="Standard Rules"/>
    <n v="0"/>
    <n v="0"/>
    <x v="4"/>
    <n v="811"/>
    <n v="1"/>
  </r>
  <r>
    <n v="1252"/>
    <s v="94 Main St, CityA"/>
    <d v="2023-09-02T14:11:00"/>
    <x v="1"/>
    <x v="82"/>
    <s v="Truck B"/>
    <x v="1"/>
    <n v="141"/>
    <n v="18"/>
    <x v="0"/>
    <x v="3"/>
    <x v="0"/>
    <s v="Expedited Rules"/>
    <n v="0"/>
    <n v="0"/>
    <x v="4"/>
    <s v=""/>
    <n v="1"/>
  </r>
  <r>
    <n v="1254"/>
    <s v="52 Main St, CityD"/>
    <d v="2023-09-06T14:11:00"/>
    <x v="1"/>
    <x v="98"/>
    <s v="Truck B"/>
    <x v="0"/>
    <n v="64"/>
    <n v="9"/>
    <x v="1"/>
    <x v="2"/>
    <x v="0"/>
    <s v="Expedited Rules"/>
    <n v="0"/>
    <n v="0"/>
    <x v="1"/>
    <s v=""/>
    <n v="1"/>
  </r>
  <r>
    <n v="1256"/>
    <s v="488 Elm St, CityD"/>
    <d v="2023-09-07T15:27:00"/>
    <x v="0"/>
    <x v="92"/>
    <s v="Truck B"/>
    <x v="4"/>
    <n v="67"/>
    <n v="22"/>
    <x v="2"/>
    <x v="3"/>
    <x v="0"/>
    <s v="Standard Rules"/>
    <n v="0"/>
    <n v="1"/>
    <x v="3"/>
    <n v="806"/>
    <n v="1"/>
  </r>
  <r>
    <n v="1262"/>
    <s v="148 Cedar St, CityE"/>
    <d v="2023-09-03T14:27:00"/>
    <x v="1"/>
    <x v="34"/>
    <s v="Truck B"/>
    <x v="0"/>
    <n v="66"/>
    <n v="22"/>
    <x v="1"/>
    <x v="3"/>
    <x v="0"/>
    <s v="Standard Rules"/>
    <n v="0"/>
    <n v="0"/>
    <x v="0"/>
    <s v=""/>
    <n v="1"/>
  </r>
  <r>
    <n v="1272"/>
    <s v="773 Elm St, CityA"/>
    <d v="2023-09-05T08:01:00"/>
    <x v="0"/>
    <x v="8"/>
    <s v="Truck B"/>
    <x v="3"/>
    <n v="235"/>
    <n v="18"/>
    <x v="1"/>
    <x v="4"/>
    <x v="0"/>
    <s v="Expedited Rules"/>
    <n v="0"/>
    <n v="0"/>
    <x v="7"/>
    <n v="808"/>
    <n v="1"/>
  </r>
  <r>
    <n v="1273"/>
    <s v="64 Main St, CityD"/>
    <d v="2023-09-02T11:34:00"/>
    <x v="0"/>
    <x v="49"/>
    <s v="Truck B"/>
    <x v="1"/>
    <n v="221"/>
    <n v="24"/>
    <x v="0"/>
    <x v="4"/>
    <x v="0"/>
    <s v="Custom Rules"/>
    <n v="0"/>
    <n v="0"/>
    <x v="4"/>
    <n v="811"/>
    <n v="1"/>
  </r>
  <r>
    <n v="1285"/>
    <s v="44 Oak St, CityD"/>
    <d v="2023-09-04T09:09:00"/>
    <x v="1"/>
    <x v="23"/>
    <s v="Truck B"/>
    <x v="4"/>
    <n v="159"/>
    <n v="6"/>
    <x v="2"/>
    <x v="0"/>
    <x v="0"/>
    <s v="Custom Rules"/>
    <n v="0"/>
    <n v="1"/>
    <x v="2"/>
    <s v=""/>
    <n v="1"/>
  </r>
  <r>
    <n v="1289"/>
    <s v="157 Elm St, CityD"/>
    <d v="2023-09-03T13:27:00"/>
    <x v="0"/>
    <x v="11"/>
    <s v="Truck B"/>
    <x v="0"/>
    <n v="145"/>
    <n v="13"/>
    <x v="2"/>
    <x v="1"/>
    <x v="0"/>
    <s v="Standard Rules"/>
    <n v="0"/>
    <n v="1"/>
    <x v="0"/>
    <n v="810"/>
    <n v="1"/>
  </r>
  <r>
    <n v="1291"/>
    <s v="808 Oak St, CityD"/>
    <d v="2023-09-08T09:39:00"/>
    <x v="1"/>
    <x v="15"/>
    <s v="Truck B"/>
    <x v="0"/>
    <n v="161"/>
    <n v="11"/>
    <x v="1"/>
    <x v="1"/>
    <x v="0"/>
    <s v="Expedited Rules"/>
    <n v="0"/>
    <n v="0"/>
    <x v="5"/>
    <s v=""/>
    <n v="1"/>
  </r>
  <r>
    <n v="1293"/>
    <s v="375 Main St, CityD"/>
    <d v="2023-09-07T10:56:00"/>
    <x v="1"/>
    <x v="99"/>
    <s v="Truck B"/>
    <x v="0"/>
    <n v="236"/>
    <n v="6"/>
    <x v="1"/>
    <x v="0"/>
    <x v="0"/>
    <s v="Custom Rules"/>
    <n v="0"/>
    <n v="0"/>
    <x v="3"/>
    <s v=""/>
    <n v="1"/>
  </r>
  <r>
    <n v="1336"/>
    <s v="811 Oak St, CityB"/>
    <d v="2023-09-05T14:11:00"/>
    <x v="0"/>
    <x v="88"/>
    <s v="Truck B"/>
    <x v="4"/>
    <n v="237"/>
    <n v="9"/>
    <x v="2"/>
    <x v="2"/>
    <x v="0"/>
    <s v="Custom Rules"/>
    <n v="0"/>
    <n v="1"/>
    <x v="7"/>
    <n v="808"/>
    <n v="1"/>
  </r>
  <r>
    <n v="1350"/>
    <s v="268 Elm St, CityB"/>
    <d v="2023-09-07T12:34:00"/>
    <x v="0"/>
    <x v="29"/>
    <s v="Truck B"/>
    <x v="3"/>
    <n v="107"/>
    <n v="26"/>
    <x v="1"/>
    <x v="2"/>
    <x v="0"/>
    <s v="Expedited Rules"/>
    <n v="0"/>
    <n v="0"/>
    <x v="3"/>
    <n v="806"/>
    <n v="1"/>
  </r>
  <r>
    <n v="1354"/>
    <s v="458 Pine St, CityE"/>
    <d v="2023-09-08T15:09:00"/>
    <x v="0"/>
    <x v="78"/>
    <s v="Truck B"/>
    <x v="2"/>
    <n v="146"/>
    <n v="17"/>
    <x v="1"/>
    <x v="1"/>
    <x v="0"/>
    <s v="Custom Rules"/>
    <n v="0"/>
    <n v="0"/>
    <x v="5"/>
    <n v="805"/>
    <n v="1"/>
  </r>
  <r>
    <n v="1377"/>
    <s v="411 Cedar St, CityA"/>
    <d v="2023-09-03T14:29:00"/>
    <x v="1"/>
    <x v="78"/>
    <s v="Truck B"/>
    <x v="2"/>
    <n v="182"/>
    <n v="17"/>
    <x v="2"/>
    <x v="1"/>
    <x v="0"/>
    <s v="Custom Rules"/>
    <n v="0"/>
    <n v="1"/>
    <x v="0"/>
    <s v=""/>
    <n v="1"/>
  </r>
  <r>
    <n v="1394"/>
    <s v="236 Cedar St, CityD"/>
    <d v="2023-09-02T09:30:00"/>
    <x v="0"/>
    <x v="88"/>
    <s v="Truck B"/>
    <x v="3"/>
    <n v="92"/>
    <n v="5"/>
    <x v="0"/>
    <x v="3"/>
    <x v="0"/>
    <s v="Custom Rules"/>
    <n v="0"/>
    <n v="0"/>
    <x v="4"/>
    <n v="811"/>
    <n v="1"/>
  </r>
  <r>
    <n v="1396"/>
    <s v="596 Oak St, CityE"/>
    <d v="2023-09-07T11:53:00"/>
    <x v="1"/>
    <x v="75"/>
    <s v="Truck B"/>
    <x v="4"/>
    <n v="146"/>
    <n v="29"/>
    <x v="2"/>
    <x v="2"/>
    <x v="0"/>
    <s v="Custom Rules"/>
    <n v="0"/>
    <n v="1"/>
    <x v="3"/>
    <s v=""/>
    <n v="1"/>
  </r>
  <r>
    <n v="1403"/>
    <s v="263 Oak St, CityB"/>
    <d v="2023-09-05T10:19:00"/>
    <x v="0"/>
    <x v="81"/>
    <s v="Truck B"/>
    <x v="4"/>
    <n v="186"/>
    <n v="26"/>
    <x v="0"/>
    <x v="1"/>
    <x v="0"/>
    <s v="Standard Rules"/>
    <n v="0"/>
    <n v="0"/>
    <x v="7"/>
    <n v="808"/>
    <n v="1"/>
  </r>
  <r>
    <n v="1423"/>
    <s v="293 Elm St, CityA"/>
    <d v="2023-09-01T11:59:00"/>
    <x v="1"/>
    <x v="19"/>
    <s v="Truck B"/>
    <x v="4"/>
    <n v="192"/>
    <n v="16"/>
    <x v="1"/>
    <x v="3"/>
    <x v="0"/>
    <s v="Expedited Rules"/>
    <n v="0"/>
    <n v="0"/>
    <x v="6"/>
    <s v=""/>
    <n v="1"/>
  </r>
  <r>
    <n v="1427"/>
    <s v="953 Main St, CityC"/>
    <d v="2023-09-08T12:11:00"/>
    <x v="1"/>
    <x v="60"/>
    <s v="Truck B"/>
    <x v="1"/>
    <n v="116"/>
    <n v="22"/>
    <x v="2"/>
    <x v="4"/>
    <x v="0"/>
    <s v="Expedited Rules"/>
    <n v="0"/>
    <n v="1"/>
    <x v="5"/>
    <s v=""/>
    <n v="1"/>
  </r>
  <r>
    <n v="1429"/>
    <s v="985 Elm St, CityA"/>
    <d v="2023-09-07T15:19:00"/>
    <x v="0"/>
    <x v="48"/>
    <s v="Truck B"/>
    <x v="0"/>
    <n v="142"/>
    <n v="11"/>
    <x v="1"/>
    <x v="3"/>
    <x v="0"/>
    <s v="Custom Rules"/>
    <n v="0"/>
    <n v="0"/>
    <x v="3"/>
    <n v="806"/>
    <n v="1"/>
  </r>
  <r>
    <n v="1442"/>
    <s v="720 Cedar St, CityD"/>
    <d v="2023-09-03T12:28:00"/>
    <x v="1"/>
    <x v="44"/>
    <s v="Truck B"/>
    <x v="2"/>
    <n v="208"/>
    <n v="23"/>
    <x v="2"/>
    <x v="3"/>
    <x v="0"/>
    <s v="Expedited Rules"/>
    <n v="0"/>
    <n v="1"/>
    <x v="0"/>
    <s v=""/>
    <n v="1"/>
  </r>
  <r>
    <n v="1459"/>
    <s v="377 Pine St, CityD"/>
    <d v="2023-09-08T12:41:00"/>
    <x v="1"/>
    <x v="6"/>
    <s v="Truck B"/>
    <x v="0"/>
    <n v="141"/>
    <n v="9"/>
    <x v="2"/>
    <x v="2"/>
    <x v="0"/>
    <s v="Custom Rules"/>
    <n v="0"/>
    <n v="1"/>
    <x v="5"/>
    <s v=""/>
    <n v="1"/>
  </r>
  <r>
    <n v="1478"/>
    <s v="84 Pine St, CityA"/>
    <d v="2023-09-04T13:54:00"/>
    <x v="1"/>
    <x v="47"/>
    <s v="Truck B"/>
    <x v="2"/>
    <n v="121"/>
    <n v="3"/>
    <x v="2"/>
    <x v="3"/>
    <x v="0"/>
    <s v="Expedited Rules"/>
    <n v="0"/>
    <n v="1"/>
    <x v="2"/>
    <s v=""/>
    <n v="1"/>
  </r>
  <r>
    <n v="1480"/>
    <s v="533 Main St, CityE"/>
    <d v="2023-09-02T09:32:00"/>
    <x v="0"/>
    <x v="44"/>
    <s v="Truck B"/>
    <x v="2"/>
    <n v="77"/>
    <n v="28"/>
    <x v="0"/>
    <x v="3"/>
    <x v="0"/>
    <s v="Expedited Rules"/>
    <n v="0"/>
    <n v="0"/>
    <x v="4"/>
    <n v="811"/>
    <n v="1"/>
  </r>
  <r>
    <n v="1487"/>
    <s v="591 Oak St, CityD"/>
    <d v="2023-09-06T16:56:00"/>
    <x v="1"/>
    <x v="34"/>
    <s v="Truck B"/>
    <x v="0"/>
    <n v="186"/>
    <n v="4"/>
    <x v="2"/>
    <x v="4"/>
    <x v="0"/>
    <s v="Custom Rules"/>
    <n v="0"/>
    <n v="1"/>
    <x v="1"/>
    <s v=""/>
    <n v="1"/>
  </r>
  <r>
    <n v="1491"/>
    <s v="915 Cedar St, CityA"/>
    <d v="2023-09-02T11:41:00"/>
    <x v="0"/>
    <x v="67"/>
    <s v="Truck B"/>
    <x v="4"/>
    <n v="211"/>
    <n v="22"/>
    <x v="1"/>
    <x v="0"/>
    <x v="0"/>
    <s v="Custom Rules"/>
    <n v="0"/>
    <n v="0"/>
    <x v="4"/>
    <n v="811"/>
    <n v="1"/>
  </r>
  <r>
    <n v="1507"/>
    <s v="43 Pine St, CityA"/>
    <d v="2023-09-02T11:36:00"/>
    <x v="0"/>
    <x v="94"/>
    <s v="Truck B"/>
    <x v="0"/>
    <n v="221"/>
    <n v="24"/>
    <x v="2"/>
    <x v="3"/>
    <x v="0"/>
    <s v="Expedited Rules"/>
    <n v="0"/>
    <n v="1"/>
    <x v="4"/>
    <n v="811"/>
    <n v="1"/>
  </r>
  <r>
    <n v="1533"/>
    <s v="875 Elm St, CityA"/>
    <d v="2023-09-07T15:53:00"/>
    <x v="0"/>
    <x v="11"/>
    <s v="Truck B"/>
    <x v="3"/>
    <n v="208"/>
    <n v="10"/>
    <x v="1"/>
    <x v="2"/>
    <x v="0"/>
    <s v="Custom Rules"/>
    <n v="0"/>
    <n v="0"/>
    <x v="3"/>
    <n v="806"/>
    <n v="1"/>
  </r>
  <r>
    <n v="1535"/>
    <s v="437 Main St, CityB"/>
    <d v="2023-09-07T12:21:00"/>
    <x v="1"/>
    <x v="31"/>
    <s v="Truck B"/>
    <x v="2"/>
    <n v="228"/>
    <n v="11"/>
    <x v="0"/>
    <x v="0"/>
    <x v="0"/>
    <s v="Standard Rules"/>
    <n v="0"/>
    <n v="0"/>
    <x v="3"/>
    <s v=""/>
    <n v="1"/>
  </r>
  <r>
    <n v="1542"/>
    <s v="235 Pine St, CityA"/>
    <d v="2023-09-04T09:45:00"/>
    <x v="0"/>
    <x v="32"/>
    <s v="Truck B"/>
    <x v="2"/>
    <n v="87"/>
    <n v="28"/>
    <x v="1"/>
    <x v="3"/>
    <x v="0"/>
    <s v="Standard Rules"/>
    <n v="0"/>
    <n v="0"/>
    <x v="2"/>
    <n v="809"/>
    <n v="1"/>
  </r>
  <r>
    <n v="1569"/>
    <s v="902 Elm St, CityC"/>
    <d v="2023-09-02T15:18:00"/>
    <x v="1"/>
    <x v="56"/>
    <s v="Truck B"/>
    <x v="0"/>
    <n v="230"/>
    <n v="14"/>
    <x v="2"/>
    <x v="3"/>
    <x v="0"/>
    <s v="Standard Rules"/>
    <n v="0"/>
    <n v="1"/>
    <x v="4"/>
    <s v=""/>
    <n v="1"/>
  </r>
  <r>
    <n v="1597"/>
    <s v="335 Oak St, CityD"/>
    <d v="2023-09-02T10:26:00"/>
    <x v="0"/>
    <x v="32"/>
    <s v="Truck B"/>
    <x v="0"/>
    <n v="186"/>
    <n v="13"/>
    <x v="2"/>
    <x v="1"/>
    <x v="0"/>
    <s v="Custom Rules"/>
    <n v="0"/>
    <n v="1"/>
    <x v="4"/>
    <n v="811"/>
    <n v="1"/>
  </r>
  <r>
    <n v="1598"/>
    <s v="524 Pine St, CityD"/>
    <d v="2023-09-06T14:59:00"/>
    <x v="0"/>
    <x v="38"/>
    <s v="Truck B"/>
    <x v="2"/>
    <n v="173"/>
    <n v="16"/>
    <x v="0"/>
    <x v="2"/>
    <x v="0"/>
    <s v="Custom Rules"/>
    <n v="0"/>
    <n v="0"/>
    <x v="1"/>
    <n v="807"/>
    <n v="1"/>
  </r>
  <r>
    <n v="1604"/>
    <s v="546 Cedar St, CityE"/>
    <d v="2023-09-02T15:56:00"/>
    <x v="1"/>
    <x v="88"/>
    <s v="Truck B"/>
    <x v="3"/>
    <n v="210"/>
    <n v="11"/>
    <x v="0"/>
    <x v="3"/>
    <x v="0"/>
    <s v="Custom Rules"/>
    <n v="0"/>
    <n v="0"/>
    <x v="4"/>
    <s v=""/>
    <n v="1"/>
  </r>
  <r>
    <n v="1612"/>
    <s v="846 Oak St, CityE"/>
    <d v="2023-09-05T08:30:00"/>
    <x v="0"/>
    <x v="13"/>
    <s v="Truck B"/>
    <x v="2"/>
    <n v="126"/>
    <n v="3"/>
    <x v="2"/>
    <x v="0"/>
    <x v="0"/>
    <s v="Standard Rules"/>
    <n v="0"/>
    <n v="1"/>
    <x v="7"/>
    <n v="808"/>
    <n v="1"/>
  </r>
  <r>
    <n v="1615"/>
    <s v="686 Elm St, CityE"/>
    <d v="2023-09-03T12:14:00"/>
    <x v="1"/>
    <x v="41"/>
    <s v="Truck B"/>
    <x v="2"/>
    <n v="121"/>
    <n v="5"/>
    <x v="2"/>
    <x v="0"/>
    <x v="0"/>
    <s v="Custom Rules"/>
    <n v="0"/>
    <n v="1"/>
    <x v="0"/>
    <s v=""/>
    <n v="1"/>
  </r>
  <r>
    <n v="1632"/>
    <s v="466 Cedar St, CityE"/>
    <d v="2023-09-01T14:33:00"/>
    <x v="1"/>
    <x v="77"/>
    <s v="Truck B"/>
    <x v="3"/>
    <n v="77"/>
    <n v="5"/>
    <x v="1"/>
    <x v="0"/>
    <x v="0"/>
    <s v="Expedited Rules"/>
    <n v="0"/>
    <n v="0"/>
    <x v="6"/>
    <s v=""/>
    <n v="1"/>
  </r>
  <r>
    <n v="1639"/>
    <s v="144 Elm St, CityA"/>
    <d v="2023-09-04T13:51:00"/>
    <x v="1"/>
    <x v="89"/>
    <s v="Truck B"/>
    <x v="2"/>
    <n v="173"/>
    <n v="16"/>
    <x v="0"/>
    <x v="1"/>
    <x v="0"/>
    <s v="Standard Rules"/>
    <n v="0"/>
    <n v="0"/>
    <x v="2"/>
    <s v=""/>
    <n v="1"/>
  </r>
  <r>
    <n v="1641"/>
    <s v="868 Main St, CityC"/>
    <d v="2023-09-03T14:58:00"/>
    <x v="0"/>
    <x v="54"/>
    <s v="Truck B"/>
    <x v="2"/>
    <n v="132"/>
    <n v="9"/>
    <x v="0"/>
    <x v="0"/>
    <x v="0"/>
    <s v="Standard Rules"/>
    <n v="0"/>
    <n v="0"/>
    <x v="0"/>
    <n v="810"/>
    <n v="1"/>
  </r>
  <r>
    <n v="1646"/>
    <s v="11 Main St, CityC"/>
    <d v="2023-09-06T15:39:00"/>
    <x v="1"/>
    <x v="64"/>
    <s v="Truck B"/>
    <x v="2"/>
    <n v="97"/>
    <n v="5"/>
    <x v="2"/>
    <x v="3"/>
    <x v="0"/>
    <s v="Expedited Rules"/>
    <n v="0"/>
    <n v="1"/>
    <x v="1"/>
    <s v=""/>
    <n v="1"/>
  </r>
  <r>
    <n v="1656"/>
    <s v="978 Elm St, CityA"/>
    <d v="2023-09-01T09:38:00"/>
    <x v="0"/>
    <x v="71"/>
    <s v="Truck B"/>
    <x v="3"/>
    <n v="152"/>
    <n v="20"/>
    <x v="2"/>
    <x v="3"/>
    <x v="0"/>
    <s v="Custom Rules"/>
    <n v="0"/>
    <n v="1"/>
    <x v="6"/>
    <n v="812"/>
    <n v="1"/>
  </r>
  <r>
    <n v="1673"/>
    <s v="809 Cedar St, CityC"/>
    <d v="2023-09-05T08:28:00"/>
    <x v="0"/>
    <x v="40"/>
    <s v="Truck B"/>
    <x v="0"/>
    <n v="115"/>
    <n v="6"/>
    <x v="2"/>
    <x v="2"/>
    <x v="0"/>
    <s v="Expedited Rules"/>
    <n v="0"/>
    <n v="1"/>
    <x v="7"/>
    <n v="808"/>
    <n v="1"/>
  </r>
  <r>
    <n v="1687"/>
    <s v="731 Main St, CityD"/>
    <d v="2023-09-05T09:04:00"/>
    <x v="0"/>
    <x v="82"/>
    <s v="Truck B"/>
    <x v="2"/>
    <n v="100"/>
    <n v="28"/>
    <x v="0"/>
    <x v="2"/>
    <x v="0"/>
    <s v="Custom Rules"/>
    <n v="0"/>
    <n v="0"/>
    <x v="7"/>
    <n v="808"/>
    <n v="1"/>
  </r>
  <r>
    <n v="1703"/>
    <s v="153 Oak St, CityB"/>
    <d v="2023-09-06T12:37:00"/>
    <x v="0"/>
    <x v="37"/>
    <s v="Truck B"/>
    <x v="4"/>
    <n v="90"/>
    <n v="13"/>
    <x v="1"/>
    <x v="0"/>
    <x v="0"/>
    <s v="Expedited Rules"/>
    <n v="0"/>
    <n v="0"/>
    <x v="1"/>
    <n v="807"/>
    <n v="1"/>
  </r>
  <r>
    <n v="1719"/>
    <s v="252 Main St, CityC"/>
    <d v="2023-09-07T08:41:00"/>
    <x v="1"/>
    <x v="35"/>
    <s v="Truck B"/>
    <x v="2"/>
    <n v="209"/>
    <n v="21"/>
    <x v="2"/>
    <x v="1"/>
    <x v="0"/>
    <s v="Standard Rules"/>
    <n v="0"/>
    <n v="1"/>
    <x v="3"/>
    <s v=""/>
    <n v="1"/>
  </r>
  <r>
    <n v="1728"/>
    <s v="728 Main St, CityB"/>
    <d v="2023-09-03T13:54:00"/>
    <x v="1"/>
    <x v="13"/>
    <s v="Truck B"/>
    <x v="4"/>
    <n v="203"/>
    <n v="16"/>
    <x v="1"/>
    <x v="3"/>
    <x v="0"/>
    <s v="Expedited Rules"/>
    <n v="0"/>
    <n v="0"/>
    <x v="0"/>
    <s v=""/>
    <n v="1"/>
  </r>
  <r>
    <n v="1754"/>
    <s v="904 Elm St, CityD"/>
    <d v="2023-09-04T11:30:00"/>
    <x v="1"/>
    <x v="30"/>
    <s v="Truck B"/>
    <x v="4"/>
    <n v="145"/>
    <n v="23"/>
    <x v="1"/>
    <x v="0"/>
    <x v="0"/>
    <s v="Expedited Rules"/>
    <n v="0"/>
    <n v="0"/>
    <x v="2"/>
    <s v=""/>
    <n v="1"/>
  </r>
  <r>
    <n v="1757"/>
    <s v="303 Oak St, CityA"/>
    <d v="2023-09-05T10:51:00"/>
    <x v="1"/>
    <x v="85"/>
    <s v="Truck B"/>
    <x v="1"/>
    <n v="109"/>
    <n v="17"/>
    <x v="2"/>
    <x v="2"/>
    <x v="0"/>
    <s v="Expedited Rules"/>
    <n v="0"/>
    <n v="1"/>
    <x v="7"/>
    <s v=""/>
    <n v="1"/>
  </r>
  <r>
    <n v="1781"/>
    <s v="96 Cedar St, CityD"/>
    <d v="2023-09-07T14:16:00"/>
    <x v="0"/>
    <x v="98"/>
    <s v="Truck B"/>
    <x v="4"/>
    <n v="153"/>
    <n v="5"/>
    <x v="0"/>
    <x v="3"/>
    <x v="0"/>
    <s v="Expedited Rules"/>
    <n v="0"/>
    <n v="0"/>
    <x v="3"/>
    <n v="806"/>
    <n v="1"/>
  </r>
  <r>
    <n v="1785"/>
    <s v="429 Cedar St, CityB"/>
    <d v="2023-09-02T13:25:00"/>
    <x v="1"/>
    <x v="29"/>
    <s v="Truck B"/>
    <x v="1"/>
    <n v="143"/>
    <n v="21"/>
    <x v="2"/>
    <x v="2"/>
    <x v="0"/>
    <s v="Custom Rules"/>
    <n v="0"/>
    <n v="1"/>
    <x v="4"/>
    <s v=""/>
    <n v="1"/>
  </r>
  <r>
    <n v="1797"/>
    <s v="647 Oak St, CityE"/>
    <d v="2023-09-04T09:51:00"/>
    <x v="0"/>
    <x v="26"/>
    <s v="Truck B"/>
    <x v="1"/>
    <n v="208"/>
    <n v="6"/>
    <x v="1"/>
    <x v="3"/>
    <x v="0"/>
    <s v="Custom Rules"/>
    <n v="0"/>
    <n v="0"/>
    <x v="2"/>
    <n v="809"/>
    <n v="1"/>
  </r>
  <r>
    <n v="1800"/>
    <s v="797 Elm St, CityB"/>
    <d v="2023-09-06T13:25:00"/>
    <x v="0"/>
    <x v="2"/>
    <s v="Truck B"/>
    <x v="3"/>
    <n v="87"/>
    <n v="14"/>
    <x v="2"/>
    <x v="2"/>
    <x v="0"/>
    <s v="Standard Rules"/>
    <n v="0"/>
    <n v="1"/>
    <x v="1"/>
    <n v="807"/>
    <n v="1"/>
  </r>
  <r>
    <n v="1804"/>
    <s v="511 Pine St, CityA"/>
    <d v="2023-09-07T10:05:00"/>
    <x v="0"/>
    <x v="12"/>
    <s v="Truck B"/>
    <x v="3"/>
    <n v="168"/>
    <n v="17"/>
    <x v="2"/>
    <x v="4"/>
    <x v="0"/>
    <s v="Expedited Rules"/>
    <n v="0"/>
    <n v="1"/>
    <x v="3"/>
    <n v="806"/>
    <n v="1"/>
  </r>
  <r>
    <n v="1805"/>
    <s v="975 Cedar St, CityC"/>
    <d v="2023-09-01T13:23:00"/>
    <x v="0"/>
    <x v="18"/>
    <s v="Truck B"/>
    <x v="4"/>
    <n v="153"/>
    <n v="3"/>
    <x v="0"/>
    <x v="3"/>
    <x v="0"/>
    <s v="Expedited Rules"/>
    <n v="0"/>
    <n v="0"/>
    <x v="6"/>
    <n v="812"/>
    <n v="1"/>
  </r>
  <r>
    <n v="1809"/>
    <s v="476 Elm St, CityA"/>
    <d v="2023-09-05T11:43:00"/>
    <x v="1"/>
    <x v="5"/>
    <s v="Truck B"/>
    <x v="2"/>
    <n v="81"/>
    <n v="12"/>
    <x v="2"/>
    <x v="0"/>
    <x v="0"/>
    <s v="Expedited Rules"/>
    <n v="0"/>
    <n v="1"/>
    <x v="7"/>
    <s v=""/>
    <n v="1"/>
  </r>
  <r>
    <n v="1811"/>
    <s v="372 Pine St, CityD"/>
    <d v="2023-09-01T14:22:00"/>
    <x v="0"/>
    <x v="17"/>
    <s v="Truck B"/>
    <x v="4"/>
    <n v="176"/>
    <n v="24"/>
    <x v="2"/>
    <x v="4"/>
    <x v="0"/>
    <s v="Expedited Rules"/>
    <n v="0"/>
    <n v="1"/>
    <x v="6"/>
    <n v="812"/>
    <n v="1"/>
  </r>
  <r>
    <n v="1833"/>
    <s v="299 Oak St, CityC"/>
    <d v="2023-09-01T11:52:00"/>
    <x v="1"/>
    <x v="28"/>
    <s v="Truck B"/>
    <x v="0"/>
    <n v="219"/>
    <n v="1"/>
    <x v="1"/>
    <x v="3"/>
    <x v="0"/>
    <s v="Expedited Rules"/>
    <n v="0"/>
    <n v="0"/>
    <x v="6"/>
    <s v=""/>
    <n v="1"/>
  </r>
  <r>
    <n v="1856"/>
    <s v="721 Elm St, CityA"/>
    <d v="2023-09-04T12:08:00"/>
    <x v="0"/>
    <x v="21"/>
    <s v="Truck B"/>
    <x v="0"/>
    <n v="122"/>
    <n v="5"/>
    <x v="1"/>
    <x v="1"/>
    <x v="0"/>
    <s v="Expedited Rules"/>
    <n v="0"/>
    <n v="0"/>
    <x v="2"/>
    <n v="809"/>
    <n v="1"/>
  </r>
  <r>
    <n v="1858"/>
    <s v="897 Main St, CityB"/>
    <d v="2023-09-07T12:11:00"/>
    <x v="1"/>
    <x v="17"/>
    <s v="Truck B"/>
    <x v="2"/>
    <n v="153"/>
    <n v="20"/>
    <x v="2"/>
    <x v="3"/>
    <x v="0"/>
    <s v="Custom Rules"/>
    <n v="0"/>
    <n v="1"/>
    <x v="3"/>
    <s v=""/>
    <n v="1"/>
  </r>
  <r>
    <n v="1860"/>
    <s v="153 Main St, CityC"/>
    <d v="2023-09-05T08:42:00"/>
    <x v="1"/>
    <x v="49"/>
    <s v="Truck B"/>
    <x v="4"/>
    <n v="222"/>
    <n v="22"/>
    <x v="2"/>
    <x v="1"/>
    <x v="0"/>
    <s v="Standard Rules"/>
    <n v="0"/>
    <n v="1"/>
    <x v="7"/>
    <s v=""/>
    <n v="1"/>
  </r>
  <r>
    <n v="1877"/>
    <s v="897 Oak St, CityB"/>
    <d v="2023-09-08T12:17:00"/>
    <x v="0"/>
    <x v="53"/>
    <s v="Truck B"/>
    <x v="3"/>
    <n v="219"/>
    <n v="12"/>
    <x v="0"/>
    <x v="4"/>
    <x v="0"/>
    <s v="Expedited Rules"/>
    <n v="0"/>
    <n v="0"/>
    <x v="5"/>
    <n v="805"/>
    <n v="1"/>
  </r>
  <r>
    <n v="1881"/>
    <s v="739 Elm St, CityD"/>
    <d v="2023-09-03T13:56:00"/>
    <x v="1"/>
    <x v="80"/>
    <s v="Truck B"/>
    <x v="3"/>
    <n v="228"/>
    <n v="13"/>
    <x v="2"/>
    <x v="3"/>
    <x v="0"/>
    <s v="Standard Rules"/>
    <n v="0"/>
    <n v="1"/>
    <x v="0"/>
    <s v=""/>
    <n v="1"/>
  </r>
  <r>
    <n v="1887"/>
    <s v="341 Cedar St, CityC"/>
    <d v="2023-09-01T12:58:00"/>
    <x v="1"/>
    <x v="42"/>
    <s v="Truck B"/>
    <x v="2"/>
    <n v="123"/>
    <n v="19"/>
    <x v="2"/>
    <x v="3"/>
    <x v="0"/>
    <s v="Standard Rules"/>
    <n v="0"/>
    <n v="1"/>
    <x v="6"/>
    <s v=""/>
    <n v="1"/>
  </r>
  <r>
    <n v="1893"/>
    <s v="46 Oak St, CityC"/>
    <d v="2023-09-03T15:54:00"/>
    <x v="1"/>
    <x v="52"/>
    <s v="Truck B"/>
    <x v="0"/>
    <n v="164"/>
    <n v="10"/>
    <x v="0"/>
    <x v="0"/>
    <x v="0"/>
    <s v="Expedited Rules"/>
    <n v="0"/>
    <n v="0"/>
    <x v="0"/>
    <s v=""/>
    <n v="1"/>
  </r>
  <r>
    <n v="1900"/>
    <s v="308 Main St, CityB"/>
    <d v="2023-09-02T16:51:00"/>
    <x v="1"/>
    <x v="3"/>
    <s v="Truck B"/>
    <x v="0"/>
    <n v="226"/>
    <n v="12"/>
    <x v="0"/>
    <x v="4"/>
    <x v="0"/>
    <s v="Expedited Rules"/>
    <n v="0"/>
    <n v="0"/>
    <x v="4"/>
    <s v=""/>
    <n v="1"/>
  </r>
  <r>
    <n v="1906"/>
    <s v="49 Main St, CityC"/>
    <d v="2023-09-01T10:58:00"/>
    <x v="0"/>
    <x v="24"/>
    <s v="Truck B"/>
    <x v="0"/>
    <n v="77"/>
    <n v="3"/>
    <x v="1"/>
    <x v="1"/>
    <x v="0"/>
    <s v="Standard Rules"/>
    <n v="0"/>
    <n v="0"/>
    <x v="6"/>
    <n v="812"/>
    <n v="1"/>
  </r>
  <r>
    <n v="1920"/>
    <s v="674 Oak St, CityC"/>
    <d v="2023-09-01T09:58:00"/>
    <x v="1"/>
    <x v="58"/>
    <s v="Truck B"/>
    <x v="2"/>
    <n v="141"/>
    <n v="20"/>
    <x v="0"/>
    <x v="1"/>
    <x v="0"/>
    <s v="Expedited Rules"/>
    <n v="0"/>
    <n v="0"/>
    <x v="6"/>
    <s v=""/>
    <n v="1"/>
  </r>
  <r>
    <n v="1931"/>
    <s v="493 Cedar St, CityC"/>
    <d v="2023-09-05T14:59:00"/>
    <x v="1"/>
    <x v="2"/>
    <s v="Truck B"/>
    <x v="1"/>
    <n v="196"/>
    <n v="5"/>
    <x v="1"/>
    <x v="0"/>
    <x v="0"/>
    <s v="Expedited Rules"/>
    <n v="0"/>
    <n v="0"/>
    <x v="7"/>
    <s v=""/>
    <n v="1"/>
  </r>
  <r>
    <n v="1960"/>
    <s v="640 Main St, CityC"/>
    <d v="2023-09-06T15:02:00"/>
    <x v="0"/>
    <x v="91"/>
    <s v="Truck B"/>
    <x v="1"/>
    <n v="116"/>
    <n v="26"/>
    <x v="1"/>
    <x v="1"/>
    <x v="0"/>
    <s v="Standard Rules"/>
    <n v="0"/>
    <n v="0"/>
    <x v="1"/>
    <n v="807"/>
    <n v="1"/>
  </r>
  <r>
    <n v="1971"/>
    <s v="24 Main St, CityC"/>
    <d v="2023-09-05T10:01:00"/>
    <x v="0"/>
    <x v="35"/>
    <s v="Truck B"/>
    <x v="3"/>
    <n v="202"/>
    <n v="15"/>
    <x v="0"/>
    <x v="3"/>
    <x v="0"/>
    <s v="Expedited Rules"/>
    <n v="0"/>
    <n v="0"/>
    <x v="7"/>
    <n v="808"/>
    <n v="1"/>
  </r>
  <r>
    <n v="1975"/>
    <s v="372 Main St, CityA"/>
    <d v="2023-09-02T10:19:00"/>
    <x v="1"/>
    <x v="86"/>
    <s v="Truck B"/>
    <x v="2"/>
    <n v="114"/>
    <n v="17"/>
    <x v="0"/>
    <x v="0"/>
    <x v="0"/>
    <s v="Expedited Rules"/>
    <n v="0"/>
    <n v="0"/>
    <x v="4"/>
    <s v=""/>
    <n v="1"/>
  </r>
  <r>
    <n v="1988"/>
    <s v="759 Main St, CityB"/>
    <d v="2023-09-02T12:12:00"/>
    <x v="0"/>
    <x v="11"/>
    <s v="Truck B"/>
    <x v="3"/>
    <n v="131"/>
    <n v="21"/>
    <x v="2"/>
    <x v="3"/>
    <x v="0"/>
    <s v="Custom Rules"/>
    <n v="0"/>
    <n v="1"/>
    <x v="4"/>
    <n v="811"/>
    <n v="1"/>
  </r>
  <r>
    <n v="2018"/>
    <s v="729 Main St, CityB"/>
    <d v="2023-09-04T11:20:00"/>
    <x v="1"/>
    <x v="25"/>
    <s v="Truck B"/>
    <x v="0"/>
    <n v="219"/>
    <n v="14"/>
    <x v="0"/>
    <x v="1"/>
    <x v="0"/>
    <s v="Custom Rules"/>
    <n v="0"/>
    <n v="0"/>
    <x v="2"/>
    <s v=""/>
    <n v="1"/>
  </r>
  <r>
    <n v="2029"/>
    <s v="676 Cedar St, CityC"/>
    <d v="2023-09-06T11:19:00"/>
    <x v="1"/>
    <x v="20"/>
    <s v="Truck B"/>
    <x v="1"/>
    <n v="139"/>
    <n v="3"/>
    <x v="2"/>
    <x v="1"/>
    <x v="0"/>
    <s v="Expedited Rules"/>
    <n v="0"/>
    <n v="1"/>
    <x v="1"/>
    <s v=""/>
    <n v="1"/>
  </r>
  <r>
    <n v="2030"/>
    <s v="455 Elm St, CityB"/>
    <d v="2023-09-05T12:55:00"/>
    <x v="0"/>
    <x v="67"/>
    <s v="Truck B"/>
    <x v="4"/>
    <n v="201"/>
    <n v="14"/>
    <x v="2"/>
    <x v="2"/>
    <x v="0"/>
    <s v="Standard Rules"/>
    <n v="0"/>
    <n v="1"/>
    <x v="7"/>
    <n v="808"/>
    <n v="1"/>
  </r>
  <r>
    <n v="2031"/>
    <s v="212 Pine St, CityC"/>
    <d v="2023-09-05T11:19:00"/>
    <x v="0"/>
    <x v="41"/>
    <s v="Truck B"/>
    <x v="3"/>
    <n v="181"/>
    <n v="19"/>
    <x v="0"/>
    <x v="0"/>
    <x v="0"/>
    <s v="Expedited Rules"/>
    <n v="0"/>
    <n v="0"/>
    <x v="7"/>
    <n v="808"/>
    <n v="1"/>
  </r>
  <r>
    <n v="2042"/>
    <s v="601 Pine St, CityC"/>
    <d v="2023-09-05T11:36:00"/>
    <x v="1"/>
    <x v="25"/>
    <s v="Truck B"/>
    <x v="4"/>
    <n v="238"/>
    <n v="8"/>
    <x v="0"/>
    <x v="0"/>
    <x v="0"/>
    <s v="Standard Rules"/>
    <n v="0"/>
    <n v="0"/>
    <x v="7"/>
    <s v=""/>
    <n v="1"/>
  </r>
  <r>
    <n v="2064"/>
    <s v="493 Elm St, CityB"/>
    <d v="2023-09-07T15:00:00"/>
    <x v="1"/>
    <x v="79"/>
    <s v="Truck B"/>
    <x v="3"/>
    <n v="170"/>
    <n v="28"/>
    <x v="1"/>
    <x v="1"/>
    <x v="0"/>
    <s v="Expedited Rules"/>
    <n v="0"/>
    <n v="0"/>
    <x v="3"/>
    <s v=""/>
    <n v="1"/>
  </r>
  <r>
    <n v="2083"/>
    <s v="380 Main St, CityA"/>
    <d v="2023-09-01T16:53:00"/>
    <x v="1"/>
    <x v="97"/>
    <s v="Truck B"/>
    <x v="1"/>
    <n v="86"/>
    <n v="15"/>
    <x v="1"/>
    <x v="1"/>
    <x v="0"/>
    <s v="Custom Rules"/>
    <n v="0"/>
    <n v="0"/>
    <x v="6"/>
    <s v=""/>
    <n v="1"/>
  </r>
  <r>
    <n v="2087"/>
    <s v="915 Elm St, CityA"/>
    <d v="2023-09-02T10:56:00"/>
    <x v="1"/>
    <x v="28"/>
    <s v="Truck B"/>
    <x v="0"/>
    <n v="238"/>
    <n v="24"/>
    <x v="2"/>
    <x v="1"/>
    <x v="0"/>
    <s v="Custom Rules"/>
    <n v="0"/>
    <n v="1"/>
    <x v="4"/>
    <s v=""/>
    <n v="1"/>
  </r>
  <r>
    <n v="2119"/>
    <s v="731 Cedar St, CityE"/>
    <d v="2023-09-03T10:02:00"/>
    <x v="0"/>
    <x v="58"/>
    <s v="Truck B"/>
    <x v="4"/>
    <n v="235"/>
    <n v="22"/>
    <x v="2"/>
    <x v="0"/>
    <x v="0"/>
    <s v="Custom Rules"/>
    <n v="0"/>
    <n v="1"/>
    <x v="0"/>
    <n v="810"/>
    <n v="1"/>
  </r>
  <r>
    <n v="2126"/>
    <s v="177 Cedar St, CityD"/>
    <d v="2023-09-08T12:42:00"/>
    <x v="1"/>
    <x v="95"/>
    <s v="Truck B"/>
    <x v="4"/>
    <n v="230"/>
    <n v="12"/>
    <x v="2"/>
    <x v="3"/>
    <x v="0"/>
    <s v="Standard Rules"/>
    <n v="0"/>
    <n v="1"/>
    <x v="5"/>
    <s v=""/>
    <n v="1"/>
  </r>
  <r>
    <n v="2139"/>
    <s v="879 Cedar St, CityE"/>
    <d v="2023-09-04T11:31:00"/>
    <x v="0"/>
    <x v="18"/>
    <s v="Truck B"/>
    <x v="2"/>
    <n v="73"/>
    <n v="9"/>
    <x v="0"/>
    <x v="3"/>
    <x v="0"/>
    <s v="Custom Rules"/>
    <n v="0"/>
    <n v="0"/>
    <x v="2"/>
    <n v="809"/>
    <n v="1"/>
  </r>
  <r>
    <n v="2171"/>
    <s v="637 Main St, CityC"/>
    <d v="2023-09-06T14:49:00"/>
    <x v="1"/>
    <x v="44"/>
    <s v="Truck B"/>
    <x v="0"/>
    <n v="82"/>
    <n v="13"/>
    <x v="0"/>
    <x v="1"/>
    <x v="0"/>
    <s v="Standard Rules"/>
    <n v="0"/>
    <n v="0"/>
    <x v="1"/>
    <s v=""/>
    <n v="1"/>
  </r>
  <r>
    <n v="2185"/>
    <s v="318 Elm St, CityE"/>
    <d v="2023-09-06T08:41:00"/>
    <x v="0"/>
    <x v="66"/>
    <s v="Truck B"/>
    <x v="0"/>
    <n v="80"/>
    <n v="22"/>
    <x v="1"/>
    <x v="4"/>
    <x v="0"/>
    <s v="Expedited Rules"/>
    <n v="0"/>
    <n v="0"/>
    <x v="1"/>
    <n v="807"/>
    <n v="1"/>
  </r>
  <r>
    <n v="2195"/>
    <s v="275 Main St, CityA"/>
    <d v="2023-09-06T14:04:00"/>
    <x v="1"/>
    <x v="59"/>
    <s v="Truck B"/>
    <x v="3"/>
    <n v="135"/>
    <n v="12"/>
    <x v="1"/>
    <x v="0"/>
    <x v="0"/>
    <s v="Custom Rules"/>
    <n v="0"/>
    <n v="0"/>
    <x v="1"/>
    <s v=""/>
    <n v="1"/>
  </r>
  <r>
    <n v="2202"/>
    <s v="902 Elm St, CityE"/>
    <d v="2023-09-03T10:54:00"/>
    <x v="0"/>
    <x v="60"/>
    <s v="Truck B"/>
    <x v="4"/>
    <n v="160"/>
    <n v="27"/>
    <x v="1"/>
    <x v="2"/>
    <x v="0"/>
    <s v="Custom Rules"/>
    <n v="0"/>
    <n v="0"/>
    <x v="0"/>
    <n v="810"/>
    <n v="1"/>
  </r>
  <r>
    <n v="2210"/>
    <s v="418 Oak St, CityB"/>
    <d v="2023-09-02T09:48:00"/>
    <x v="0"/>
    <x v="52"/>
    <s v="Truck B"/>
    <x v="1"/>
    <n v="210"/>
    <n v="16"/>
    <x v="2"/>
    <x v="0"/>
    <x v="0"/>
    <s v="Expedited Rules"/>
    <n v="0"/>
    <n v="1"/>
    <x v="4"/>
    <n v="811"/>
    <n v="1"/>
  </r>
  <r>
    <n v="2226"/>
    <s v="526 Cedar St, CityE"/>
    <d v="2023-09-04T10:04:00"/>
    <x v="1"/>
    <x v="56"/>
    <s v="Truck B"/>
    <x v="3"/>
    <n v="170"/>
    <n v="23"/>
    <x v="0"/>
    <x v="1"/>
    <x v="0"/>
    <s v="Custom Rules"/>
    <n v="0"/>
    <n v="0"/>
    <x v="2"/>
    <s v=""/>
    <n v="1"/>
  </r>
  <r>
    <n v="2229"/>
    <s v="248 Cedar St, CityE"/>
    <d v="2023-09-05T10:39:00"/>
    <x v="0"/>
    <x v="60"/>
    <s v="Truck B"/>
    <x v="0"/>
    <n v="71"/>
    <n v="5"/>
    <x v="0"/>
    <x v="0"/>
    <x v="0"/>
    <s v="Expedited Rules"/>
    <n v="0"/>
    <n v="0"/>
    <x v="7"/>
    <n v="808"/>
    <n v="1"/>
  </r>
  <r>
    <n v="2239"/>
    <s v="405 Elm St, CityB"/>
    <d v="2023-09-01T14:26:00"/>
    <x v="1"/>
    <x v="69"/>
    <s v="Truck B"/>
    <x v="4"/>
    <n v="110"/>
    <n v="7"/>
    <x v="1"/>
    <x v="2"/>
    <x v="0"/>
    <s v="Standard Rules"/>
    <n v="0"/>
    <n v="0"/>
    <x v="6"/>
    <s v=""/>
    <n v="1"/>
  </r>
  <r>
    <n v="2263"/>
    <s v="747 Oak St, CityE"/>
    <d v="2023-09-02T16:19:00"/>
    <x v="1"/>
    <x v="89"/>
    <s v="Truck B"/>
    <x v="3"/>
    <n v="165"/>
    <n v="27"/>
    <x v="2"/>
    <x v="2"/>
    <x v="0"/>
    <s v="Standard Rules"/>
    <n v="0"/>
    <n v="1"/>
    <x v="4"/>
    <s v=""/>
    <n v="1"/>
  </r>
  <r>
    <n v="2344"/>
    <s v="783 Pine St, CityA"/>
    <d v="2023-09-05T12:19:00"/>
    <x v="1"/>
    <x v="32"/>
    <s v="Truck B"/>
    <x v="4"/>
    <n v="144"/>
    <n v="7"/>
    <x v="0"/>
    <x v="0"/>
    <x v="0"/>
    <s v="Standard Rules"/>
    <n v="0"/>
    <n v="0"/>
    <x v="7"/>
    <s v=""/>
    <n v="1"/>
  </r>
  <r>
    <n v="2347"/>
    <s v="576 Elm St, CityE"/>
    <d v="2023-09-07T13:27:00"/>
    <x v="1"/>
    <x v="83"/>
    <s v="Truck B"/>
    <x v="4"/>
    <n v="102"/>
    <n v="23"/>
    <x v="2"/>
    <x v="0"/>
    <x v="0"/>
    <s v="Standard Rules"/>
    <n v="0"/>
    <n v="1"/>
    <x v="3"/>
    <s v=""/>
    <n v="1"/>
  </r>
  <r>
    <n v="2350"/>
    <s v="666 Elm St, CityE"/>
    <d v="2023-09-06T10:07:00"/>
    <x v="0"/>
    <x v="90"/>
    <s v="Truck B"/>
    <x v="0"/>
    <n v="107"/>
    <n v="15"/>
    <x v="0"/>
    <x v="0"/>
    <x v="0"/>
    <s v="Standard Rules"/>
    <n v="0"/>
    <n v="0"/>
    <x v="1"/>
    <n v="807"/>
    <n v="1"/>
  </r>
  <r>
    <n v="2383"/>
    <s v="969 Main St, CityD"/>
    <d v="2023-09-02T13:39:00"/>
    <x v="1"/>
    <x v="65"/>
    <s v="Truck B"/>
    <x v="0"/>
    <n v="228"/>
    <n v="20"/>
    <x v="2"/>
    <x v="0"/>
    <x v="0"/>
    <s v="Standard Rules"/>
    <n v="0"/>
    <n v="1"/>
    <x v="4"/>
    <s v=""/>
    <n v="1"/>
  </r>
  <r>
    <n v="2423"/>
    <s v="224 Pine St, CityA"/>
    <d v="2023-09-05T10:37:00"/>
    <x v="1"/>
    <x v="89"/>
    <s v="Truck B"/>
    <x v="0"/>
    <n v="80"/>
    <n v="22"/>
    <x v="2"/>
    <x v="4"/>
    <x v="0"/>
    <s v="Expedited Rules"/>
    <n v="0"/>
    <n v="1"/>
    <x v="7"/>
    <s v=""/>
    <n v="1"/>
  </r>
  <r>
    <n v="2432"/>
    <s v="210 Oak St, CityA"/>
    <d v="2023-09-07T09:34:00"/>
    <x v="1"/>
    <x v="65"/>
    <s v="Truck B"/>
    <x v="4"/>
    <n v="151"/>
    <n v="3"/>
    <x v="0"/>
    <x v="4"/>
    <x v="0"/>
    <s v="Expedited Rules"/>
    <n v="0"/>
    <n v="0"/>
    <x v="3"/>
    <s v=""/>
    <n v="1"/>
  </r>
  <r>
    <n v="2438"/>
    <s v="900 Pine St, CityE"/>
    <d v="2023-09-06T15:21:00"/>
    <x v="1"/>
    <x v="94"/>
    <s v="Truck B"/>
    <x v="1"/>
    <n v="72"/>
    <n v="17"/>
    <x v="2"/>
    <x v="4"/>
    <x v="0"/>
    <s v="Standard Rules"/>
    <n v="0"/>
    <n v="1"/>
    <x v="1"/>
    <s v=""/>
    <n v="1"/>
  </r>
  <r>
    <n v="2439"/>
    <s v="550 Elm St, CityA"/>
    <d v="2023-09-02T16:08:00"/>
    <x v="1"/>
    <x v="95"/>
    <s v="Truck B"/>
    <x v="3"/>
    <n v="217"/>
    <n v="4"/>
    <x v="0"/>
    <x v="3"/>
    <x v="0"/>
    <s v="Custom Rules"/>
    <n v="0"/>
    <n v="0"/>
    <x v="4"/>
    <s v=""/>
    <n v="1"/>
  </r>
  <r>
    <n v="2451"/>
    <s v="805 Cedar St, CityE"/>
    <d v="2023-09-04T09:11:00"/>
    <x v="0"/>
    <x v="98"/>
    <s v="Truck B"/>
    <x v="4"/>
    <n v="236"/>
    <n v="25"/>
    <x v="2"/>
    <x v="3"/>
    <x v="0"/>
    <s v="Standard Rules"/>
    <n v="0"/>
    <n v="1"/>
    <x v="2"/>
    <n v="809"/>
    <n v="1"/>
  </r>
  <r>
    <n v="2454"/>
    <s v="490 Main St, CityD"/>
    <d v="2023-09-04T09:36:00"/>
    <x v="0"/>
    <x v="62"/>
    <s v="Truck B"/>
    <x v="3"/>
    <n v="183"/>
    <n v="8"/>
    <x v="2"/>
    <x v="3"/>
    <x v="0"/>
    <s v="Standard Rules"/>
    <n v="0"/>
    <n v="1"/>
    <x v="2"/>
    <n v="809"/>
    <n v="1"/>
  </r>
  <r>
    <n v="2459"/>
    <s v="554 Elm St, CityA"/>
    <d v="2023-09-01T15:29:00"/>
    <x v="0"/>
    <x v="25"/>
    <s v="Truck B"/>
    <x v="3"/>
    <n v="194"/>
    <n v="24"/>
    <x v="2"/>
    <x v="0"/>
    <x v="0"/>
    <s v="Custom Rules"/>
    <n v="0"/>
    <n v="1"/>
    <x v="6"/>
    <n v="812"/>
    <n v="1"/>
  </r>
  <r>
    <n v="2460"/>
    <s v="675 Elm St, CityB"/>
    <d v="2023-09-03T13:20:00"/>
    <x v="0"/>
    <x v="22"/>
    <s v="Truck B"/>
    <x v="3"/>
    <n v="122"/>
    <n v="13"/>
    <x v="2"/>
    <x v="1"/>
    <x v="0"/>
    <s v="Custom Rules"/>
    <n v="0"/>
    <n v="1"/>
    <x v="0"/>
    <n v="810"/>
    <n v="1"/>
  </r>
  <r>
    <n v="2488"/>
    <s v="94 Oak St, CityB"/>
    <d v="2023-09-06T08:40:00"/>
    <x v="0"/>
    <x v="78"/>
    <s v="Truck B"/>
    <x v="1"/>
    <n v="172"/>
    <n v="11"/>
    <x v="0"/>
    <x v="4"/>
    <x v="0"/>
    <s v="Custom Rules"/>
    <n v="0"/>
    <n v="0"/>
    <x v="1"/>
    <n v="807"/>
    <n v="1"/>
  </r>
  <r>
    <n v="2499"/>
    <s v="938 Pine St, CityE"/>
    <d v="2023-09-04T16:58:00"/>
    <x v="0"/>
    <x v="40"/>
    <s v="Truck B"/>
    <x v="0"/>
    <n v="141"/>
    <n v="7"/>
    <x v="1"/>
    <x v="3"/>
    <x v="0"/>
    <s v="Standard Rules"/>
    <n v="0"/>
    <n v="0"/>
    <x v="2"/>
    <n v="809"/>
    <n v="1"/>
  </r>
  <r>
    <n v="1003"/>
    <s v="123 Main St, CityE"/>
    <d v="2023-09-01T16:20:00"/>
    <x v="1"/>
    <x v="85"/>
    <s v="Truck B"/>
    <x v="2"/>
    <n v="192"/>
    <n v="0"/>
    <x v="1"/>
    <x v="2"/>
    <x v="1"/>
    <s v="Custom Rules"/>
    <n v="1"/>
    <n v="0"/>
    <x v="6"/>
    <s v=""/>
    <n v="0"/>
  </r>
  <r>
    <n v="1025"/>
    <s v="5 Oak St, CityD"/>
    <d v="2023-09-03T14:10:00"/>
    <x v="0"/>
    <x v="95"/>
    <s v="Bike C"/>
    <x v="1"/>
    <n v="150"/>
    <n v="0"/>
    <x v="1"/>
    <x v="3"/>
    <x v="0"/>
    <s v="Custom Rules"/>
    <n v="1"/>
    <n v="0"/>
    <x v="0"/>
    <n v="810"/>
    <n v="0"/>
  </r>
  <r>
    <n v="1043"/>
    <s v="628 Oak St, CityD"/>
    <d v="2023-09-05T11:25:00"/>
    <x v="1"/>
    <x v="27"/>
    <s v="Bike C"/>
    <x v="2"/>
    <n v="235"/>
    <n v="0"/>
    <x v="0"/>
    <x v="0"/>
    <x v="2"/>
    <s v="Custom Rules"/>
    <n v="1"/>
    <n v="0"/>
    <x v="7"/>
    <s v=""/>
    <n v="0"/>
  </r>
  <r>
    <n v="1058"/>
    <s v="782 Elm St, CityC"/>
    <d v="2023-09-03T16:03:00"/>
    <x v="0"/>
    <x v="47"/>
    <s v="Truck B"/>
    <x v="2"/>
    <n v="214"/>
    <n v="0"/>
    <x v="2"/>
    <x v="0"/>
    <x v="1"/>
    <s v="Standard Rules"/>
    <n v="1"/>
    <n v="1"/>
    <x v="0"/>
    <n v="810"/>
    <n v="0"/>
  </r>
  <r>
    <n v="1069"/>
    <s v="556 Elm St, CityC"/>
    <d v="2023-09-05T16:21:00"/>
    <x v="0"/>
    <x v="57"/>
    <s v="Bike C"/>
    <x v="2"/>
    <n v="72"/>
    <n v="0"/>
    <x v="0"/>
    <x v="1"/>
    <x v="1"/>
    <s v="Standard Rules"/>
    <n v="1"/>
    <n v="0"/>
    <x v="7"/>
    <n v="808"/>
    <n v="0"/>
  </r>
  <r>
    <n v="1097"/>
    <s v="679 Elm St, CityA"/>
    <d v="2023-09-02T10:12:00"/>
    <x v="1"/>
    <x v="56"/>
    <s v="Van A"/>
    <x v="3"/>
    <n v="94"/>
    <n v="0"/>
    <x v="1"/>
    <x v="0"/>
    <x v="1"/>
    <s v="Standard Rules"/>
    <n v="1"/>
    <n v="0"/>
    <x v="4"/>
    <s v=""/>
    <n v="0"/>
  </r>
  <r>
    <n v="1134"/>
    <s v="924 Main St, CityB"/>
    <d v="2023-09-03T15:14:00"/>
    <x v="0"/>
    <x v="27"/>
    <s v="Truck B"/>
    <x v="3"/>
    <n v="140"/>
    <n v="0"/>
    <x v="0"/>
    <x v="4"/>
    <x v="1"/>
    <s v="Custom Rules"/>
    <n v="1"/>
    <n v="0"/>
    <x v="0"/>
    <n v="810"/>
    <n v="0"/>
  </r>
  <r>
    <n v="1163"/>
    <s v="252 Elm St, CityB"/>
    <d v="2023-09-02T11:55:00"/>
    <x v="0"/>
    <x v="38"/>
    <s v="Van A"/>
    <x v="1"/>
    <n v="78"/>
    <n v="0"/>
    <x v="2"/>
    <x v="3"/>
    <x v="0"/>
    <s v="Expedited Rules"/>
    <n v="1"/>
    <n v="1"/>
    <x v="4"/>
    <n v="811"/>
    <n v="0"/>
  </r>
  <r>
    <n v="1169"/>
    <s v="112 Cedar St, CityD"/>
    <d v="2023-09-01T11:58:00"/>
    <x v="0"/>
    <x v="34"/>
    <s v="Van A"/>
    <x v="0"/>
    <n v="223"/>
    <n v="0"/>
    <x v="0"/>
    <x v="4"/>
    <x v="2"/>
    <s v="Expedited Rules"/>
    <n v="1"/>
    <n v="0"/>
    <x v="6"/>
    <n v="812"/>
    <n v="0"/>
  </r>
  <r>
    <n v="1190"/>
    <s v="639 Oak St, CityE"/>
    <d v="2023-09-02T12:11:00"/>
    <x v="0"/>
    <x v="33"/>
    <s v="Truck B"/>
    <x v="2"/>
    <n v="95"/>
    <n v="0"/>
    <x v="1"/>
    <x v="3"/>
    <x v="2"/>
    <s v="Custom Rules"/>
    <n v="1"/>
    <n v="0"/>
    <x v="4"/>
    <n v="811"/>
    <n v="0"/>
  </r>
  <r>
    <n v="1196"/>
    <s v="933 Cedar St, CityD"/>
    <d v="2023-09-01T14:08:00"/>
    <x v="0"/>
    <x v="99"/>
    <s v="Van A"/>
    <x v="2"/>
    <n v="76"/>
    <n v="0"/>
    <x v="1"/>
    <x v="3"/>
    <x v="0"/>
    <s v="Standard Rules"/>
    <n v="1"/>
    <n v="0"/>
    <x v="6"/>
    <n v="812"/>
    <n v="0"/>
  </r>
  <r>
    <n v="1202"/>
    <s v="902 Pine St, CityD"/>
    <d v="2023-09-02T08:49:00"/>
    <x v="0"/>
    <x v="81"/>
    <s v="Van A"/>
    <x v="2"/>
    <n v="63"/>
    <n v="0"/>
    <x v="2"/>
    <x v="0"/>
    <x v="1"/>
    <s v="Standard Rules"/>
    <n v="1"/>
    <n v="1"/>
    <x v="4"/>
    <n v="811"/>
    <n v="0"/>
  </r>
  <r>
    <n v="1220"/>
    <s v="327 Elm St, CityA"/>
    <d v="2023-09-05T13:20:00"/>
    <x v="0"/>
    <x v="20"/>
    <s v="Truck B"/>
    <x v="1"/>
    <n v="86"/>
    <n v="0"/>
    <x v="2"/>
    <x v="1"/>
    <x v="1"/>
    <s v="Custom Rules"/>
    <n v="1"/>
    <n v="1"/>
    <x v="7"/>
    <n v="808"/>
    <n v="0"/>
  </r>
  <r>
    <n v="1292"/>
    <s v="892 Elm St, CityD"/>
    <d v="2023-09-05T08:04:00"/>
    <x v="1"/>
    <x v="7"/>
    <s v="Van A"/>
    <x v="4"/>
    <n v="163"/>
    <n v="0"/>
    <x v="0"/>
    <x v="1"/>
    <x v="2"/>
    <s v="Custom Rules"/>
    <n v="1"/>
    <n v="0"/>
    <x v="7"/>
    <s v=""/>
    <n v="0"/>
  </r>
  <r>
    <n v="1297"/>
    <s v="484 Elm St, CityC"/>
    <d v="2023-09-07T09:05:00"/>
    <x v="0"/>
    <x v="72"/>
    <s v="Truck B"/>
    <x v="2"/>
    <n v="175"/>
    <n v="0"/>
    <x v="2"/>
    <x v="1"/>
    <x v="2"/>
    <s v="Custom Rules"/>
    <n v="1"/>
    <n v="1"/>
    <x v="3"/>
    <n v="806"/>
    <n v="0"/>
  </r>
  <r>
    <n v="1426"/>
    <s v="52 Main St, CityC"/>
    <d v="2023-09-03T09:11:00"/>
    <x v="1"/>
    <x v="43"/>
    <s v="Bike C"/>
    <x v="3"/>
    <n v="120"/>
    <n v="0"/>
    <x v="1"/>
    <x v="0"/>
    <x v="0"/>
    <s v="Expedited Rules"/>
    <n v="1"/>
    <n v="0"/>
    <x v="0"/>
    <s v=""/>
    <n v="0"/>
  </r>
  <r>
    <n v="1462"/>
    <s v="554 Elm St, CityC"/>
    <d v="2023-09-04T09:08:00"/>
    <x v="1"/>
    <x v="37"/>
    <s v="Van A"/>
    <x v="1"/>
    <n v="122"/>
    <n v="0"/>
    <x v="0"/>
    <x v="0"/>
    <x v="0"/>
    <s v="Standard Rules"/>
    <n v="1"/>
    <n v="0"/>
    <x v="2"/>
    <s v=""/>
    <n v="0"/>
  </r>
  <r>
    <n v="1520"/>
    <s v="619 Pine St, CityA"/>
    <d v="2023-09-01T14:07:00"/>
    <x v="1"/>
    <x v="56"/>
    <s v="Bike C"/>
    <x v="3"/>
    <n v="206"/>
    <n v="0"/>
    <x v="2"/>
    <x v="3"/>
    <x v="1"/>
    <s v="Expedited Rules"/>
    <n v="1"/>
    <n v="1"/>
    <x v="6"/>
    <s v=""/>
    <n v="0"/>
  </r>
  <r>
    <n v="1545"/>
    <s v="25 Pine St, CityD"/>
    <d v="2023-09-05T14:39:00"/>
    <x v="0"/>
    <x v="57"/>
    <s v="Bike C"/>
    <x v="4"/>
    <n v="198"/>
    <n v="0"/>
    <x v="0"/>
    <x v="1"/>
    <x v="1"/>
    <s v="Custom Rules"/>
    <n v="1"/>
    <n v="0"/>
    <x v="7"/>
    <n v="808"/>
    <n v="0"/>
  </r>
  <r>
    <n v="1554"/>
    <s v="411 Cedar St, CityB"/>
    <d v="2023-09-08T15:33:00"/>
    <x v="0"/>
    <x v="33"/>
    <s v="Bike C"/>
    <x v="4"/>
    <n v="179"/>
    <n v="0"/>
    <x v="0"/>
    <x v="3"/>
    <x v="2"/>
    <s v="Standard Rules"/>
    <n v="1"/>
    <n v="0"/>
    <x v="5"/>
    <n v="805"/>
    <n v="0"/>
  </r>
  <r>
    <n v="1579"/>
    <s v="169 Elm St, CityD"/>
    <d v="2023-09-06T09:52:00"/>
    <x v="1"/>
    <x v="94"/>
    <s v="Truck B"/>
    <x v="3"/>
    <n v="138"/>
    <n v="0"/>
    <x v="1"/>
    <x v="3"/>
    <x v="2"/>
    <s v="Expedited Rules"/>
    <n v="1"/>
    <n v="0"/>
    <x v="1"/>
    <s v=""/>
    <n v="0"/>
  </r>
  <r>
    <n v="1603"/>
    <s v="709 Pine St, CityC"/>
    <d v="2023-09-03T08:39:00"/>
    <x v="1"/>
    <x v="37"/>
    <s v="Bike C"/>
    <x v="3"/>
    <n v="226"/>
    <n v="0"/>
    <x v="0"/>
    <x v="0"/>
    <x v="1"/>
    <s v="Standard Rules"/>
    <n v="1"/>
    <n v="0"/>
    <x v="0"/>
    <s v=""/>
    <n v="0"/>
  </r>
  <r>
    <n v="1698"/>
    <s v="374 Main St, CityB"/>
    <d v="2023-09-08T16:24:00"/>
    <x v="0"/>
    <x v="61"/>
    <s v="Van A"/>
    <x v="4"/>
    <n v="86"/>
    <n v="0"/>
    <x v="1"/>
    <x v="0"/>
    <x v="2"/>
    <s v="Expedited Rules"/>
    <n v="1"/>
    <n v="0"/>
    <x v="5"/>
    <n v="805"/>
    <n v="0"/>
  </r>
  <r>
    <n v="1713"/>
    <s v="618 Main St, CityA"/>
    <d v="2023-09-05T15:34:00"/>
    <x v="0"/>
    <x v="26"/>
    <s v="Truck B"/>
    <x v="3"/>
    <n v="204"/>
    <n v="0"/>
    <x v="2"/>
    <x v="1"/>
    <x v="2"/>
    <s v="Expedited Rules"/>
    <n v="1"/>
    <n v="1"/>
    <x v="7"/>
    <n v="808"/>
    <n v="0"/>
  </r>
  <r>
    <n v="1750"/>
    <s v="251 Elm St, CityA"/>
    <d v="2023-09-08T13:36:00"/>
    <x v="1"/>
    <x v="58"/>
    <s v="Bike C"/>
    <x v="4"/>
    <n v="199"/>
    <n v="0"/>
    <x v="2"/>
    <x v="3"/>
    <x v="2"/>
    <s v="Custom Rules"/>
    <n v="1"/>
    <n v="1"/>
    <x v="5"/>
    <s v=""/>
    <n v="0"/>
  </r>
  <r>
    <n v="1813"/>
    <s v="307 Main St, CityB"/>
    <d v="2023-09-04T10:29:00"/>
    <x v="1"/>
    <x v="71"/>
    <s v="Truck B"/>
    <x v="0"/>
    <n v="128"/>
    <n v="0"/>
    <x v="1"/>
    <x v="1"/>
    <x v="0"/>
    <s v="Custom Rules"/>
    <n v="1"/>
    <n v="0"/>
    <x v="2"/>
    <s v=""/>
    <n v="0"/>
  </r>
  <r>
    <n v="1953"/>
    <s v="426 Main St, CityC"/>
    <d v="2023-09-02T10:00:00"/>
    <x v="1"/>
    <x v="59"/>
    <s v="Van A"/>
    <x v="4"/>
    <n v="65"/>
    <n v="0"/>
    <x v="0"/>
    <x v="3"/>
    <x v="0"/>
    <s v="Standard Rules"/>
    <n v="1"/>
    <n v="0"/>
    <x v="4"/>
    <s v=""/>
    <n v="0"/>
  </r>
  <r>
    <n v="2010"/>
    <s v="276 Elm St, CityE"/>
    <d v="2023-09-07T08:01:00"/>
    <x v="1"/>
    <x v="57"/>
    <s v="Bike C"/>
    <x v="0"/>
    <n v="210"/>
    <n v="0"/>
    <x v="1"/>
    <x v="0"/>
    <x v="1"/>
    <s v="Custom Rules"/>
    <n v="1"/>
    <n v="0"/>
    <x v="3"/>
    <s v=""/>
    <n v="0"/>
  </r>
  <r>
    <n v="2047"/>
    <s v="449 Elm St, CityA"/>
    <d v="2023-09-06T08:30:00"/>
    <x v="0"/>
    <x v="57"/>
    <s v="Truck B"/>
    <x v="3"/>
    <n v="121"/>
    <n v="0"/>
    <x v="2"/>
    <x v="3"/>
    <x v="2"/>
    <s v="Expedited Rules"/>
    <n v="1"/>
    <n v="1"/>
    <x v="1"/>
    <n v="807"/>
    <n v="0"/>
  </r>
  <r>
    <n v="2137"/>
    <s v="552 Elm St, CityB"/>
    <d v="2023-09-05T14:25:00"/>
    <x v="0"/>
    <x v="78"/>
    <s v="Truck B"/>
    <x v="3"/>
    <n v="137"/>
    <n v="0"/>
    <x v="0"/>
    <x v="3"/>
    <x v="0"/>
    <s v="Expedited Rules"/>
    <n v="1"/>
    <n v="0"/>
    <x v="7"/>
    <n v="808"/>
    <n v="0"/>
  </r>
  <r>
    <n v="2140"/>
    <s v="906 Main St, CityB"/>
    <d v="2023-09-02T11:28:00"/>
    <x v="1"/>
    <x v="57"/>
    <s v="Truck B"/>
    <x v="4"/>
    <n v="224"/>
    <n v="0"/>
    <x v="0"/>
    <x v="0"/>
    <x v="0"/>
    <s v="Standard Rules"/>
    <n v="1"/>
    <n v="0"/>
    <x v="4"/>
    <s v=""/>
    <n v="0"/>
  </r>
  <r>
    <n v="2164"/>
    <s v="771 Oak St, CityC"/>
    <d v="2023-09-05T11:18:00"/>
    <x v="1"/>
    <x v="6"/>
    <s v="Bike C"/>
    <x v="1"/>
    <n v="118"/>
    <n v="0"/>
    <x v="1"/>
    <x v="1"/>
    <x v="0"/>
    <s v="Custom Rules"/>
    <n v="1"/>
    <n v="0"/>
    <x v="7"/>
    <s v=""/>
    <n v="0"/>
  </r>
  <r>
    <n v="2191"/>
    <s v="472 Cedar St, CityC"/>
    <d v="2023-09-04T11:27:00"/>
    <x v="0"/>
    <x v="4"/>
    <s v="Truck B"/>
    <x v="3"/>
    <n v="162"/>
    <n v="0"/>
    <x v="2"/>
    <x v="4"/>
    <x v="0"/>
    <s v="Custom Rules"/>
    <n v="1"/>
    <n v="1"/>
    <x v="2"/>
    <n v="809"/>
    <n v="0"/>
  </r>
  <r>
    <n v="2211"/>
    <s v="22 Elm St, CityD"/>
    <d v="2023-09-05T16:20:00"/>
    <x v="1"/>
    <x v="94"/>
    <s v="Van A"/>
    <x v="0"/>
    <n v="64"/>
    <n v="0"/>
    <x v="2"/>
    <x v="0"/>
    <x v="1"/>
    <s v="Custom Rules"/>
    <n v="1"/>
    <n v="1"/>
    <x v="7"/>
    <s v=""/>
    <n v="0"/>
  </r>
  <r>
    <n v="2230"/>
    <s v="532 Elm St, CityC"/>
    <d v="2023-09-02T16:13:00"/>
    <x v="1"/>
    <x v="5"/>
    <s v="Van A"/>
    <x v="4"/>
    <n v="84"/>
    <n v="0"/>
    <x v="2"/>
    <x v="4"/>
    <x v="0"/>
    <s v="Custom Rules"/>
    <n v="1"/>
    <n v="1"/>
    <x v="4"/>
    <s v=""/>
    <n v="0"/>
  </r>
  <r>
    <n v="2285"/>
    <s v="964 Main St, CityC"/>
    <d v="2023-09-07T14:23:00"/>
    <x v="1"/>
    <x v="45"/>
    <s v="Bike C"/>
    <x v="4"/>
    <n v="111"/>
    <n v="0"/>
    <x v="2"/>
    <x v="3"/>
    <x v="2"/>
    <s v="Standard Rules"/>
    <n v="1"/>
    <n v="1"/>
    <x v="3"/>
    <s v=""/>
    <n v="0"/>
  </r>
  <r>
    <n v="2304"/>
    <s v="782 Cedar St, CityB"/>
    <d v="2023-09-05T16:54:00"/>
    <x v="0"/>
    <x v="48"/>
    <s v="Truck B"/>
    <x v="2"/>
    <n v="149"/>
    <n v="0"/>
    <x v="1"/>
    <x v="2"/>
    <x v="1"/>
    <s v="Standard Rules"/>
    <n v="1"/>
    <n v="0"/>
    <x v="7"/>
    <n v="808"/>
    <n v="0"/>
  </r>
  <r>
    <n v="2310"/>
    <s v="799 Elm St, CityC"/>
    <d v="2023-09-06T12:18:00"/>
    <x v="0"/>
    <x v="50"/>
    <s v="Van A"/>
    <x v="1"/>
    <n v="232"/>
    <n v="0"/>
    <x v="2"/>
    <x v="1"/>
    <x v="2"/>
    <s v="Standard Rules"/>
    <n v="1"/>
    <n v="1"/>
    <x v="1"/>
    <n v="807"/>
    <n v="0"/>
  </r>
  <r>
    <n v="2330"/>
    <s v="149 Cedar St, CityC"/>
    <d v="2023-09-07T14:48:00"/>
    <x v="0"/>
    <x v="90"/>
    <s v="Truck B"/>
    <x v="2"/>
    <n v="108"/>
    <n v="0"/>
    <x v="2"/>
    <x v="3"/>
    <x v="0"/>
    <s v="Standard Rules"/>
    <n v="1"/>
    <n v="1"/>
    <x v="3"/>
    <n v="806"/>
    <n v="0"/>
  </r>
  <r>
    <n v="2406"/>
    <s v="407 Cedar St, CityE"/>
    <d v="2023-09-08T10:30:00"/>
    <x v="1"/>
    <x v="17"/>
    <s v="Van A"/>
    <x v="0"/>
    <n v="212"/>
    <n v="0"/>
    <x v="1"/>
    <x v="3"/>
    <x v="0"/>
    <s v="Standard Rules"/>
    <n v="1"/>
    <n v="0"/>
    <x v="5"/>
    <s v=""/>
    <n v="0"/>
  </r>
  <r>
    <n v="2411"/>
    <s v="733 Elm St, CityB"/>
    <d v="2023-09-05T15:44:00"/>
    <x v="0"/>
    <x v="58"/>
    <s v="Van A"/>
    <x v="2"/>
    <n v="195"/>
    <n v="0"/>
    <x v="1"/>
    <x v="1"/>
    <x v="1"/>
    <s v="Custom Rules"/>
    <n v="1"/>
    <n v="0"/>
    <x v="7"/>
    <n v="808"/>
    <n v="0"/>
  </r>
  <r>
    <n v="2422"/>
    <s v="386 Main St, CityB"/>
    <d v="2023-09-07T11:52:00"/>
    <x v="1"/>
    <x v="65"/>
    <s v="Bike C"/>
    <x v="0"/>
    <n v="97"/>
    <n v="0"/>
    <x v="0"/>
    <x v="3"/>
    <x v="2"/>
    <s v="Standard Rules"/>
    <n v="1"/>
    <n v="0"/>
    <x v="3"/>
    <s v=""/>
    <n v="0"/>
  </r>
  <r>
    <n v="2458"/>
    <s v="374 Main St, CityD"/>
    <d v="2023-09-02T10:53:00"/>
    <x v="1"/>
    <x v="57"/>
    <s v="Truck B"/>
    <x v="2"/>
    <n v="221"/>
    <n v="0"/>
    <x v="2"/>
    <x v="0"/>
    <x v="2"/>
    <s v="Custom Rules"/>
    <n v="1"/>
    <n v="1"/>
    <x v="4"/>
    <s v=""/>
    <n v="0"/>
  </r>
  <r>
    <n v="2464"/>
    <s v="796 Oak St, CityE"/>
    <d v="2023-09-06T09:40:00"/>
    <x v="0"/>
    <x v="96"/>
    <s v="Bike C"/>
    <x v="0"/>
    <n v="227"/>
    <n v="0"/>
    <x v="1"/>
    <x v="1"/>
    <x v="0"/>
    <s v="Expedited Rules"/>
    <n v="1"/>
    <n v="0"/>
    <x v="1"/>
    <n v="807"/>
    <n v="0"/>
  </r>
  <r>
    <n v="2468"/>
    <s v="667 Elm St, CityA"/>
    <d v="2023-09-02T14:01:00"/>
    <x v="0"/>
    <x v="3"/>
    <s v="Bike C"/>
    <x v="4"/>
    <n v="144"/>
    <n v="0"/>
    <x v="1"/>
    <x v="3"/>
    <x v="1"/>
    <s v="Standard Rules"/>
    <n v="1"/>
    <n v="0"/>
    <x v="4"/>
    <n v="811"/>
    <n v="0"/>
  </r>
  <r>
    <n v="2492"/>
    <s v="27 Cedar St, CityD"/>
    <d v="2023-09-06T09:41:00"/>
    <x v="0"/>
    <x v="60"/>
    <s v="Van A"/>
    <x v="2"/>
    <n v="202"/>
    <n v="0"/>
    <x v="2"/>
    <x v="4"/>
    <x v="2"/>
    <s v="Standard Rules"/>
    <n v="1"/>
    <n v="1"/>
    <x v="1"/>
    <n v="80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07FC2-B36B-49F0-BFAF-EEE5670F8E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dataField="1" showAll="0"/>
    <pivotField showAll="0"/>
    <pivotField showAll="0"/>
    <pivotField showAll="0">
      <items count="6">
        <item x="2"/>
        <item x="3"/>
        <item x="4"/>
        <item x="1"/>
        <item x="0"/>
        <item t="default"/>
      </items>
    </pivotField>
    <pivotField showAll="0"/>
    <pivotField showAll="0"/>
    <pivotField showAll="0"/>
    <pivotField showAll="0"/>
    <pivotField numFmtId="14" showAll="0"/>
    <pivotField showAll="0"/>
    <pivotField showAll="0"/>
  </pivotFields>
  <rowItems count="1">
    <i/>
  </rowItems>
  <colItems count="1">
    <i/>
  </colItems>
  <dataFields count="1">
    <dataField name="Avg Delivery (mi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B98BCA-77F4-43DC-85E6-62A3A545A0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8">
    <pivotField dataField="1"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showAll="0"/>
    <pivotField showAll="0"/>
    <pivotField showAll="0"/>
    <pivotField showAll="0"/>
    <pivotField numFmtId="14" showAll="0"/>
    <pivotField showAll="0"/>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FCEDD-75F0-4F21-86CD-DFC5D0500A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showAll="0"/>
    <pivotField showAll="0"/>
    <pivotField showAll="0"/>
    <pivotField dataField="1" showAll="0"/>
    <pivotField numFmtId="14" showAll="0"/>
    <pivotField showAll="0"/>
    <pivotField showAll="0"/>
  </pivotFields>
  <rowItems count="1">
    <i/>
  </rowItems>
  <colItems count="1">
    <i/>
  </colItems>
  <dataFields count="1">
    <dataField name="Positive FB %" fld="14" subtotal="average" baseField="0" baseItem="0" numFmtId="9"/>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ED714A-3B1F-420C-B6BD-80A5069F1A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showAll="0"/>
    <pivotField showAll="0"/>
    <pivotField dataField="1" showAll="0"/>
    <pivotField showAll="0"/>
    <pivotField numFmtId="14" showAll="0"/>
    <pivotField showAll="0"/>
    <pivotField showAll="0"/>
  </pivotFields>
  <rowItems count="1">
    <i/>
  </rowItems>
  <colItems count="1">
    <i/>
  </colItems>
  <dataFields count="1">
    <dataField name="On_Time %" fld="13" subtotal="average" baseField="0" baseItem="0" numFmtId="9"/>
  </dataFields>
  <formats count="2">
    <format dxfId="15">
      <pivotArea dataOnly="0" labelOnly="1" outline="0" axis="axisValues"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FD7924-9DF4-47C7-8A26-61E71BE6F9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dataField="1" showAll="0"/>
    <pivotField showAll="0"/>
    <pivotField showAll="0">
      <items count="6">
        <item x="2"/>
        <item x="3"/>
        <item x="4"/>
        <item x="1"/>
        <item x="0"/>
        <item t="default"/>
      </items>
    </pivotField>
    <pivotField showAll="0"/>
    <pivotField showAll="0"/>
    <pivotField showAll="0"/>
    <pivotField showAll="0"/>
    <pivotField numFmtId="14" showAll="0"/>
    <pivotField showAll="0"/>
    <pivotField showAll="0"/>
  </pivotFields>
  <rowItems count="1">
    <i/>
  </rowItems>
  <colItems count="1">
    <i/>
  </colItems>
  <dataFields count="1">
    <dataField name="Avg Delays (min)" fld="8" subtotal="average"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E4AE44-651F-40B5-9F8B-2B43174C1D5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21" firstHeaderRow="1" firstDataRow="1" firstDataCol="1"/>
  <pivotFields count="18">
    <pivotField showAll="0"/>
    <pivotField showAll="0"/>
    <pivotField numFmtId="22" showAll="0"/>
    <pivotField showAll="0">
      <items count="3">
        <item x="1"/>
        <item x="0"/>
        <item t="default"/>
      </items>
    </pivotField>
    <pivotField axis="axisRow" showAll="0" measureFilter="1">
      <items count="101">
        <item x="0"/>
        <item x="95"/>
        <item x="72"/>
        <item x="92"/>
        <item x="88"/>
        <item x="48"/>
        <item x="4"/>
        <item x="6"/>
        <item x="32"/>
        <item x="12"/>
        <item x="13"/>
        <item x="22"/>
        <item x="34"/>
        <item x="24"/>
        <item x="85"/>
        <item x="33"/>
        <item x="98"/>
        <item x="19"/>
        <item x="30"/>
        <item x="41"/>
        <item x="82"/>
        <item x="74"/>
        <item x="10"/>
        <item x="35"/>
        <item x="65"/>
        <item x="97"/>
        <item x="83"/>
        <item x="38"/>
        <item x="14"/>
        <item x="81"/>
        <item x="86"/>
        <item x="45"/>
        <item x="94"/>
        <item x="21"/>
        <item x="17"/>
        <item x="67"/>
        <item x="9"/>
        <item x="90"/>
        <item x="68"/>
        <item x="66"/>
        <item x="53"/>
        <item x="60"/>
        <item x="50"/>
        <item x="20"/>
        <item x="73"/>
        <item x="27"/>
        <item x="54"/>
        <item x="75"/>
        <item x="25"/>
        <item x="2"/>
        <item x="3"/>
        <item x="47"/>
        <item x="91"/>
        <item x="39"/>
        <item x="15"/>
        <item x="5"/>
        <item x="87"/>
        <item x="58"/>
        <item x="78"/>
        <item x="89"/>
        <item x="80"/>
        <item x="28"/>
        <item x="40"/>
        <item x="31"/>
        <item x="96"/>
        <item x="57"/>
        <item x="8"/>
        <item x="23"/>
        <item x="11"/>
        <item x="59"/>
        <item x="18"/>
        <item x="29"/>
        <item x="61"/>
        <item x="37"/>
        <item x="55"/>
        <item x="64"/>
        <item x="76"/>
        <item x="16"/>
        <item x="26"/>
        <item x="49"/>
        <item x="43"/>
        <item x="84"/>
        <item x="36"/>
        <item x="99"/>
        <item x="70"/>
        <item x="52"/>
        <item x="44"/>
        <item x="69"/>
        <item x="7"/>
        <item x="63"/>
        <item x="79"/>
        <item x="1"/>
        <item x="93"/>
        <item x="71"/>
        <item x="77"/>
        <item x="51"/>
        <item x="46"/>
        <item x="42"/>
        <item x="56"/>
        <item x="62"/>
        <item t="default"/>
      </items>
    </pivotField>
    <pivotField showAll="0"/>
    <pivotField showAll="0">
      <items count="6">
        <item x="3"/>
        <item x="0"/>
        <item x="4"/>
        <item x="2"/>
        <item x="1"/>
        <item t="default"/>
      </items>
    </pivotField>
    <pivotField showAll="0"/>
    <pivotField dataField="1" showAll="0"/>
    <pivotField showAll="0"/>
    <pivotField showAll="0">
      <items count="6">
        <item x="2"/>
        <item x="3"/>
        <item x="4"/>
        <item x="1"/>
        <item x="0"/>
        <item t="default"/>
      </items>
    </pivotField>
    <pivotField showAll="0"/>
    <pivotField showAll="0"/>
    <pivotField showAll="0"/>
    <pivotField showAll="0"/>
    <pivotField numFmtId="14" showAll="0"/>
    <pivotField showAll="0"/>
    <pivotField showAll="0"/>
  </pivotFields>
  <rowFields count="1">
    <field x="4"/>
  </rowFields>
  <rowItems count="11">
    <i>
      <x v="22"/>
    </i>
    <i>
      <x v="33"/>
    </i>
    <i>
      <x v="39"/>
    </i>
    <i>
      <x v="48"/>
    </i>
    <i>
      <x v="54"/>
    </i>
    <i>
      <x v="61"/>
    </i>
    <i>
      <x v="63"/>
    </i>
    <i>
      <x v="71"/>
    </i>
    <i>
      <x v="85"/>
    </i>
    <i>
      <x v="91"/>
    </i>
    <i t="grand">
      <x/>
    </i>
  </rowItems>
  <colItems count="1">
    <i/>
  </colItems>
  <dataFields count="1">
    <dataField name="Avg Delays (min)" fld="8" subtotal="average" baseField="4" baseItem="0"/>
  </dataFields>
  <formats count="10">
    <format dxfId="9">
      <pivotArea collapsedLevelsAreSubtotals="1" fieldPosition="0">
        <references count="1">
          <reference field="4" count="1">
            <x v="22"/>
          </reference>
        </references>
      </pivotArea>
    </format>
    <format dxfId="8">
      <pivotArea collapsedLevelsAreSubtotals="1" fieldPosition="0">
        <references count="1">
          <reference field="4" count="1">
            <x v="33"/>
          </reference>
        </references>
      </pivotArea>
    </format>
    <format dxfId="7">
      <pivotArea collapsedLevelsAreSubtotals="1" fieldPosition="0">
        <references count="1">
          <reference field="4" count="1">
            <x v="39"/>
          </reference>
        </references>
      </pivotArea>
    </format>
    <format dxfId="6">
      <pivotArea collapsedLevelsAreSubtotals="1" fieldPosition="0">
        <references count="1">
          <reference field="4" count="1">
            <x v="48"/>
          </reference>
        </references>
      </pivotArea>
    </format>
    <format dxfId="5">
      <pivotArea collapsedLevelsAreSubtotals="1" fieldPosition="0">
        <references count="1">
          <reference field="4" count="1">
            <x v="54"/>
          </reference>
        </references>
      </pivotArea>
    </format>
    <format dxfId="4">
      <pivotArea collapsedLevelsAreSubtotals="1" fieldPosition="0">
        <references count="1">
          <reference field="4" count="1">
            <x v="61"/>
          </reference>
        </references>
      </pivotArea>
    </format>
    <format dxfId="3">
      <pivotArea collapsedLevelsAreSubtotals="1" fieldPosition="0">
        <references count="1">
          <reference field="4" count="1">
            <x v="63"/>
          </reference>
        </references>
      </pivotArea>
    </format>
    <format dxfId="2">
      <pivotArea collapsedLevelsAreSubtotals="1" fieldPosition="0">
        <references count="1">
          <reference field="4" count="1">
            <x v="71"/>
          </reference>
        </references>
      </pivotArea>
    </format>
    <format dxfId="1">
      <pivotArea collapsedLevelsAreSubtotals="1" fieldPosition="0">
        <references count="1">
          <reference field="4" count="1">
            <x v="85"/>
          </reference>
        </references>
      </pivotArea>
    </format>
    <format dxfId="0">
      <pivotArea collapsedLevelsAreSubtotals="1" fieldPosition="0">
        <references count="1">
          <reference field="4" count="1">
            <x v="22"/>
          </reference>
        </references>
      </pivotArea>
    </format>
  </formats>
  <chartFormats count="5">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85"/>
          </reference>
        </references>
      </pivotArea>
    </chartFormat>
    <chartFormat chart="12" format="4">
      <pivotArea type="data" outline="0" fieldPosition="0">
        <references count="2">
          <reference field="4294967294" count="1" selected="0">
            <x v="0"/>
          </reference>
          <reference field="4" count="1" selected="0">
            <x v="71"/>
          </reference>
        </references>
      </pivotArea>
    </chartFormat>
    <chartFormat chart="12" format="5">
      <pivotArea type="data" outline="0" fieldPosition="0">
        <references count="2">
          <reference field="4294967294" count="1" selected="0">
            <x v="0"/>
          </reference>
          <reference field="4" count="1" selected="0">
            <x v="63"/>
          </reference>
        </references>
      </pivotArea>
    </chartFormat>
    <chartFormat chart="12" format="6">
      <pivotArea type="data" outline="0" fieldPosition="0">
        <references count="2">
          <reference field="4294967294" count="1" selected="0">
            <x v="0"/>
          </reference>
          <reference field="4" count="1" selected="0">
            <x v="6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384D2-D613-46CB-B9E7-E747CB074A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dataField="1" showAll="0"/>
    <pivotField showAll="0"/>
    <pivotField showAll="0"/>
    <pivotField showAll="0">
      <items count="6">
        <item x="2"/>
        <item x="3"/>
        <item x="4"/>
        <item x="1"/>
        <item x="0"/>
        <item t="default"/>
      </items>
    </pivotField>
    <pivotField axis="axisRow" showAll="0">
      <items count="4">
        <item x="2"/>
        <item x="1"/>
        <item x="0"/>
        <item t="default"/>
      </items>
    </pivotField>
    <pivotField showAll="0"/>
    <pivotField showAll="0"/>
    <pivotField showAll="0"/>
    <pivotField numFmtId="14" showAll="0"/>
    <pivotField showAll="0"/>
    <pivotField showAll="0"/>
  </pivotFields>
  <rowFields count="1">
    <field x="11"/>
  </rowFields>
  <rowItems count="4">
    <i>
      <x/>
    </i>
    <i>
      <x v="1"/>
    </i>
    <i>
      <x v="2"/>
    </i>
    <i t="grand">
      <x/>
    </i>
  </rowItems>
  <colItems count="1">
    <i/>
  </colItems>
  <dataFields count="1">
    <dataField name="Avg Delivery Time (min)" fld="7" subtotal="average" baseField="11" baseItem="0"/>
  </dataFields>
  <formats count="3">
    <format dxfId="12">
      <pivotArea collapsedLevelsAreSubtotals="1" fieldPosition="0">
        <references count="1">
          <reference field="11" count="1">
            <x v="0"/>
          </reference>
        </references>
      </pivotArea>
    </format>
    <format dxfId="11">
      <pivotArea collapsedLevelsAreSubtotals="1" fieldPosition="0">
        <references count="1">
          <reference field="11" count="1">
            <x v="1"/>
          </reference>
        </references>
      </pivotArea>
    </format>
    <format dxfId="10">
      <pivotArea collapsedLevelsAreSubtotals="1" fieldPosition="0">
        <references count="1">
          <reference field="11" count="1">
            <x v="2"/>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E79200-A190-4AE1-B170-414C1B3FE2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0:I14" firstHeaderRow="0" firstDataRow="1" firstDataCol="1"/>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axis="axisRow" showAll="0">
      <items count="4">
        <item x="2"/>
        <item x="1"/>
        <item x="0"/>
        <item t="default"/>
      </items>
    </pivotField>
    <pivotField showAll="0"/>
    <pivotField dataField="1" showAll="0"/>
    <pivotField showAll="0"/>
    <pivotField numFmtId="14" showAll="0"/>
    <pivotField showAll="0"/>
    <pivotField dataField="1" showAll="0"/>
  </pivotFields>
  <rowFields count="1">
    <field x="11"/>
  </rowFields>
  <rowItems count="4">
    <i>
      <x/>
    </i>
    <i>
      <x v="1"/>
    </i>
    <i>
      <x v="2"/>
    </i>
    <i t="grand">
      <x/>
    </i>
  </rowItems>
  <colFields count="1">
    <field x="-2"/>
  </colFields>
  <colItems count="2">
    <i>
      <x/>
    </i>
    <i i="1">
      <x v="1"/>
    </i>
  </colItems>
  <dataFields count="2">
    <dataField name="Average of On Time" fld="13" subtotal="average" showDataAs="percentOfTotal" baseField="11" baseItem="0" numFmtId="10"/>
    <dataField name="Average of Late helper" fld="17" subtotal="average" showDataAs="percentOfTotal" baseField="11" baseItem="0" numFmtId="1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E391A6-DAE4-4FBD-8BE7-2B3D28F3543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I7" firstHeaderRow="0" firstDataRow="1" firstDataCol="1" rowPageCount="1" colPageCount="1"/>
  <pivotFields count="18">
    <pivotField dataField="1" showAll="0"/>
    <pivotField showAll="0"/>
    <pivotField numFmtId="22" showAll="0"/>
    <pivotField axis="axisPage"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axis="axisRow" showAll="0">
      <items count="4">
        <item x="2"/>
        <item x="1"/>
        <item x="0"/>
        <item t="default"/>
      </items>
    </pivotField>
    <pivotField showAll="0"/>
    <pivotField showAll="0"/>
    <pivotField showAll="0"/>
    <pivotField numFmtId="14" showAll="0"/>
    <pivotField dataField="1" showAll="0"/>
    <pivotField showAll="0"/>
  </pivotFields>
  <rowFields count="1">
    <field x="11"/>
  </rowFields>
  <rowItems count="4">
    <i>
      <x/>
    </i>
    <i>
      <x v="1"/>
    </i>
    <i>
      <x v="2"/>
    </i>
    <i t="grand">
      <x/>
    </i>
  </rowItems>
  <colFields count="1">
    <field x="-2"/>
  </colFields>
  <colItems count="2">
    <i>
      <x/>
    </i>
    <i i="1">
      <x v="1"/>
    </i>
  </colItems>
  <pageFields count="1">
    <pageField fld="3" hier="-1"/>
  </pageFields>
  <dataFields count="2">
    <dataField name="Count of Order ID" fld="0" subtotal="count" baseField="11" baseItem="0"/>
    <dataField name="Average of Backlog Age (days)" fld="16" subtotal="average" baseField="11"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699571-4DD5-4272-9A57-2EF37F58B73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0:E19" firstHeaderRow="1" firstDataRow="1" firstDataCol="1"/>
  <pivotFields count="18">
    <pivotField dataField="1"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showAll="0"/>
    <pivotField showAll="0">
      <items count="6">
        <item x="2"/>
        <item x="3"/>
        <item x="4"/>
        <item x="1"/>
        <item x="0"/>
        <item t="default"/>
      </items>
    </pivotField>
    <pivotField showAll="0"/>
    <pivotField showAll="0"/>
    <pivotField showAll="0"/>
    <pivotField showAll="0"/>
    <pivotField axis="axisRow" numFmtId="14" showAll="0">
      <items count="9">
        <item x="6"/>
        <item x="4"/>
        <item x="0"/>
        <item x="2"/>
        <item x="7"/>
        <item x="1"/>
        <item x="3"/>
        <item x="5"/>
        <item t="default"/>
      </items>
    </pivotField>
    <pivotField showAll="0"/>
    <pivotField showAll="0"/>
  </pivotFields>
  <rowFields count="1">
    <field x="15"/>
  </rowFields>
  <rowItems count="9">
    <i>
      <x/>
    </i>
    <i>
      <x v="1"/>
    </i>
    <i>
      <x v="2"/>
    </i>
    <i>
      <x v="3"/>
    </i>
    <i>
      <x v="4"/>
    </i>
    <i>
      <x v="5"/>
    </i>
    <i>
      <x v="6"/>
    </i>
    <i>
      <x v="7"/>
    </i>
    <i t="grand">
      <x/>
    </i>
  </rowItems>
  <colItems count="1">
    <i/>
  </colItems>
  <dataFields count="1">
    <dataField name="Orders Over Time" fld="0" subtotal="count" baseField="15"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7C68F7-A937-44D7-AC86-C95994893D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18">
    <pivotField showAll="0"/>
    <pivotField showAll="0"/>
    <pivotField numFmtId="22" showAll="0"/>
    <pivotField showAll="0">
      <items count="3">
        <item x="1"/>
        <item x="0"/>
        <item t="default"/>
      </items>
    </pivotField>
    <pivotField showAll="0"/>
    <pivotField showAll="0"/>
    <pivotField showAll="0">
      <items count="6">
        <item x="3"/>
        <item x="0"/>
        <item x="4"/>
        <item x="2"/>
        <item x="1"/>
        <item t="default"/>
      </items>
    </pivotField>
    <pivotField showAll="0"/>
    <pivotField showAll="0"/>
    <pivotField axis="axisRow" dataField="1" showAll="0">
      <items count="4">
        <item x="1"/>
        <item x="0"/>
        <item x="2"/>
        <item t="default"/>
      </items>
    </pivotField>
    <pivotField showAll="0">
      <items count="6">
        <item x="2"/>
        <item x="3"/>
        <item x="4"/>
        <item x="1"/>
        <item x="0"/>
        <item t="default"/>
      </items>
    </pivotField>
    <pivotField showAll="0"/>
    <pivotField showAll="0"/>
    <pivotField showAll="0"/>
    <pivotField showAll="0"/>
    <pivotField numFmtId="14" showAll="0"/>
    <pivotField showAll="0"/>
    <pivotField showAll="0"/>
  </pivotFields>
  <rowFields count="1">
    <field x="9"/>
  </rowFields>
  <rowItems count="4">
    <i>
      <x/>
    </i>
    <i>
      <x v="1"/>
    </i>
    <i>
      <x v="2"/>
    </i>
    <i t="grand">
      <x/>
    </i>
  </rowItems>
  <colItems count="1">
    <i/>
  </colItems>
  <dataFields count="1">
    <dataField name="Feedback Distribution" fld="9" subtotal="count" baseField="9"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2">
          <reference field="4294967294" count="1" selected="0">
            <x v="0"/>
          </reference>
          <reference field="9" count="1" selected="0">
            <x v="1"/>
          </reference>
        </references>
      </pivotArea>
    </chartFormat>
    <chartFormat chart="5"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EC9E45B-786C-43E4-AC70-8FE44DFD09BE}" autoFormatId="16" applyNumberFormats="0" applyBorderFormats="0" applyFontFormats="0" applyPatternFormats="0" applyAlignmentFormats="0" applyWidthHeightFormats="0">
  <queryTableRefresh nextId="19" unboundColumnsRight="3">
    <queryTableFields count="18">
      <queryTableField id="1" name="Order ID" tableColumnId="1"/>
      <queryTableField id="2" name="Delivery Address" tableColumnId="2"/>
      <queryTableField id="3" name="Order Timestamp" tableColumnId="3"/>
      <queryTableField id="4" name="Order Status" tableColumnId="4"/>
      <queryTableField id="5" name="Driver ID" tableColumnId="5"/>
      <queryTableField id="6" name="Vehicle Info" tableColumnId="6"/>
      <queryTableField id="7" name="Current Location" tableColumnId="7"/>
      <queryTableField id="8" name="Delivery Time (min)" tableColumnId="8"/>
      <queryTableField id="9" name="Delays (min)" tableColumnId="9"/>
      <queryTableField id="10" name="Customer Feedback" tableColumnId="10"/>
      <queryTableField id="11" name="Route" tableColumnId="11"/>
      <queryTableField id="12" name="Delivery Zone" tableColumnId="12"/>
      <queryTableField id="13" name="Allocation Rules" tableColumnId="13"/>
      <queryTableField id="14" name="On Time" tableColumnId="14"/>
      <queryTableField id="15" name="Creative Positive Feedback" tableColumnId="15"/>
      <queryTableField id="16" dataBound="0" tableColumnId="16"/>
      <queryTableField id="17" dataBound="0" tableColumnId="17"/>
      <queryTableField id="18" dataBound="0" tableColumnId="18"/>
    </queryTableFields>
  </queryTableRefresh>
  <extLst>
    <ext xmlns:x15="http://schemas.microsoft.com/office/spreadsheetml/2010/11/main" uri="{883FBD77-0823-4a55-B5E3-86C4891E6966}">
      <x15:queryTable sourceDataName="Query - Delive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F3F9C73-859E-4B38-9F1F-47C3A9150B01}" sourceName="Order Status">
  <pivotTables>
    <pivotTable tabId="4" name="PivotTable9"/>
    <pivotTable tabId="3" name="PivotTable1"/>
    <pivotTable tabId="3" name="PivotTable2"/>
    <pivotTable tabId="3" name="PivotTable3"/>
    <pivotTable tabId="3" name="PivotTable6"/>
    <pivotTable tabId="3" name="PivotTable7"/>
    <pivotTable tabId="4" name="PivotTable10"/>
    <pivotTable tabId="4" name="PivotTable11"/>
    <pivotTable tabId="4" name="PivotTable12"/>
    <pivotTable tabId="4" name="PivotTable13"/>
    <pivotTable tabId="4" name="PivotTable8"/>
  </pivotTables>
  <data>
    <tabular pivotCacheId="10021302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Location" xr10:uid="{70A72D8A-E277-4240-913D-5AB58D837394}" sourceName="Current Location">
  <pivotTables>
    <pivotTable tabId="4" name="PivotTable9"/>
    <pivotTable tabId="3" name="PivotTable1"/>
    <pivotTable tabId="3" name="PivotTable2"/>
    <pivotTable tabId="3" name="PivotTable3"/>
    <pivotTable tabId="3" name="PivotTable6"/>
    <pivotTable tabId="3" name="PivotTable7"/>
    <pivotTable tabId="4" name="PivotTable10"/>
    <pivotTable tabId="4" name="PivotTable11"/>
    <pivotTable tabId="4" name="PivotTable12"/>
    <pivotTable tabId="4" name="PivotTable13"/>
    <pivotTable tabId="4" name="PivotTable8"/>
  </pivotTables>
  <data>
    <tabular pivotCacheId="1002130297">
      <items count="5">
        <i x="3" s="1"/>
        <i x="0"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A28A9777-23EB-4969-A06F-B5528F9D9FAF}" sourceName="Route">
  <pivotTables>
    <pivotTable tabId="3" name="PivotTable1"/>
    <pivotTable tabId="3" name="PivotTable2"/>
    <pivotTable tabId="3" name="PivotTable3"/>
    <pivotTable tabId="3" name="PivotTable6"/>
    <pivotTable tabId="3" name="PivotTable7"/>
    <pivotTable tabId="4" name="PivotTable9"/>
    <pivotTable tabId="4" name="PivotTable8"/>
    <pivotTable tabId="4" name="PivotTable13"/>
    <pivotTable tabId="4" name="PivotTable12"/>
    <pivotTable tabId="4" name="PivotTable11"/>
    <pivotTable tabId="4" name="PivotTable10"/>
  </pivotTables>
  <data>
    <tabular pivotCacheId="1002130297">
      <items count="5">
        <i x="2" s="1"/>
        <i x="3" s="1"/>
        <i x="4"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9161EABF-8BBA-4460-BD62-BC4943B91F5F}" cache="Slicer_Order_Status" caption="Order Status" columnCount="2" style="Navy Orange Style" rowHeight="251883"/>
  <slicer name="Current Location" xr10:uid="{3532F0DF-CE02-4734-B420-4A4F38FB27F4}" cache="Slicer_Current_Location" caption="Current Location" columnCount="2" style="Navy Orange Style" rowHeight="251883"/>
  <slicer name="Route" xr10:uid="{DAD44EBF-4021-4749-824E-36571BBFD4FD}" cache="Slicer_Route" caption="Route" columnCount="2" style="Navy Orange Styl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F3932A-8DB1-4042-A75E-EFAE783D6E0B}" name="Delivery_data" displayName="Delivery_data" ref="A1:R1501" tableType="queryTable" totalsRowShown="0">
  <autoFilter ref="A1:R1501" xr:uid="{6AF3932A-8DB1-4042-A75E-EFAE783D6E0B}"/>
  <tableColumns count="18">
    <tableColumn id="1" xr3:uid="{085B694A-D89B-461C-ADCE-43C29EC9EF00}" uniqueName="1" name="Order ID" queryTableFieldId="1"/>
    <tableColumn id="2" xr3:uid="{754378B5-D8E0-46C3-9C3F-CCA871663799}" uniqueName="2" name="Delivery Address" queryTableFieldId="2" dataDxfId="29"/>
    <tableColumn id="3" xr3:uid="{354B72A7-6087-43B9-A4BC-9C452E5665C5}" uniqueName="3" name="Order Timestamp" queryTableFieldId="3" dataDxfId="28"/>
    <tableColumn id="4" xr3:uid="{8C41F10C-E01D-456D-91D0-7A25FA5C9E1E}" uniqueName="4" name="Order Status" queryTableFieldId="4" dataDxfId="27"/>
    <tableColumn id="5" xr3:uid="{A3DCDCF4-86FF-4C70-AAC3-9AA22D826F8D}" uniqueName="5" name="Driver ID" queryTableFieldId="5" dataDxfId="26"/>
    <tableColumn id="6" xr3:uid="{38E6B75C-E9EA-4AAB-9C0C-6F3D9395091D}" uniqueName="6" name="Vehicle Info" queryTableFieldId="6" dataDxfId="25"/>
    <tableColumn id="7" xr3:uid="{458EB41C-EB9A-4D60-8929-876793140F3B}" uniqueName="7" name="Current Location" queryTableFieldId="7" dataDxfId="24"/>
    <tableColumn id="8" xr3:uid="{D334349C-90A2-4CD6-8E01-04C7F5623E58}" uniqueName="8" name="Delivery Time (min)" queryTableFieldId="8"/>
    <tableColumn id="9" xr3:uid="{CD20FF30-7DC0-4603-B9A1-99672FAB3F9D}" uniqueName="9" name="Delays (min)" queryTableFieldId="9"/>
    <tableColumn id="10" xr3:uid="{224A6F85-5A18-4A40-A3EF-4B420DF4B996}" uniqueName="10" name="Customer Feedback" queryTableFieldId="10" dataDxfId="23"/>
    <tableColumn id="11" xr3:uid="{2E0370CA-03A2-4ECB-B54D-D70737347C3A}" uniqueName="11" name="Route" queryTableFieldId="11" dataDxfId="22"/>
    <tableColumn id="12" xr3:uid="{3C8CFE0B-F67A-44CD-B6FA-50F189C6A4BA}" uniqueName="12" name="Delivery Zone" queryTableFieldId="12" dataDxfId="21"/>
    <tableColumn id="13" xr3:uid="{FDF55219-34EF-4EB2-9DF5-F4840A439E9B}" uniqueName="13" name="Allocation Rules" queryTableFieldId="13" dataDxfId="20"/>
    <tableColumn id="14" xr3:uid="{30E407F3-4682-480D-A243-A185D57399E8}" uniqueName="14" name="On Time" queryTableFieldId="14"/>
    <tableColumn id="15" xr3:uid="{E1D1961F-BB72-477F-BE17-4F440B182A5D}" uniqueName="15" name="Creative Positive Feedback" queryTableFieldId="15"/>
    <tableColumn id="16" xr3:uid="{77B29544-41C8-4C1C-886C-2FA197B7BDC0}" uniqueName="16" name="Order Date" queryTableFieldId="16" dataDxfId="19">
      <calculatedColumnFormula>INT(Delivery_data[[#This Row],[Order Timestamp]])</calculatedColumnFormula>
    </tableColumn>
    <tableColumn id="17" xr3:uid="{9C3C2FE6-FC8E-4060-9CE8-D71A4786E739}" uniqueName="17" name="Backlog Age (days)" queryTableFieldId="17" dataDxfId="18">
      <calculatedColumnFormula>IF(Delivery_data[[#This Row],[Order Status]]="In Progress", TODAY()-Delivery_data[[#This Row],[Order Date]], "")</calculatedColumnFormula>
    </tableColumn>
    <tableColumn id="18" xr3:uid="{2D71B92C-9DBC-4CC0-B16E-EC9AA2ADF7DB}" uniqueName="18" name="Late helper" queryTableFieldId="18" dataDxfId="17">
      <calculatedColumnFormula>IF(Delivery_data[[#This Row],[On Time]]=1,0,1)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4C75-C93C-4047-A0FB-7F781D3837C3}">
  <dimension ref="A1:R1501"/>
  <sheetViews>
    <sheetView topLeftCell="I1" workbookViewId="0">
      <selection activeCell="S6" sqref="S6"/>
    </sheetView>
  </sheetViews>
  <sheetFormatPr defaultRowHeight="14.5" x14ac:dyDescent="0.35"/>
  <cols>
    <col min="1" max="1" width="9.90625" bestFit="1" customWidth="1"/>
    <col min="2" max="2" width="17.08984375" bestFit="1" customWidth="1"/>
    <col min="3" max="3" width="17.54296875" bestFit="1" customWidth="1"/>
    <col min="4" max="4" width="13.453125" bestFit="1" customWidth="1"/>
    <col min="5" max="5" width="10.26953125" bestFit="1" customWidth="1"/>
    <col min="6" max="6" width="13" bestFit="1" customWidth="1"/>
    <col min="7" max="7" width="17.08984375" bestFit="1" customWidth="1"/>
    <col min="8" max="8" width="19.453125" bestFit="1" customWidth="1"/>
    <col min="9" max="9" width="13.6328125" bestFit="1" customWidth="1"/>
    <col min="10" max="10" width="20" bestFit="1" customWidth="1"/>
    <col min="11" max="11" width="8" bestFit="1" customWidth="1"/>
    <col min="12" max="12" width="14.36328125" bestFit="1" customWidth="1"/>
    <col min="13" max="13" width="16.7265625" bestFit="1" customWidth="1"/>
    <col min="14" max="14" width="9.90625" bestFit="1" customWidth="1"/>
    <col min="15" max="15" width="25.90625" bestFit="1" customWidth="1"/>
    <col min="16" max="16" width="12.81640625" style="8" customWidth="1"/>
    <col min="17" max="17" width="18.6328125" customWidth="1"/>
    <col min="18" max="18" width="12.63281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s="8" t="s">
        <v>1603</v>
      </c>
      <c r="Q1" t="s">
        <v>1605</v>
      </c>
      <c r="R1" t="s">
        <v>1608</v>
      </c>
    </row>
    <row r="2" spans="1:18" x14ac:dyDescent="0.35">
      <c r="A2">
        <v>1011</v>
      </c>
      <c r="B2" t="s">
        <v>15</v>
      </c>
      <c r="C2" s="1">
        <v>45172.428472222222</v>
      </c>
      <c r="D2" t="s">
        <v>16</v>
      </c>
      <c r="E2" t="s">
        <v>17</v>
      </c>
      <c r="F2" t="s">
        <v>18</v>
      </c>
      <c r="G2" t="s">
        <v>19</v>
      </c>
      <c r="H2">
        <v>203</v>
      </c>
      <c r="I2">
        <v>24</v>
      </c>
      <c r="J2" t="s">
        <v>20</v>
      </c>
      <c r="K2" t="s">
        <v>21</v>
      </c>
      <c r="L2" t="s">
        <v>22</v>
      </c>
      <c r="M2" t="s">
        <v>23</v>
      </c>
      <c r="N2">
        <v>0</v>
      </c>
      <c r="O2">
        <v>0</v>
      </c>
      <c r="P2" s="8">
        <f>INT(Delivery_data[[#This Row],[Order Timestamp]])</f>
        <v>45172</v>
      </c>
      <c r="Q2">
        <f ca="1">IF(Delivery_data[[#This Row],[Order Status]]="In Progress", TODAY()-Delivery_data[[#This Row],[Order Date]], "")</f>
        <v>811</v>
      </c>
      <c r="R2">
        <f>IF(Delivery_data[[#This Row],[On Time]]=1,0,1)</f>
        <v>1</v>
      </c>
    </row>
    <row r="3" spans="1:18" x14ac:dyDescent="0.35">
      <c r="A3">
        <v>1022</v>
      </c>
      <c r="B3" t="s">
        <v>24</v>
      </c>
      <c r="C3" s="1">
        <v>45175.503472222219</v>
      </c>
      <c r="D3" t="s">
        <v>25</v>
      </c>
      <c r="E3" t="s">
        <v>26</v>
      </c>
      <c r="F3" t="s">
        <v>18</v>
      </c>
      <c r="G3" t="s">
        <v>19</v>
      </c>
      <c r="H3">
        <v>232</v>
      </c>
      <c r="I3">
        <v>21</v>
      </c>
      <c r="J3" t="s">
        <v>27</v>
      </c>
      <c r="K3" t="s">
        <v>28</v>
      </c>
      <c r="L3" t="s">
        <v>29</v>
      </c>
      <c r="M3" t="s">
        <v>30</v>
      </c>
      <c r="N3">
        <v>0</v>
      </c>
      <c r="O3">
        <v>0</v>
      </c>
      <c r="P3" s="8">
        <f>INT(Delivery_data[[#This Row],[Order Timestamp]])</f>
        <v>45175</v>
      </c>
      <c r="Q3" t="str">
        <f ca="1">IF(Delivery_data[[#This Row],[Order Status]]="In Progress", TODAY()-Delivery_data[[#This Row],[Order Date]], "")</f>
        <v/>
      </c>
      <c r="R3">
        <f>IF(Delivery_data[[#This Row],[On Time]]=1,0,1)</f>
        <v>1</v>
      </c>
    </row>
    <row r="4" spans="1:18" x14ac:dyDescent="0.35">
      <c r="A4">
        <v>1024</v>
      </c>
      <c r="B4" t="s">
        <v>31</v>
      </c>
      <c r="C4" s="1">
        <v>45175.632638888892</v>
      </c>
      <c r="D4" t="s">
        <v>25</v>
      </c>
      <c r="E4" t="s">
        <v>32</v>
      </c>
      <c r="F4" t="s">
        <v>18</v>
      </c>
      <c r="G4" t="s">
        <v>19</v>
      </c>
      <c r="H4">
        <v>78</v>
      </c>
      <c r="I4">
        <v>29</v>
      </c>
      <c r="J4" t="s">
        <v>20</v>
      </c>
      <c r="K4" t="s">
        <v>33</v>
      </c>
      <c r="L4" t="s">
        <v>29</v>
      </c>
      <c r="M4" t="s">
        <v>23</v>
      </c>
      <c r="N4">
        <v>0</v>
      </c>
      <c r="O4">
        <v>0</v>
      </c>
      <c r="P4" s="8">
        <f>INT(Delivery_data[[#This Row],[Order Timestamp]])</f>
        <v>45175</v>
      </c>
      <c r="Q4" t="str">
        <f ca="1">IF(Delivery_data[[#This Row],[Order Status]]="In Progress", TODAY()-Delivery_data[[#This Row],[Order Date]], "")</f>
        <v/>
      </c>
      <c r="R4">
        <f>IF(Delivery_data[[#This Row],[On Time]]=1,0,1)</f>
        <v>1</v>
      </c>
    </row>
    <row r="5" spans="1:18" x14ac:dyDescent="0.35">
      <c r="A5">
        <v>1048</v>
      </c>
      <c r="B5" t="s">
        <v>34</v>
      </c>
      <c r="C5" s="1">
        <v>45173.568749999999</v>
      </c>
      <c r="D5" t="s">
        <v>16</v>
      </c>
      <c r="E5" t="s">
        <v>17</v>
      </c>
      <c r="F5" t="s">
        <v>18</v>
      </c>
      <c r="G5" t="s">
        <v>19</v>
      </c>
      <c r="H5">
        <v>173</v>
      </c>
      <c r="I5">
        <v>8</v>
      </c>
      <c r="J5" t="s">
        <v>35</v>
      </c>
      <c r="K5" t="s">
        <v>28</v>
      </c>
      <c r="L5" t="s">
        <v>22</v>
      </c>
      <c r="M5" t="s">
        <v>23</v>
      </c>
      <c r="N5">
        <v>0</v>
      </c>
      <c r="O5">
        <v>1</v>
      </c>
      <c r="P5" s="8">
        <f>INT(Delivery_data[[#This Row],[Order Timestamp]])</f>
        <v>45173</v>
      </c>
      <c r="Q5">
        <f ca="1">IF(Delivery_data[[#This Row],[Order Status]]="In Progress", TODAY()-Delivery_data[[#This Row],[Order Date]], "")</f>
        <v>810</v>
      </c>
      <c r="R5">
        <f>IF(Delivery_data[[#This Row],[On Time]]=1,0,1)</f>
        <v>1</v>
      </c>
    </row>
    <row r="6" spans="1:18" x14ac:dyDescent="0.35">
      <c r="A6">
        <v>1056</v>
      </c>
      <c r="B6" t="s">
        <v>36</v>
      </c>
      <c r="C6" s="1">
        <v>45176.436805555553</v>
      </c>
      <c r="D6" t="s">
        <v>16</v>
      </c>
      <c r="E6" t="s">
        <v>37</v>
      </c>
      <c r="F6" t="s">
        <v>18</v>
      </c>
      <c r="G6" t="s">
        <v>19</v>
      </c>
      <c r="H6">
        <v>235</v>
      </c>
      <c r="I6">
        <v>23</v>
      </c>
      <c r="J6" t="s">
        <v>27</v>
      </c>
      <c r="K6" t="s">
        <v>38</v>
      </c>
      <c r="L6" t="s">
        <v>22</v>
      </c>
      <c r="M6" t="s">
        <v>39</v>
      </c>
      <c r="N6">
        <v>0</v>
      </c>
      <c r="O6">
        <v>0</v>
      </c>
      <c r="P6" s="8">
        <f>INT(Delivery_data[[#This Row],[Order Timestamp]])</f>
        <v>45176</v>
      </c>
      <c r="Q6">
        <f ca="1">IF(Delivery_data[[#This Row],[Order Status]]="In Progress", TODAY()-Delivery_data[[#This Row],[Order Date]], "")</f>
        <v>807</v>
      </c>
      <c r="R6">
        <f>IF(Delivery_data[[#This Row],[On Time]]=1,0,1)</f>
        <v>1</v>
      </c>
    </row>
    <row r="7" spans="1:18" x14ac:dyDescent="0.35">
      <c r="A7">
        <v>1061</v>
      </c>
      <c r="B7" t="s">
        <v>40</v>
      </c>
      <c r="C7" s="1">
        <v>45175.689583333333</v>
      </c>
      <c r="D7" t="s">
        <v>25</v>
      </c>
      <c r="E7" t="s">
        <v>41</v>
      </c>
      <c r="F7" t="s">
        <v>18</v>
      </c>
      <c r="G7" t="s">
        <v>19</v>
      </c>
      <c r="H7">
        <v>163</v>
      </c>
      <c r="I7">
        <v>25</v>
      </c>
      <c r="J7" t="s">
        <v>20</v>
      </c>
      <c r="K7" t="s">
        <v>33</v>
      </c>
      <c r="L7" t="s">
        <v>42</v>
      </c>
      <c r="M7" t="s">
        <v>23</v>
      </c>
      <c r="N7">
        <v>0</v>
      </c>
      <c r="O7">
        <v>0</v>
      </c>
      <c r="P7" s="8">
        <f>INT(Delivery_data[[#This Row],[Order Timestamp]])</f>
        <v>45175</v>
      </c>
      <c r="Q7" t="str">
        <f ca="1">IF(Delivery_data[[#This Row],[Order Status]]="In Progress", TODAY()-Delivery_data[[#This Row],[Order Date]], "")</f>
        <v/>
      </c>
      <c r="R7">
        <f>IF(Delivery_data[[#This Row],[On Time]]=1,0,1)</f>
        <v>1</v>
      </c>
    </row>
    <row r="8" spans="1:18" x14ac:dyDescent="0.35">
      <c r="A8">
        <v>1067</v>
      </c>
      <c r="B8" t="s">
        <v>43</v>
      </c>
      <c r="C8" s="1">
        <v>45172.538194444445</v>
      </c>
      <c r="D8" t="s">
        <v>25</v>
      </c>
      <c r="E8" t="s">
        <v>44</v>
      </c>
      <c r="F8" t="s">
        <v>18</v>
      </c>
      <c r="G8" t="s">
        <v>19</v>
      </c>
      <c r="H8">
        <v>230</v>
      </c>
      <c r="I8">
        <v>8</v>
      </c>
      <c r="J8" t="s">
        <v>27</v>
      </c>
      <c r="K8" t="s">
        <v>38</v>
      </c>
      <c r="L8" t="s">
        <v>42</v>
      </c>
      <c r="M8" t="s">
        <v>23</v>
      </c>
      <c r="N8">
        <v>0</v>
      </c>
      <c r="O8">
        <v>0</v>
      </c>
      <c r="P8" s="8">
        <f>INT(Delivery_data[[#This Row],[Order Timestamp]])</f>
        <v>45172</v>
      </c>
      <c r="Q8" t="str">
        <f ca="1">IF(Delivery_data[[#This Row],[Order Status]]="In Progress", TODAY()-Delivery_data[[#This Row],[Order Date]], "")</f>
        <v/>
      </c>
      <c r="R8">
        <f>IF(Delivery_data[[#This Row],[On Time]]=1,0,1)</f>
        <v>1</v>
      </c>
    </row>
    <row r="9" spans="1:18" x14ac:dyDescent="0.35">
      <c r="A9">
        <v>1068</v>
      </c>
      <c r="B9" t="s">
        <v>45</v>
      </c>
      <c r="C9" s="1">
        <v>45175.438194444447</v>
      </c>
      <c r="D9" t="s">
        <v>25</v>
      </c>
      <c r="E9" t="s">
        <v>46</v>
      </c>
      <c r="F9" t="s">
        <v>18</v>
      </c>
      <c r="G9" t="s">
        <v>19</v>
      </c>
      <c r="H9">
        <v>231</v>
      </c>
      <c r="I9">
        <v>12</v>
      </c>
      <c r="J9" t="s">
        <v>27</v>
      </c>
      <c r="K9" t="s">
        <v>33</v>
      </c>
      <c r="L9" t="s">
        <v>29</v>
      </c>
      <c r="M9" t="s">
        <v>39</v>
      </c>
      <c r="N9">
        <v>0</v>
      </c>
      <c r="O9">
        <v>0</v>
      </c>
      <c r="P9" s="8">
        <f>INT(Delivery_data[[#This Row],[Order Timestamp]])</f>
        <v>45175</v>
      </c>
      <c r="Q9" t="str">
        <f ca="1">IF(Delivery_data[[#This Row],[Order Status]]="In Progress", TODAY()-Delivery_data[[#This Row],[Order Date]], "")</f>
        <v/>
      </c>
      <c r="R9">
        <f>IF(Delivery_data[[#This Row],[On Time]]=1,0,1)</f>
        <v>1</v>
      </c>
    </row>
    <row r="10" spans="1:18" x14ac:dyDescent="0.35">
      <c r="A10">
        <v>1085</v>
      </c>
      <c r="B10" t="s">
        <v>47</v>
      </c>
      <c r="C10" s="1">
        <v>45172.607638888891</v>
      </c>
      <c r="D10" t="s">
        <v>16</v>
      </c>
      <c r="E10" t="s">
        <v>48</v>
      </c>
      <c r="F10" t="s">
        <v>18</v>
      </c>
      <c r="G10" t="s">
        <v>19</v>
      </c>
      <c r="H10">
        <v>111</v>
      </c>
      <c r="I10">
        <v>6</v>
      </c>
      <c r="J10" t="s">
        <v>20</v>
      </c>
      <c r="K10" t="s">
        <v>21</v>
      </c>
      <c r="L10" t="s">
        <v>22</v>
      </c>
      <c r="M10" t="s">
        <v>23</v>
      </c>
      <c r="N10">
        <v>0</v>
      </c>
      <c r="O10">
        <v>0</v>
      </c>
      <c r="P10" s="8">
        <f>INT(Delivery_data[[#This Row],[Order Timestamp]])</f>
        <v>45172</v>
      </c>
      <c r="Q10">
        <f ca="1">IF(Delivery_data[[#This Row],[Order Status]]="In Progress", TODAY()-Delivery_data[[#This Row],[Order Date]], "")</f>
        <v>811</v>
      </c>
      <c r="R10">
        <f>IF(Delivery_data[[#This Row],[On Time]]=1,0,1)</f>
        <v>1</v>
      </c>
    </row>
    <row r="11" spans="1:18" x14ac:dyDescent="0.35">
      <c r="A11">
        <v>1096</v>
      </c>
      <c r="B11" t="s">
        <v>49</v>
      </c>
      <c r="C11" s="1">
        <v>45171.447916666664</v>
      </c>
      <c r="D11" t="s">
        <v>25</v>
      </c>
      <c r="E11" t="s">
        <v>50</v>
      </c>
      <c r="F11" t="s">
        <v>18</v>
      </c>
      <c r="G11" t="s">
        <v>19</v>
      </c>
      <c r="H11">
        <v>201</v>
      </c>
      <c r="I11">
        <v>5</v>
      </c>
      <c r="J11" t="s">
        <v>35</v>
      </c>
      <c r="K11" t="s">
        <v>51</v>
      </c>
      <c r="L11" t="s">
        <v>42</v>
      </c>
      <c r="M11" t="s">
        <v>39</v>
      </c>
      <c r="N11">
        <v>0</v>
      </c>
      <c r="O11">
        <v>1</v>
      </c>
      <c r="P11" s="8">
        <f>INT(Delivery_data[[#This Row],[Order Timestamp]])</f>
        <v>45171</v>
      </c>
      <c r="Q11" t="str">
        <f ca="1">IF(Delivery_data[[#This Row],[Order Status]]="In Progress", TODAY()-Delivery_data[[#This Row],[Order Date]], "")</f>
        <v/>
      </c>
      <c r="R11">
        <f>IF(Delivery_data[[#This Row],[On Time]]=1,0,1)</f>
        <v>1</v>
      </c>
    </row>
    <row r="12" spans="1:18" x14ac:dyDescent="0.35">
      <c r="A12">
        <v>1104</v>
      </c>
      <c r="B12" t="s">
        <v>52</v>
      </c>
      <c r="C12" s="1">
        <v>45177.489583333336</v>
      </c>
      <c r="D12" t="s">
        <v>16</v>
      </c>
      <c r="E12" t="s">
        <v>53</v>
      </c>
      <c r="F12" t="s">
        <v>18</v>
      </c>
      <c r="G12" t="s">
        <v>19</v>
      </c>
      <c r="H12">
        <v>162</v>
      </c>
      <c r="I12">
        <v>24</v>
      </c>
      <c r="J12" t="s">
        <v>20</v>
      </c>
      <c r="K12" t="s">
        <v>33</v>
      </c>
      <c r="L12" t="s">
        <v>29</v>
      </c>
      <c r="M12" t="s">
        <v>23</v>
      </c>
      <c r="N12">
        <v>0</v>
      </c>
      <c r="O12">
        <v>0</v>
      </c>
      <c r="P12" s="8">
        <f>INT(Delivery_data[[#This Row],[Order Timestamp]])</f>
        <v>45177</v>
      </c>
      <c r="Q12">
        <f ca="1">IF(Delivery_data[[#This Row],[Order Status]]="In Progress", TODAY()-Delivery_data[[#This Row],[Order Date]], "")</f>
        <v>806</v>
      </c>
      <c r="R12">
        <f>IF(Delivery_data[[#This Row],[On Time]]=1,0,1)</f>
        <v>1</v>
      </c>
    </row>
    <row r="13" spans="1:18" x14ac:dyDescent="0.35">
      <c r="A13">
        <v>1107</v>
      </c>
      <c r="B13" t="s">
        <v>54</v>
      </c>
      <c r="C13" s="1">
        <v>45172.632638888892</v>
      </c>
      <c r="D13" t="s">
        <v>25</v>
      </c>
      <c r="E13" t="s">
        <v>46</v>
      </c>
      <c r="F13" t="s">
        <v>18</v>
      </c>
      <c r="G13" t="s">
        <v>19</v>
      </c>
      <c r="H13">
        <v>60</v>
      </c>
      <c r="I13">
        <v>29</v>
      </c>
      <c r="J13" t="s">
        <v>27</v>
      </c>
      <c r="K13" t="s">
        <v>38</v>
      </c>
      <c r="L13" t="s">
        <v>22</v>
      </c>
      <c r="M13" t="s">
        <v>23</v>
      </c>
      <c r="N13">
        <v>0</v>
      </c>
      <c r="O13">
        <v>0</v>
      </c>
      <c r="P13" s="8">
        <f>INT(Delivery_data[[#This Row],[Order Timestamp]])</f>
        <v>45172</v>
      </c>
      <c r="Q13" t="str">
        <f ca="1">IF(Delivery_data[[#This Row],[Order Status]]="In Progress", TODAY()-Delivery_data[[#This Row],[Order Date]], "")</f>
        <v/>
      </c>
      <c r="R13">
        <f>IF(Delivery_data[[#This Row],[On Time]]=1,0,1)</f>
        <v>1</v>
      </c>
    </row>
    <row r="14" spans="1:18" x14ac:dyDescent="0.35">
      <c r="A14">
        <v>1153</v>
      </c>
      <c r="B14" t="s">
        <v>55</v>
      </c>
      <c r="C14" s="1">
        <v>45177.647916666669</v>
      </c>
      <c r="D14" t="s">
        <v>25</v>
      </c>
      <c r="E14" t="s">
        <v>56</v>
      </c>
      <c r="F14" t="s">
        <v>18</v>
      </c>
      <c r="G14" t="s">
        <v>19</v>
      </c>
      <c r="H14">
        <v>162</v>
      </c>
      <c r="I14">
        <v>13</v>
      </c>
      <c r="J14" t="s">
        <v>35</v>
      </c>
      <c r="K14" t="s">
        <v>33</v>
      </c>
      <c r="L14" t="s">
        <v>22</v>
      </c>
      <c r="M14" t="s">
        <v>39</v>
      </c>
      <c r="N14">
        <v>0</v>
      </c>
      <c r="O14">
        <v>1</v>
      </c>
      <c r="P14" s="8">
        <f>INT(Delivery_data[[#This Row],[Order Timestamp]])</f>
        <v>45177</v>
      </c>
      <c r="Q14" t="str">
        <f ca="1">IF(Delivery_data[[#This Row],[Order Status]]="In Progress", TODAY()-Delivery_data[[#This Row],[Order Date]], "")</f>
        <v/>
      </c>
      <c r="R14">
        <f>IF(Delivery_data[[#This Row],[On Time]]=1,0,1)</f>
        <v>1</v>
      </c>
    </row>
    <row r="15" spans="1:18" x14ac:dyDescent="0.35">
      <c r="A15">
        <v>1179</v>
      </c>
      <c r="B15" t="s">
        <v>57</v>
      </c>
      <c r="C15" s="1">
        <v>45176.379861111112</v>
      </c>
      <c r="D15" t="s">
        <v>25</v>
      </c>
      <c r="E15" t="s">
        <v>58</v>
      </c>
      <c r="F15" t="s">
        <v>18</v>
      </c>
      <c r="G15" t="s">
        <v>19</v>
      </c>
      <c r="H15">
        <v>109</v>
      </c>
      <c r="I15">
        <v>22</v>
      </c>
      <c r="J15" t="s">
        <v>35</v>
      </c>
      <c r="K15" t="s">
        <v>21</v>
      </c>
      <c r="L15" t="s">
        <v>42</v>
      </c>
      <c r="M15" t="s">
        <v>23</v>
      </c>
      <c r="N15">
        <v>0</v>
      </c>
      <c r="O15">
        <v>1</v>
      </c>
      <c r="P15" s="8">
        <f>INT(Delivery_data[[#This Row],[Order Timestamp]])</f>
        <v>45176</v>
      </c>
      <c r="Q15" t="str">
        <f ca="1">IF(Delivery_data[[#This Row],[Order Status]]="In Progress", TODAY()-Delivery_data[[#This Row],[Order Date]], "")</f>
        <v/>
      </c>
      <c r="R15">
        <f>IF(Delivery_data[[#This Row],[On Time]]=1,0,1)</f>
        <v>1</v>
      </c>
    </row>
    <row r="16" spans="1:18" x14ac:dyDescent="0.35">
      <c r="A16">
        <v>1180</v>
      </c>
      <c r="B16" t="s">
        <v>59</v>
      </c>
      <c r="C16" s="1">
        <v>45172.587500000001</v>
      </c>
      <c r="D16" t="s">
        <v>16</v>
      </c>
      <c r="E16" t="s">
        <v>60</v>
      </c>
      <c r="F16" t="s">
        <v>18</v>
      </c>
      <c r="G16" t="s">
        <v>19</v>
      </c>
      <c r="H16">
        <v>82</v>
      </c>
      <c r="I16">
        <v>3</v>
      </c>
      <c r="J16" t="s">
        <v>27</v>
      </c>
      <c r="K16" t="s">
        <v>28</v>
      </c>
      <c r="L16" t="s">
        <v>22</v>
      </c>
      <c r="M16" t="s">
        <v>39</v>
      </c>
      <c r="N16">
        <v>0</v>
      </c>
      <c r="O16">
        <v>0</v>
      </c>
      <c r="P16" s="8">
        <f>INT(Delivery_data[[#This Row],[Order Timestamp]])</f>
        <v>45172</v>
      </c>
      <c r="Q16">
        <f ca="1">IF(Delivery_data[[#This Row],[Order Status]]="In Progress", TODAY()-Delivery_data[[#This Row],[Order Date]], "")</f>
        <v>811</v>
      </c>
      <c r="R16">
        <f>IF(Delivery_data[[#This Row],[On Time]]=1,0,1)</f>
        <v>1</v>
      </c>
    </row>
    <row r="17" spans="1:18" x14ac:dyDescent="0.35">
      <c r="A17">
        <v>1182</v>
      </c>
      <c r="B17" t="s">
        <v>61</v>
      </c>
      <c r="C17" s="1">
        <v>45172.352777777778</v>
      </c>
      <c r="D17" t="s">
        <v>16</v>
      </c>
      <c r="E17" t="s">
        <v>62</v>
      </c>
      <c r="F17" t="s">
        <v>18</v>
      </c>
      <c r="G17" t="s">
        <v>19</v>
      </c>
      <c r="H17">
        <v>186</v>
      </c>
      <c r="I17">
        <v>28</v>
      </c>
      <c r="J17" t="s">
        <v>27</v>
      </c>
      <c r="K17" t="s">
        <v>51</v>
      </c>
      <c r="L17" t="s">
        <v>42</v>
      </c>
      <c r="M17" t="s">
        <v>23</v>
      </c>
      <c r="N17">
        <v>0</v>
      </c>
      <c r="O17">
        <v>0</v>
      </c>
      <c r="P17" s="8">
        <f>INT(Delivery_data[[#This Row],[Order Timestamp]])</f>
        <v>45172</v>
      </c>
      <c r="Q17">
        <f ca="1">IF(Delivery_data[[#This Row],[Order Status]]="In Progress", TODAY()-Delivery_data[[#This Row],[Order Date]], "")</f>
        <v>811</v>
      </c>
      <c r="R17">
        <f>IF(Delivery_data[[#This Row],[On Time]]=1,0,1)</f>
        <v>1</v>
      </c>
    </row>
    <row r="18" spans="1:18" x14ac:dyDescent="0.35">
      <c r="A18">
        <v>1184</v>
      </c>
      <c r="B18" t="s">
        <v>63</v>
      </c>
      <c r="C18" s="1">
        <v>45173.466666666667</v>
      </c>
      <c r="D18" t="s">
        <v>25</v>
      </c>
      <c r="E18" t="s">
        <v>64</v>
      </c>
      <c r="F18" t="s">
        <v>18</v>
      </c>
      <c r="G18" t="s">
        <v>19</v>
      </c>
      <c r="H18">
        <v>171</v>
      </c>
      <c r="I18">
        <v>4</v>
      </c>
      <c r="J18" t="s">
        <v>35</v>
      </c>
      <c r="K18" t="s">
        <v>21</v>
      </c>
      <c r="L18" t="s">
        <v>22</v>
      </c>
      <c r="M18" t="s">
        <v>30</v>
      </c>
      <c r="N18">
        <v>0</v>
      </c>
      <c r="O18">
        <v>1</v>
      </c>
      <c r="P18" s="8">
        <f>INT(Delivery_data[[#This Row],[Order Timestamp]])</f>
        <v>45173</v>
      </c>
      <c r="Q18" t="str">
        <f ca="1">IF(Delivery_data[[#This Row],[Order Status]]="In Progress", TODAY()-Delivery_data[[#This Row],[Order Date]], "")</f>
        <v/>
      </c>
      <c r="R18">
        <f>IF(Delivery_data[[#This Row],[On Time]]=1,0,1)</f>
        <v>1</v>
      </c>
    </row>
    <row r="19" spans="1:18" x14ac:dyDescent="0.35">
      <c r="A19">
        <v>1198</v>
      </c>
      <c r="B19" t="s">
        <v>65</v>
      </c>
      <c r="C19" s="1">
        <v>45176.573611111111</v>
      </c>
      <c r="D19" t="s">
        <v>16</v>
      </c>
      <c r="E19" t="s">
        <v>66</v>
      </c>
      <c r="F19" t="s">
        <v>18</v>
      </c>
      <c r="G19" t="s">
        <v>19</v>
      </c>
      <c r="H19">
        <v>72</v>
      </c>
      <c r="I19">
        <v>25</v>
      </c>
      <c r="J19" t="s">
        <v>27</v>
      </c>
      <c r="K19" t="s">
        <v>51</v>
      </c>
      <c r="L19" t="s">
        <v>22</v>
      </c>
      <c r="M19" t="s">
        <v>30</v>
      </c>
      <c r="N19">
        <v>0</v>
      </c>
      <c r="O19">
        <v>0</v>
      </c>
      <c r="P19" s="8">
        <f>INT(Delivery_data[[#This Row],[Order Timestamp]])</f>
        <v>45176</v>
      </c>
      <c r="Q19">
        <f ca="1">IF(Delivery_data[[#This Row],[Order Status]]="In Progress", TODAY()-Delivery_data[[#This Row],[Order Date]], "")</f>
        <v>807</v>
      </c>
      <c r="R19">
        <f>IF(Delivery_data[[#This Row],[On Time]]=1,0,1)</f>
        <v>1</v>
      </c>
    </row>
    <row r="20" spans="1:18" x14ac:dyDescent="0.35">
      <c r="A20">
        <v>1230</v>
      </c>
      <c r="B20" t="s">
        <v>67</v>
      </c>
      <c r="C20" s="1">
        <v>45177.469444444447</v>
      </c>
      <c r="D20" t="s">
        <v>25</v>
      </c>
      <c r="E20" t="s">
        <v>68</v>
      </c>
      <c r="F20" t="s">
        <v>18</v>
      </c>
      <c r="G20" t="s">
        <v>19</v>
      </c>
      <c r="H20">
        <v>205</v>
      </c>
      <c r="I20">
        <v>3</v>
      </c>
      <c r="J20" t="s">
        <v>27</v>
      </c>
      <c r="K20" t="s">
        <v>28</v>
      </c>
      <c r="L20" t="s">
        <v>29</v>
      </c>
      <c r="M20" t="s">
        <v>39</v>
      </c>
      <c r="N20">
        <v>0</v>
      </c>
      <c r="O20">
        <v>0</v>
      </c>
      <c r="P20" s="8">
        <f>INT(Delivery_data[[#This Row],[Order Timestamp]])</f>
        <v>45177</v>
      </c>
      <c r="Q20" t="str">
        <f ca="1">IF(Delivery_data[[#This Row],[Order Status]]="In Progress", TODAY()-Delivery_data[[#This Row],[Order Date]], "")</f>
        <v/>
      </c>
      <c r="R20">
        <f>IF(Delivery_data[[#This Row],[On Time]]=1,0,1)</f>
        <v>1</v>
      </c>
    </row>
    <row r="21" spans="1:18" x14ac:dyDescent="0.35">
      <c r="A21">
        <v>1240</v>
      </c>
      <c r="B21" t="s">
        <v>69</v>
      </c>
      <c r="C21" s="1">
        <v>45170.668055555558</v>
      </c>
      <c r="D21" t="s">
        <v>16</v>
      </c>
      <c r="E21" t="s">
        <v>70</v>
      </c>
      <c r="F21" t="s">
        <v>18</v>
      </c>
      <c r="G21" t="s">
        <v>19</v>
      </c>
      <c r="H21">
        <v>201</v>
      </c>
      <c r="I21">
        <v>14</v>
      </c>
      <c r="J21" t="s">
        <v>20</v>
      </c>
      <c r="K21" t="s">
        <v>38</v>
      </c>
      <c r="L21" t="s">
        <v>42</v>
      </c>
      <c r="M21" t="s">
        <v>30</v>
      </c>
      <c r="N21">
        <v>0</v>
      </c>
      <c r="O21">
        <v>0</v>
      </c>
      <c r="P21" s="8">
        <f>INT(Delivery_data[[#This Row],[Order Timestamp]])</f>
        <v>45170</v>
      </c>
      <c r="Q21">
        <f ca="1">IF(Delivery_data[[#This Row],[Order Status]]="In Progress", TODAY()-Delivery_data[[#This Row],[Order Date]], "")</f>
        <v>813</v>
      </c>
      <c r="R21">
        <f>IF(Delivery_data[[#This Row],[On Time]]=1,0,1)</f>
        <v>1</v>
      </c>
    </row>
    <row r="22" spans="1:18" x14ac:dyDescent="0.35">
      <c r="A22">
        <v>1244</v>
      </c>
      <c r="B22" t="s">
        <v>71</v>
      </c>
      <c r="C22" s="1">
        <v>45170.572916666664</v>
      </c>
      <c r="D22" t="s">
        <v>25</v>
      </c>
      <c r="E22" t="s">
        <v>72</v>
      </c>
      <c r="F22" t="s">
        <v>18</v>
      </c>
      <c r="G22" t="s">
        <v>19</v>
      </c>
      <c r="H22">
        <v>74</v>
      </c>
      <c r="I22">
        <v>26</v>
      </c>
      <c r="J22" t="s">
        <v>20</v>
      </c>
      <c r="K22" t="s">
        <v>21</v>
      </c>
      <c r="L22" t="s">
        <v>22</v>
      </c>
      <c r="M22" t="s">
        <v>30</v>
      </c>
      <c r="N22">
        <v>0</v>
      </c>
      <c r="O22">
        <v>0</v>
      </c>
      <c r="P22" s="8">
        <f>INT(Delivery_data[[#This Row],[Order Timestamp]])</f>
        <v>45170</v>
      </c>
      <c r="Q22" t="str">
        <f ca="1">IF(Delivery_data[[#This Row],[Order Status]]="In Progress", TODAY()-Delivery_data[[#This Row],[Order Date]], "")</f>
        <v/>
      </c>
      <c r="R22">
        <f>IF(Delivery_data[[#This Row],[On Time]]=1,0,1)</f>
        <v>1</v>
      </c>
    </row>
    <row r="23" spans="1:18" x14ac:dyDescent="0.35">
      <c r="A23">
        <v>1253</v>
      </c>
      <c r="B23" t="s">
        <v>73</v>
      </c>
      <c r="C23" s="1">
        <v>45170.459027777775</v>
      </c>
      <c r="D23" t="s">
        <v>25</v>
      </c>
      <c r="E23" t="s">
        <v>74</v>
      </c>
      <c r="F23" t="s">
        <v>18</v>
      </c>
      <c r="G23" t="s">
        <v>19</v>
      </c>
      <c r="H23">
        <v>128</v>
      </c>
      <c r="I23">
        <v>16</v>
      </c>
      <c r="J23" t="s">
        <v>20</v>
      </c>
      <c r="K23" t="s">
        <v>38</v>
      </c>
      <c r="L23" t="s">
        <v>29</v>
      </c>
      <c r="M23" t="s">
        <v>23</v>
      </c>
      <c r="N23">
        <v>0</v>
      </c>
      <c r="O23">
        <v>0</v>
      </c>
      <c r="P23" s="8">
        <f>INT(Delivery_data[[#This Row],[Order Timestamp]])</f>
        <v>45170</v>
      </c>
      <c r="Q23" t="str">
        <f ca="1">IF(Delivery_data[[#This Row],[Order Status]]="In Progress", TODAY()-Delivery_data[[#This Row],[Order Date]], "")</f>
        <v/>
      </c>
      <c r="R23">
        <f>IF(Delivery_data[[#This Row],[On Time]]=1,0,1)</f>
        <v>1</v>
      </c>
    </row>
    <row r="24" spans="1:18" x14ac:dyDescent="0.35">
      <c r="A24">
        <v>1255</v>
      </c>
      <c r="B24" t="s">
        <v>75</v>
      </c>
      <c r="C24" s="1">
        <v>45175.704861111109</v>
      </c>
      <c r="D24" t="s">
        <v>16</v>
      </c>
      <c r="E24" t="s">
        <v>76</v>
      </c>
      <c r="F24" t="s">
        <v>18</v>
      </c>
      <c r="G24" t="s">
        <v>19</v>
      </c>
      <c r="H24">
        <v>69</v>
      </c>
      <c r="I24">
        <v>29</v>
      </c>
      <c r="J24" t="s">
        <v>27</v>
      </c>
      <c r="K24" t="s">
        <v>38</v>
      </c>
      <c r="L24" t="s">
        <v>29</v>
      </c>
      <c r="M24" t="s">
        <v>39</v>
      </c>
      <c r="N24">
        <v>0</v>
      </c>
      <c r="O24">
        <v>0</v>
      </c>
      <c r="P24" s="8">
        <f>INT(Delivery_data[[#This Row],[Order Timestamp]])</f>
        <v>45175</v>
      </c>
      <c r="Q24">
        <f ca="1">IF(Delivery_data[[#This Row],[Order Status]]="In Progress", TODAY()-Delivery_data[[#This Row],[Order Date]], "")</f>
        <v>808</v>
      </c>
      <c r="R24">
        <f>IF(Delivery_data[[#This Row],[On Time]]=1,0,1)</f>
        <v>1</v>
      </c>
    </row>
    <row r="25" spans="1:18" x14ac:dyDescent="0.35">
      <c r="A25">
        <v>1258</v>
      </c>
      <c r="B25" t="s">
        <v>77</v>
      </c>
      <c r="C25" s="1">
        <v>45170.463194444441</v>
      </c>
      <c r="D25" t="s">
        <v>16</v>
      </c>
      <c r="E25" t="s">
        <v>78</v>
      </c>
      <c r="F25" t="s">
        <v>18</v>
      </c>
      <c r="G25" t="s">
        <v>19</v>
      </c>
      <c r="H25">
        <v>75</v>
      </c>
      <c r="I25">
        <v>22</v>
      </c>
      <c r="J25" t="s">
        <v>35</v>
      </c>
      <c r="K25" t="s">
        <v>21</v>
      </c>
      <c r="L25" t="s">
        <v>42</v>
      </c>
      <c r="M25" t="s">
        <v>39</v>
      </c>
      <c r="N25">
        <v>0</v>
      </c>
      <c r="O25">
        <v>1</v>
      </c>
      <c r="P25" s="8">
        <f>INT(Delivery_data[[#This Row],[Order Timestamp]])</f>
        <v>45170</v>
      </c>
      <c r="Q25">
        <f ca="1">IF(Delivery_data[[#This Row],[Order Status]]="In Progress", TODAY()-Delivery_data[[#This Row],[Order Date]], "")</f>
        <v>813</v>
      </c>
      <c r="R25">
        <f>IF(Delivery_data[[#This Row],[On Time]]=1,0,1)</f>
        <v>1</v>
      </c>
    </row>
    <row r="26" spans="1:18" x14ac:dyDescent="0.35">
      <c r="A26">
        <v>1259</v>
      </c>
      <c r="B26" t="s">
        <v>79</v>
      </c>
      <c r="C26" s="1">
        <v>45173.55</v>
      </c>
      <c r="D26" t="s">
        <v>16</v>
      </c>
      <c r="E26" t="s">
        <v>80</v>
      </c>
      <c r="F26" t="s">
        <v>18</v>
      </c>
      <c r="G26" t="s">
        <v>19</v>
      </c>
      <c r="H26">
        <v>226</v>
      </c>
      <c r="I26">
        <v>14</v>
      </c>
      <c r="J26" t="s">
        <v>35</v>
      </c>
      <c r="K26" t="s">
        <v>28</v>
      </c>
      <c r="L26" t="s">
        <v>22</v>
      </c>
      <c r="M26" t="s">
        <v>23</v>
      </c>
      <c r="N26">
        <v>0</v>
      </c>
      <c r="O26">
        <v>1</v>
      </c>
      <c r="P26" s="8">
        <f>INT(Delivery_data[[#This Row],[Order Timestamp]])</f>
        <v>45173</v>
      </c>
      <c r="Q26">
        <f ca="1">IF(Delivery_data[[#This Row],[Order Status]]="In Progress", TODAY()-Delivery_data[[#This Row],[Order Date]], "")</f>
        <v>810</v>
      </c>
      <c r="R26">
        <f>IF(Delivery_data[[#This Row],[On Time]]=1,0,1)</f>
        <v>1</v>
      </c>
    </row>
    <row r="27" spans="1:18" x14ac:dyDescent="0.35">
      <c r="A27">
        <v>1263</v>
      </c>
      <c r="B27" t="s">
        <v>81</v>
      </c>
      <c r="C27" s="1">
        <v>45171.390277777777</v>
      </c>
      <c r="D27" t="s">
        <v>16</v>
      </c>
      <c r="E27" t="s">
        <v>64</v>
      </c>
      <c r="F27" t="s">
        <v>18</v>
      </c>
      <c r="G27" t="s">
        <v>19</v>
      </c>
      <c r="H27">
        <v>75</v>
      </c>
      <c r="I27">
        <v>15</v>
      </c>
      <c r="J27" t="s">
        <v>27</v>
      </c>
      <c r="K27" t="s">
        <v>38</v>
      </c>
      <c r="L27" t="s">
        <v>42</v>
      </c>
      <c r="M27" t="s">
        <v>39</v>
      </c>
      <c r="N27">
        <v>0</v>
      </c>
      <c r="O27">
        <v>0</v>
      </c>
      <c r="P27" s="8">
        <f>INT(Delivery_data[[#This Row],[Order Timestamp]])</f>
        <v>45171</v>
      </c>
      <c r="Q27">
        <f ca="1">IF(Delivery_data[[#This Row],[Order Status]]="In Progress", TODAY()-Delivery_data[[#This Row],[Order Date]], "")</f>
        <v>812</v>
      </c>
      <c r="R27">
        <f>IF(Delivery_data[[#This Row],[On Time]]=1,0,1)</f>
        <v>1</v>
      </c>
    </row>
    <row r="28" spans="1:18" x14ac:dyDescent="0.35">
      <c r="A28">
        <v>1274</v>
      </c>
      <c r="B28" t="s">
        <v>82</v>
      </c>
      <c r="C28" s="1">
        <v>45170.525000000001</v>
      </c>
      <c r="D28" t="s">
        <v>16</v>
      </c>
      <c r="E28" t="s">
        <v>83</v>
      </c>
      <c r="F28" t="s">
        <v>18</v>
      </c>
      <c r="G28" t="s">
        <v>19</v>
      </c>
      <c r="H28">
        <v>163</v>
      </c>
      <c r="I28">
        <v>10</v>
      </c>
      <c r="J28" t="s">
        <v>20</v>
      </c>
      <c r="K28" t="s">
        <v>51</v>
      </c>
      <c r="L28" t="s">
        <v>29</v>
      </c>
      <c r="M28" t="s">
        <v>30</v>
      </c>
      <c r="N28">
        <v>0</v>
      </c>
      <c r="O28">
        <v>0</v>
      </c>
      <c r="P28" s="8">
        <f>INT(Delivery_data[[#This Row],[Order Timestamp]])</f>
        <v>45170</v>
      </c>
      <c r="Q28">
        <f ca="1">IF(Delivery_data[[#This Row],[Order Status]]="In Progress", TODAY()-Delivery_data[[#This Row],[Order Date]], "")</f>
        <v>813</v>
      </c>
      <c r="R28">
        <f>IF(Delivery_data[[#This Row],[On Time]]=1,0,1)</f>
        <v>1</v>
      </c>
    </row>
    <row r="29" spans="1:18" x14ac:dyDescent="0.35">
      <c r="A29">
        <v>1288</v>
      </c>
      <c r="B29" t="s">
        <v>84</v>
      </c>
      <c r="C29" s="1">
        <v>45172.468055555553</v>
      </c>
      <c r="D29" t="s">
        <v>16</v>
      </c>
      <c r="E29" t="s">
        <v>85</v>
      </c>
      <c r="F29" t="s">
        <v>18</v>
      </c>
      <c r="G29" t="s">
        <v>19</v>
      </c>
      <c r="H29">
        <v>125</v>
      </c>
      <c r="I29">
        <v>24</v>
      </c>
      <c r="J29" t="s">
        <v>27</v>
      </c>
      <c r="K29" t="s">
        <v>38</v>
      </c>
      <c r="L29" t="s">
        <v>22</v>
      </c>
      <c r="M29" t="s">
        <v>23</v>
      </c>
      <c r="N29">
        <v>0</v>
      </c>
      <c r="O29">
        <v>0</v>
      </c>
      <c r="P29" s="8">
        <f>INT(Delivery_data[[#This Row],[Order Timestamp]])</f>
        <v>45172</v>
      </c>
      <c r="Q29">
        <f ca="1">IF(Delivery_data[[#This Row],[Order Status]]="In Progress", TODAY()-Delivery_data[[#This Row],[Order Date]], "")</f>
        <v>811</v>
      </c>
      <c r="R29">
        <f>IF(Delivery_data[[#This Row],[On Time]]=1,0,1)</f>
        <v>1</v>
      </c>
    </row>
    <row r="30" spans="1:18" x14ac:dyDescent="0.35">
      <c r="A30">
        <v>1290</v>
      </c>
      <c r="B30" t="s">
        <v>86</v>
      </c>
      <c r="C30" s="1">
        <v>45174.490972222222</v>
      </c>
      <c r="D30" t="s">
        <v>25</v>
      </c>
      <c r="E30" t="s">
        <v>87</v>
      </c>
      <c r="F30" t="s">
        <v>18</v>
      </c>
      <c r="G30" t="s">
        <v>19</v>
      </c>
      <c r="H30">
        <v>193</v>
      </c>
      <c r="I30">
        <v>26</v>
      </c>
      <c r="J30" t="s">
        <v>20</v>
      </c>
      <c r="K30" t="s">
        <v>33</v>
      </c>
      <c r="L30" t="s">
        <v>42</v>
      </c>
      <c r="M30" t="s">
        <v>23</v>
      </c>
      <c r="N30">
        <v>0</v>
      </c>
      <c r="O30">
        <v>0</v>
      </c>
      <c r="P30" s="8">
        <f>INT(Delivery_data[[#This Row],[Order Timestamp]])</f>
        <v>45174</v>
      </c>
      <c r="Q30" t="str">
        <f ca="1">IF(Delivery_data[[#This Row],[Order Status]]="In Progress", TODAY()-Delivery_data[[#This Row],[Order Date]], "")</f>
        <v/>
      </c>
      <c r="R30">
        <f>IF(Delivery_data[[#This Row],[On Time]]=1,0,1)</f>
        <v>1</v>
      </c>
    </row>
    <row r="31" spans="1:18" x14ac:dyDescent="0.35">
      <c r="A31">
        <v>1295</v>
      </c>
      <c r="B31" t="s">
        <v>88</v>
      </c>
      <c r="C31" s="1">
        <v>45177.627083333333</v>
      </c>
      <c r="D31" t="s">
        <v>25</v>
      </c>
      <c r="E31" t="s">
        <v>89</v>
      </c>
      <c r="F31" t="s">
        <v>18</v>
      </c>
      <c r="G31" t="s">
        <v>19</v>
      </c>
      <c r="H31">
        <v>99</v>
      </c>
      <c r="I31">
        <v>12</v>
      </c>
      <c r="J31" t="s">
        <v>35</v>
      </c>
      <c r="K31" t="s">
        <v>21</v>
      </c>
      <c r="L31" t="s">
        <v>42</v>
      </c>
      <c r="M31" t="s">
        <v>30</v>
      </c>
      <c r="N31">
        <v>0</v>
      </c>
      <c r="O31">
        <v>1</v>
      </c>
      <c r="P31" s="8">
        <f>INT(Delivery_data[[#This Row],[Order Timestamp]])</f>
        <v>45177</v>
      </c>
      <c r="Q31" t="str">
        <f ca="1">IF(Delivery_data[[#This Row],[Order Status]]="In Progress", TODAY()-Delivery_data[[#This Row],[Order Date]], "")</f>
        <v/>
      </c>
      <c r="R31">
        <f>IF(Delivery_data[[#This Row],[On Time]]=1,0,1)</f>
        <v>1</v>
      </c>
    </row>
    <row r="32" spans="1:18" x14ac:dyDescent="0.35">
      <c r="A32">
        <v>1298</v>
      </c>
      <c r="B32" t="s">
        <v>90</v>
      </c>
      <c r="C32" s="1">
        <v>45172.370138888888</v>
      </c>
      <c r="D32" t="s">
        <v>16</v>
      </c>
      <c r="E32" t="s">
        <v>91</v>
      </c>
      <c r="F32" t="s">
        <v>18</v>
      </c>
      <c r="G32" t="s">
        <v>19</v>
      </c>
      <c r="H32">
        <v>155</v>
      </c>
      <c r="I32">
        <v>3</v>
      </c>
      <c r="J32" t="s">
        <v>35</v>
      </c>
      <c r="K32" t="s">
        <v>33</v>
      </c>
      <c r="L32" t="s">
        <v>22</v>
      </c>
      <c r="M32" t="s">
        <v>39</v>
      </c>
      <c r="N32">
        <v>0</v>
      </c>
      <c r="O32">
        <v>1</v>
      </c>
      <c r="P32" s="8">
        <f>INT(Delivery_data[[#This Row],[Order Timestamp]])</f>
        <v>45172</v>
      </c>
      <c r="Q32">
        <f ca="1">IF(Delivery_data[[#This Row],[Order Status]]="In Progress", TODAY()-Delivery_data[[#This Row],[Order Date]], "")</f>
        <v>811</v>
      </c>
      <c r="R32">
        <f>IF(Delivery_data[[#This Row],[On Time]]=1,0,1)</f>
        <v>1</v>
      </c>
    </row>
    <row r="33" spans="1:18" x14ac:dyDescent="0.35">
      <c r="A33">
        <v>1305</v>
      </c>
      <c r="B33" t="s">
        <v>92</v>
      </c>
      <c r="C33" s="1">
        <v>45171.667361111111</v>
      </c>
      <c r="D33" t="s">
        <v>16</v>
      </c>
      <c r="E33" t="s">
        <v>37</v>
      </c>
      <c r="F33" t="s">
        <v>18</v>
      </c>
      <c r="G33" t="s">
        <v>19</v>
      </c>
      <c r="H33">
        <v>200</v>
      </c>
      <c r="I33">
        <v>2</v>
      </c>
      <c r="J33" t="s">
        <v>35</v>
      </c>
      <c r="K33" t="s">
        <v>33</v>
      </c>
      <c r="L33" t="s">
        <v>42</v>
      </c>
      <c r="M33" t="s">
        <v>23</v>
      </c>
      <c r="N33">
        <v>0</v>
      </c>
      <c r="O33">
        <v>1</v>
      </c>
      <c r="P33" s="8">
        <f>INT(Delivery_data[[#This Row],[Order Timestamp]])</f>
        <v>45171</v>
      </c>
      <c r="Q33">
        <f ca="1">IF(Delivery_data[[#This Row],[Order Status]]="In Progress", TODAY()-Delivery_data[[#This Row],[Order Date]], "")</f>
        <v>812</v>
      </c>
      <c r="R33">
        <f>IF(Delivery_data[[#This Row],[On Time]]=1,0,1)</f>
        <v>1</v>
      </c>
    </row>
    <row r="34" spans="1:18" x14ac:dyDescent="0.35">
      <c r="A34">
        <v>1325</v>
      </c>
      <c r="B34" t="s">
        <v>93</v>
      </c>
      <c r="C34" s="1">
        <v>45170.654166666667</v>
      </c>
      <c r="D34" t="s">
        <v>25</v>
      </c>
      <c r="E34" t="s">
        <v>94</v>
      </c>
      <c r="F34" t="s">
        <v>18</v>
      </c>
      <c r="G34" t="s">
        <v>19</v>
      </c>
      <c r="H34">
        <v>201</v>
      </c>
      <c r="I34">
        <v>7</v>
      </c>
      <c r="J34" t="s">
        <v>35</v>
      </c>
      <c r="K34" t="s">
        <v>33</v>
      </c>
      <c r="L34" t="s">
        <v>22</v>
      </c>
      <c r="M34" t="s">
        <v>30</v>
      </c>
      <c r="N34">
        <v>0</v>
      </c>
      <c r="O34">
        <v>1</v>
      </c>
      <c r="P34" s="8">
        <f>INT(Delivery_data[[#This Row],[Order Timestamp]])</f>
        <v>45170</v>
      </c>
      <c r="Q34" t="str">
        <f ca="1">IF(Delivery_data[[#This Row],[Order Status]]="In Progress", TODAY()-Delivery_data[[#This Row],[Order Date]], "")</f>
        <v/>
      </c>
      <c r="R34">
        <f>IF(Delivery_data[[#This Row],[On Time]]=1,0,1)</f>
        <v>1</v>
      </c>
    </row>
    <row r="35" spans="1:18" x14ac:dyDescent="0.35">
      <c r="A35">
        <v>1329</v>
      </c>
      <c r="B35" t="s">
        <v>95</v>
      </c>
      <c r="C35" s="1">
        <v>45175.588194444441</v>
      </c>
      <c r="D35" t="s">
        <v>25</v>
      </c>
      <c r="E35" t="s">
        <v>96</v>
      </c>
      <c r="F35" t="s">
        <v>18</v>
      </c>
      <c r="G35" t="s">
        <v>19</v>
      </c>
      <c r="H35">
        <v>191</v>
      </c>
      <c r="I35">
        <v>9</v>
      </c>
      <c r="J35" t="s">
        <v>35</v>
      </c>
      <c r="K35" t="s">
        <v>33</v>
      </c>
      <c r="L35" t="s">
        <v>42</v>
      </c>
      <c r="M35" t="s">
        <v>39</v>
      </c>
      <c r="N35">
        <v>0</v>
      </c>
      <c r="O35">
        <v>1</v>
      </c>
      <c r="P35" s="8">
        <f>INT(Delivery_data[[#This Row],[Order Timestamp]])</f>
        <v>45175</v>
      </c>
      <c r="Q35" t="str">
        <f ca="1">IF(Delivery_data[[#This Row],[Order Status]]="In Progress", TODAY()-Delivery_data[[#This Row],[Order Date]], "")</f>
        <v/>
      </c>
      <c r="R35">
        <f>IF(Delivery_data[[#This Row],[On Time]]=1,0,1)</f>
        <v>1</v>
      </c>
    </row>
    <row r="36" spans="1:18" x14ac:dyDescent="0.35">
      <c r="A36">
        <v>1337</v>
      </c>
      <c r="B36" t="s">
        <v>97</v>
      </c>
      <c r="C36" s="1">
        <v>45176.37222222222</v>
      </c>
      <c r="D36" t="s">
        <v>25</v>
      </c>
      <c r="E36" t="s">
        <v>98</v>
      </c>
      <c r="F36" t="s">
        <v>18</v>
      </c>
      <c r="G36" t="s">
        <v>19</v>
      </c>
      <c r="H36">
        <v>67</v>
      </c>
      <c r="I36">
        <v>2</v>
      </c>
      <c r="J36" t="s">
        <v>35</v>
      </c>
      <c r="K36" t="s">
        <v>21</v>
      </c>
      <c r="L36" t="s">
        <v>42</v>
      </c>
      <c r="M36" t="s">
        <v>23</v>
      </c>
      <c r="N36">
        <v>0</v>
      </c>
      <c r="O36">
        <v>1</v>
      </c>
      <c r="P36" s="8">
        <f>INT(Delivery_data[[#This Row],[Order Timestamp]])</f>
        <v>45176</v>
      </c>
      <c r="Q36" t="str">
        <f ca="1">IF(Delivery_data[[#This Row],[Order Status]]="In Progress", TODAY()-Delivery_data[[#This Row],[Order Date]], "")</f>
        <v/>
      </c>
      <c r="R36">
        <f>IF(Delivery_data[[#This Row],[On Time]]=1,0,1)</f>
        <v>1</v>
      </c>
    </row>
    <row r="37" spans="1:18" x14ac:dyDescent="0.35">
      <c r="A37">
        <v>1353</v>
      </c>
      <c r="B37" t="s">
        <v>99</v>
      </c>
      <c r="C37" s="1">
        <v>45176.427777777775</v>
      </c>
      <c r="D37" t="s">
        <v>25</v>
      </c>
      <c r="E37" t="s">
        <v>100</v>
      </c>
      <c r="F37" t="s">
        <v>18</v>
      </c>
      <c r="G37" t="s">
        <v>19</v>
      </c>
      <c r="H37">
        <v>83</v>
      </c>
      <c r="I37">
        <v>19</v>
      </c>
      <c r="J37" t="s">
        <v>20</v>
      </c>
      <c r="K37" t="s">
        <v>51</v>
      </c>
      <c r="L37" t="s">
        <v>29</v>
      </c>
      <c r="M37" t="s">
        <v>30</v>
      </c>
      <c r="N37">
        <v>0</v>
      </c>
      <c r="O37">
        <v>0</v>
      </c>
      <c r="P37" s="8">
        <f>INT(Delivery_data[[#This Row],[Order Timestamp]])</f>
        <v>45176</v>
      </c>
      <c r="Q37" t="str">
        <f ca="1">IF(Delivery_data[[#This Row],[Order Status]]="In Progress", TODAY()-Delivery_data[[#This Row],[Order Date]], "")</f>
        <v/>
      </c>
      <c r="R37">
        <f>IF(Delivery_data[[#This Row],[On Time]]=1,0,1)</f>
        <v>1</v>
      </c>
    </row>
    <row r="38" spans="1:18" x14ac:dyDescent="0.35">
      <c r="A38">
        <v>1361</v>
      </c>
      <c r="B38" t="s">
        <v>101</v>
      </c>
      <c r="C38" s="1">
        <v>45176.656944444447</v>
      </c>
      <c r="D38" t="s">
        <v>25</v>
      </c>
      <c r="E38" t="s">
        <v>102</v>
      </c>
      <c r="F38" t="s">
        <v>18</v>
      </c>
      <c r="G38" t="s">
        <v>19</v>
      </c>
      <c r="H38">
        <v>189</v>
      </c>
      <c r="I38">
        <v>3</v>
      </c>
      <c r="J38" t="s">
        <v>35</v>
      </c>
      <c r="K38" t="s">
        <v>38</v>
      </c>
      <c r="L38" t="s">
        <v>42</v>
      </c>
      <c r="M38" t="s">
        <v>23</v>
      </c>
      <c r="N38">
        <v>0</v>
      </c>
      <c r="O38">
        <v>1</v>
      </c>
      <c r="P38" s="8">
        <f>INT(Delivery_data[[#This Row],[Order Timestamp]])</f>
        <v>45176</v>
      </c>
      <c r="Q38" t="str">
        <f ca="1">IF(Delivery_data[[#This Row],[Order Status]]="In Progress", TODAY()-Delivery_data[[#This Row],[Order Date]], "")</f>
        <v/>
      </c>
      <c r="R38">
        <f>IF(Delivery_data[[#This Row],[On Time]]=1,0,1)</f>
        <v>1</v>
      </c>
    </row>
    <row r="39" spans="1:18" x14ac:dyDescent="0.35">
      <c r="A39">
        <v>1374</v>
      </c>
      <c r="B39" t="s">
        <v>103</v>
      </c>
      <c r="C39" s="1">
        <v>45172.40902777778</v>
      </c>
      <c r="D39" t="s">
        <v>16</v>
      </c>
      <c r="E39" t="s">
        <v>104</v>
      </c>
      <c r="F39" t="s">
        <v>18</v>
      </c>
      <c r="G39" t="s">
        <v>19</v>
      </c>
      <c r="H39">
        <v>108</v>
      </c>
      <c r="I39">
        <v>20</v>
      </c>
      <c r="J39" t="s">
        <v>20</v>
      </c>
      <c r="K39" t="s">
        <v>38</v>
      </c>
      <c r="L39" t="s">
        <v>22</v>
      </c>
      <c r="M39" t="s">
        <v>23</v>
      </c>
      <c r="N39">
        <v>0</v>
      </c>
      <c r="O39">
        <v>0</v>
      </c>
      <c r="P39" s="8">
        <f>INT(Delivery_data[[#This Row],[Order Timestamp]])</f>
        <v>45172</v>
      </c>
      <c r="Q39">
        <f ca="1">IF(Delivery_data[[#This Row],[Order Status]]="In Progress", TODAY()-Delivery_data[[#This Row],[Order Date]], "")</f>
        <v>811</v>
      </c>
      <c r="R39">
        <f>IF(Delivery_data[[#This Row],[On Time]]=1,0,1)</f>
        <v>1</v>
      </c>
    </row>
    <row r="40" spans="1:18" x14ac:dyDescent="0.35">
      <c r="A40">
        <v>1385</v>
      </c>
      <c r="B40" t="s">
        <v>105</v>
      </c>
      <c r="C40" s="1">
        <v>45177.613888888889</v>
      </c>
      <c r="D40" t="s">
        <v>25</v>
      </c>
      <c r="E40" t="s">
        <v>80</v>
      </c>
      <c r="F40" t="s">
        <v>18</v>
      </c>
      <c r="G40" t="s">
        <v>19</v>
      </c>
      <c r="H40">
        <v>192</v>
      </c>
      <c r="I40">
        <v>14</v>
      </c>
      <c r="J40" t="s">
        <v>27</v>
      </c>
      <c r="K40" t="s">
        <v>38</v>
      </c>
      <c r="L40" t="s">
        <v>22</v>
      </c>
      <c r="M40" t="s">
        <v>30</v>
      </c>
      <c r="N40">
        <v>0</v>
      </c>
      <c r="O40">
        <v>0</v>
      </c>
      <c r="P40" s="8">
        <f>INT(Delivery_data[[#This Row],[Order Timestamp]])</f>
        <v>45177</v>
      </c>
      <c r="Q40" t="str">
        <f ca="1">IF(Delivery_data[[#This Row],[Order Status]]="In Progress", TODAY()-Delivery_data[[#This Row],[Order Date]], "")</f>
        <v/>
      </c>
      <c r="R40">
        <f>IF(Delivery_data[[#This Row],[On Time]]=1,0,1)</f>
        <v>1</v>
      </c>
    </row>
    <row r="41" spans="1:18" x14ac:dyDescent="0.35">
      <c r="A41">
        <v>1393</v>
      </c>
      <c r="B41" t="s">
        <v>106</v>
      </c>
      <c r="C41" s="1">
        <v>45171.348611111112</v>
      </c>
      <c r="D41" t="s">
        <v>25</v>
      </c>
      <c r="E41" t="s">
        <v>80</v>
      </c>
      <c r="F41" t="s">
        <v>18</v>
      </c>
      <c r="G41" t="s">
        <v>19</v>
      </c>
      <c r="H41">
        <v>205</v>
      </c>
      <c r="I41">
        <v>15</v>
      </c>
      <c r="J41" t="s">
        <v>35</v>
      </c>
      <c r="K41" t="s">
        <v>33</v>
      </c>
      <c r="L41" t="s">
        <v>22</v>
      </c>
      <c r="M41" t="s">
        <v>30</v>
      </c>
      <c r="N41">
        <v>0</v>
      </c>
      <c r="O41">
        <v>1</v>
      </c>
      <c r="P41" s="8">
        <f>INT(Delivery_data[[#This Row],[Order Timestamp]])</f>
        <v>45171</v>
      </c>
      <c r="Q41" t="str">
        <f ca="1">IF(Delivery_data[[#This Row],[Order Status]]="In Progress", TODAY()-Delivery_data[[#This Row],[Order Date]], "")</f>
        <v/>
      </c>
      <c r="R41">
        <f>IF(Delivery_data[[#This Row],[On Time]]=1,0,1)</f>
        <v>1</v>
      </c>
    </row>
    <row r="42" spans="1:18" x14ac:dyDescent="0.35">
      <c r="A42">
        <v>1397</v>
      </c>
      <c r="B42" t="s">
        <v>107</v>
      </c>
      <c r="C42" s="1">
        <v>45175.476388888892</v>
      </c>
      <c r="D42" t="s">
        <v>16</v>
      </c>
      <c r="E42" t="s">
        <v>108</v>
      </c>
      <c r="F42" t="s">
        <v>18</v>
      </c>
      <c r="G42" t="s">
        <v>19</v>
      </c>
      <c r="H42">
        <v>64</v>
      </c>
      <c r="I42">
        <v>12</v>
      </c>
      <c r="J42" t="s">
        <v>35</v>
      </c>
      <c r="K42" t="s">
        <v>51</v>
      </c>
      <c r="L42" t="s">
        <v>29</v>
      </c>
      <c r="M42" t="s">
        <v>23</v>
      </c>
      <c r="N42">
        <v>0</v>
      </c>
      <c r="O42">
        <v>1</v>
      </c>
      <c r="P42" s="8">
        <f>INT(Delivery_data[[#This Row],[Order Timestamp]])</f>
        <v>45175</v>
      </c>
      <c r="Q42">
        <f ca="1">IF(Delivery_data[[#This Row],[Order Status]]="In Progress", TODAY()-Delivery_data[[#This Row],[Order Date]], "")</f>
        <v>808</v>
      </c>
      <c r="R42">
        <f>IF(Delivery_data[[#This Row],[On Time]]=1,0,1)</f>
        <v>1</v>
      </c>
    </row>
    <row r="43" spans="1:18" x14ac:dyDescent="0.35">
      <c r="A43">
        <v>1410</v>
      </c>
      <c r="B43" t="s">
        <v>109</v>
      </c>
      <c r="C43" s="1">
        <v>45176.513888888891</v>
      </c>
      <c r="D43" t="s">
        <v>25</v>
      </c>
      <c r="E43" t="s">
        <v>110</v>
      </c>
      <c r="F43" t="s">
        <v>18</v>
      </c>
      <c r="G43" t="s">
        <v>19</v>
      </c>
      <c r="H43">
        <v>199</v>
      </c>
      <c r="I43">
        <v>3</v>
      </c>
      <c r="J43" t="s">
        <v>35</v>
      </c>
      <c r="K43" t="s">
        <v>51</v>
      </c>
      <c r="L43" t="s">
        <v>42</v>
      </c>
      <c r="M43" t="s">
        <v>23</v>
      </c>
      <c r="N43">
        <v>0</v>
      </c>
      <c r="O43">
        <v>1</v>
      </c>
      <c r="P43" s="8">
        <f>INT(Delivery_data[[#This Row],[Order Timestamp]])</f>
        <v>45176</v>
      </c>
      <c r="Q43" t="str">
        <f ca="1">IF(Delivery_data[[#This Row],[Order Status]]="In Progress", TODAY()-Delivery_data[[#This Row],[Order Date]], "")</f>
        <v/>
      </c>
      <c r="R43">
        <f>IF(Delivery_data[[#This Row],[On Time]]=1,0,1)</f>
        <v>1</v>
      </c>
    </row>
    <row r="44" spans="1:18" x14ac:dyDescent="0.35">
      <c r="A44">
        <v>1424</v>
      </c>
      <c r="B44" t="s">
        <v>111</v>
      </c>
      <c r="C44" s="1">
        <v>45176.363888888889</v>
      </c>
      <c r="D44" t="s">
        <v>25</v>
      </c>
      <c r="E44" t="s">
        <v>37</v>
      </c>
      <c r="F44" t="s">
        <v>18</v>
      </c>
      <c r="G44" t="s">
        <v>19</v>
      </c>
      <c r="H44">
        <v>69</v>
      </c>
      <c r="I44">
        <v>8</v>
      </c>
      <c r="J44" t="s">
        <v>27</v>
      </c>
      <c r="K44" t="s">
        <v>51</v>
      </c>
      <c r="L44" t="s">
        <v>42</v>
      </c>
      <c r="M44" t="s">
        <v>23</v>
      </c>
      <c r="N44">
        <v>0</v>
      </c>
      <c r="O44">
        <v>0</v>
      </c>
      <c r="P44" s="8">
        <f>INT(Delivery_data[[#This Row],[Order Timestamp]])</f>
        <v>45176</v>
      </c>
      <c r="Q44" t="str">
        <f ca="1">IF(Delivery_data[[#This Row],[Order Status]]="In Progress", TODAY()-Delivery_data[[#This Row],[Order Date]], "")</f>
        <v/>
      </c>
      <c r="R44">
        <f>IF(Delivery_data[[#This Row],[On Time]]=1,0,1)</f>
        <v>1</v>
      </c>
    </row>
    <row r="45" spans="1:18" x14ac:dyDescent="0.35">
      <c r="A45">
        <v>1425</v>
      </c>
      <c r="B45" t="s">
        <v>112</v>
      </c>
      <c r="C45" s="1">
        <v>45172.45416666667</v>
      </c>
      <c r="D45" t="s">
        <v>25</v>
      </c>
      <c r="E45" t="s">
        <v>113</v>
      </c>
      <c r="F45" t="s">
        <v>18</v>
      </c>
      <c r="G45" t="s">
        <v>19</v>
      </c>
      <c r="H45">
        <v>194</v>
      </c>
      <c r="I45">
        <v>12</v>
      </c>
      <c r="J45" t="s">
        <v>27</v>
      </c>
      <c r="K45" t="s">
        <v>51</v>
      </c>
      <c r="L45" t="s">
        <v>29</v>
      </c>
      <c r="M45" t="s">
        <v>39</v>
      </c>
      <c r="N45">
        <v>0</v>
      </c>
      <c r="O45">
        <v>0</v>
      </c>
      <c r="P45" s="8">
        <f>INT(Delivery_data[[#This Row],[Order Timestamp]])</f>
        <v>45172</v>
      </c>
      <c r="Q45" t="str">
        <f ca="1">IF(Delivery_data[[#This Row],[Order Status]]="In Progress", TODAY()-Delivery_data[[#This Row],[Order Date]], "")</f>
        <v/>
      </c>
      <c r="R45">
        <f>IF(Delivery_data[[#This Row],[On Time]]=1,0,1)</f>
        <v>1</v>
      </c>
    </row>
    <row r="46" spans="1:18" x14ac:dyDescent="0.35">
      <c r="A46">
        <v>1448</v>
      </c>
      <c r="B46" t="s">
        <v>114</v>
      </c>
      <c r="C46" s="1">
        <v>45173.63958333333</v>
      </c>
      <c r="D46" t="s">
        <v>25</v>
      </c>
      <c r="E46" t="s">
        <v>115</v>
      </c>
      <c r="F46" t="s">
        <v>18</v>
      </c>
      <c r="G46" t="s">
        <v>19</v>
      </c>
      <c r="H46">
        <v>206</v>
      </c>
      <c r="I46">
        <v>3</v>
      </c>
      <c r="J46" t="s">
        <v>20</v>
      </c>
      <c r="K46" t="s">
        <v>21</v>
      </c>
      <c r="L46" t="s">
        <v>22</v>
      </c>
      <c r="M46" t="s">
        <v>39</v>
      </c>
      <c r="N46">
        <v>0</v>
      </c>
      <c r="O46">
        <v>0</v>
      </c>
      <c r="P46" s="8">
        <f>INT(Delivery_data[[#This Row],[Order Timestamp]])</f>
        <v>45173</v>
      </c>
      <c r="Q46" t="str">
        <f ca="1">IF(Delivery_data[[#This Row],[Order Status]]="In Progress", TODAY()-Delivery_data[[#This Row],[Order Date]], "")</f>
        <v/>
      </c>
      <c r="R46">
        <f>IF(Delivery_data[[#This Row],[On Time]]=1,0,1)</f>
        <v>1</v>
      </c>
    </row>
    <row r="47" spans="1:18" x14ac:dyDescent="0.35">
      <c r="A47">
        <v>1475</v>
      </c>
      <c r="B47" t="s">
        <v>116</v>
      </c>
      <c r="C47" s="1">
        <v>45173.35</v>
      </c>
      <c r="D47" t="s">
        <v>25</v>
      </c>
      <c r="E47" t="s">
        <v>117</v>
      </c>
      <c r="F47" t="s">
        <v>18</v>
      </c>
      <c r="G47" t="s">
        <v>19</v>
      </c>
      <c r="H47">
        <v>79</v>
      </c>
      <c r="I47">
        <v>10</v>
      </c>
      <c r="J47" t="s">
        <v>20</v>
      </c>
      <c r="K47" t="s">
        <v>33</v>
      </c>
      <c r="L47" t="s">
        <v>42</v>
      </c>
      <c r="M47" t="s">
        <v>23</v>
      </c>
      <c r="N47">
        <v>0</v>
      </c>
      <c r="O47">
        <v>0</v>
      </c>
      <c r="P47" s="8">
        <f>INT(Delivery_data[[#This Row],[Order Timestamp]])</f>
        <v>45173</v>
      </c>
      <c r="Q47" t="str">
        <f ca="1">IF(Delivery_data[[#This Row],[Order Status]]="In Progress", TODAY()-Delivery_data[[#This Row],[Order Date]], "")</f>
        <v/>
      </c>
      <c r="R47">
        <f>IF(Delivery_data[[#This Row],[On Time]]=1,0,1)</f>
        <v>1</v>
      </c>
    </row>
    <row r="48" spans="1:18" x14ac:dyDescent="0.35">
      <c r="A48">
        <v>1479</v>
      </c>
      <c r="B48" t="s">
        <v>118</v>
      </c>
      <c r="C48" s="1">
        <v>45170.5</v>
      </c>
      <c r="D48" t="s">
        <v>16</v>
      </c>
      <c r="E48" t="s">
        <v>100</v>
      </c>
      <c r="F48" t="s">
        <v>18</v>
      </c>
      <c r="G48" t="s">
        <v>19</v>
      </c>
      <c r="H48">
        <v>184</v>
      </c>
      <c r="I48">
        <v>19</v>
      </c>
      <c r="J48" t="s">
        <v>20</v>
      </c>
      <c r="K48" t="s">
        <v>38</v>
      </c>
      <c r="L48" t="s">
        <v>22</v>
      </c>
      <c r="M48" t="s">
        <v>23</v>
      </c>
      <c r="N48">
        <v>0</v>
      </c>
      <c r="O48">
        <v>0</v>
      </c>
      <c r="P48" s="8">
        <f>INT(Delivery_data[[#This Row],[Order Timestamp]])</f>
        <v>45170</v>
      </c>
      <c r="Q48">
        <f ca="1">IF(Delivery_data[[#This Row],[Order Status]]="In Progress", TODAY()-Delivery_data[[#This Row],[Order Date]], "")</f>
        <v>813</v>
      </c>
      <c r="R48">
        <f>IF(Delivery_data[[#This Row],[On Time]]=1,0,1)</f>
        <v>1</v>
      </c>
    </row>
    <row r="49" spans="1:18" x14ac:dyDescent="0.35">
      <c r="A49">
        <v>1481</v>
      </c>
      <c r="B49" t="s">
        <v>119</v>
      </c>
      <c r="C49" s="1">
        <v>45177.602777777778</v>
      </c>
      <c r="D49" t="s">
        <v>16</v>
      </c>
      <c r="E49" t="s">
        <v>37</v>
      </c>
      <c r="F49" t="s">
        <v>18</v>
      </c>
      <c r="G49" t="s">
        <v>19</v>
      </c>
      <c r="H49">
        <v>128</v>
      </c>
      <c r="I49">
        <v>13</v>
      </c>
      <c r="J49" t="s">
        <v>27</v>
      </c>
      <c r="K49" t="s">
        <v>21</v>
      </c>
      <c r="L49" t="s">
        <v>22</v>
      </c>
      <c r="M49" t="s">
        <v>30</v>
      </c>
      <c r="N49">
        <v>0</v>
      </c>
      <c r="O49">
        <v>0</v>
      </c>
      <c r="P49" s="8">
        <f>INT(Delivery_data[[#This Row],[Order Timestamp]])</f>
        <v>45177</v>
      </c>
      <c r="Q49">
        <f ca="1">IF(Delivery_data[[#This Row],[Order Status]]="In Progress", TODAY()-Delivery_data[[#This Row],[Order Date]], "")</f>
        <v>806</v>
      </c>
      <c r="R49">
        <f>IF(Delivery_data[[#This Row],[On Time]]=1,0,1)</f>
        <v>1</v>
      </c>
    </row>
    <row r="50" spans="1:18" x14ac:dyDescent="0.35">
      <c r="A50">
        <v>1498</v>
      </c>
      <c r="B50" t="s">
        <v>120</v>
      </c>
      <c r="C50" s="1">
        <v>45174.629166666666</v>
      </c>
      <c r="D50" t="s">
        <v>25</v>
      </c>
      <c r="E50" t="s">
        <v>121</v>
      </c>
      <c r="F50" t="s">
        <v>18</v>
      </c>
      <c r="G50" t="s">
        <v>19</v>
      </c>
      <c r="H50">
        <v>181</v>
      </c>
      <c r="I50">
        <v>2</v>
      </c>
      <c r="J50" t="s">
        <v>27</v>
      </c>
      <c r="K50" t="s">
        <v>33</v>
      </c>
      <c r="L50" t="s">
        <v>42</v>
      </c>
      <c r="M50" t="s">
        <v>39</v>
      </c>
      <c r="N50">
        <v>0</v>
      </c>
      <c r="O50">
        <v>0</v>
      </c>
      <c r="P50" s="8">
        <f>INT(Delivery_data[[#This Row],[Order Timestamp]])</f>
        <v>45174</v>
      </c>
      <c r="Q50" t="str">
        <f ca="1">IF(Delivery_data[[#This Row],[Order Status]]="In Progress", TODAY()-Delivery_data[[#This Row],[Order Date]], "")</f>
        <v/>
      </c>
      <c r="R50">
        <f>IF(Delivery_data[[#This Row],[On Time]]=1,0,1)</f>
        <v>1</v>
      </c>
    </row>
    <row r="51" spans="1:18" x14ac:dyDescent="0.35">
      <c r="A51">
        <v>1500</v>
      </c>
      <c r="B51" t="s">
        <v>122</v>
      </c>
      <c r="C51" s="1">
        <v>45173.51666666667</v>
      </c>
      <c r="D51" t="s">
        <v>16</v>
      </c>
      <c r="E51" t="s">
        <v>72</v>
      </c>
      <c r="F51" t="s">
        <v>18</v>
      </c>
      <c r="G51" t="s">
        <v>19</v>
      </c>
      <c r="H51">
        <v>85</v>
      </c>
      <c r="I51">
        <v>7</v>
      </c>
      <c r="J51" t="s">
        <v>35</v>
      </c>
      <c r="K51" t="s">
        <v>28</v>
      </c>
      <c r="L51" t="s">
        <v>29</v>
      </c>
      <c r="M51" t="s">
        <v>23</v>
      </c>
      <c r="N51">
        <v>0</v>
      </c>
      <c r="O51">
        <v>1</v>
      </c>
      <c r="P51" s="8">
        <f>INT(Delivery_data[[#This Row],[Order Timestamp]])</f>
        <v>45173</v>
      </c>
      <c r="Q51">
        <f ca="1">IF(Delivery_data[[#This Row],[Order Status]]="In Progress", TODAY()-Delivery_data[[#This Row],[Order Date]], "")</f>
        <v>810</v>
      </c>
      <c r="R51">
        <f>IF(Delivery_data[[#This Row],[On Time]]=1,0,1)</f>
        <v>1</v>
      </c>
    </row>
    <row r="52" spans="1:18" x14ac:dyDescent="0.35">
      <c r="A52">
        <v>1510</v>
      </c>
      <c r="B52" t="s">
        <v>123</v>
      </c>
      <c r="C52" s="1">
        <v>45170.46597222222</v>
      </c>
      <c r="D52" t="s">
        <v>16</v>
      </c>
      <c r="E52" t="s">
        <v>60</v>
      </c>
      <c r="F52" t="s">
        <v>18</v>
      </c>
      <c r="G52" t="s">
        <v>19</v>
      </c>
      <c r="H52">
        <v>209</v>
      </c>
      <c r="I52">
        <v>9</v>
      </c>
      <c r="J52" t="s">
        <v>27</v>
      </c>
      <c r="K52" t="s">
        <v>21</v>
      </c>
      <c r="L52" t="s">
        <v>42</v>
      </c>
      <c r="M52" t="s">
        <v>23</v>
      </c>
      <c r="N52">
        <v>0</v>
      </c>
      <c r="O52">
        <v>0</v>
      </c>
      <c r="P52" s="8">
        <f>INT(Delivery_data[[#This Row],[Order Timestamp]])</f>
        <v>45170</v>
      </c>
      <c r="Q52">
        <f ca="1">IF(Delivery_data[[#This Row],[Order Status]]="In Progress", TODAY()-Delivery_data[[#This Row],[Order Date]], "")</f>
        <v>813</v>
      </c>
      <c r="R52">
        <f>IF(Delivery_data[[#This Row],[On Time]]=1,0,1)</f>
        <v>1</v>
      </c>
    </row>
    <row r="53" spans="1:18" x14ac:dyDescent="0.35">
      <c r="A53">
        <v>1516</v>
      </c>
      <c r="B53" t="s">
        <v>124</v>
      </c>
      <c r="C53" s="1">
        <v>45176.336111111108</v>
      </c>
      <c r="D53" t="s">
        <v>25</v>
      </c>
      <c r="E53" t="s">
        <v>87</v>
      </c>
      <c r="F53" t="s">
        <v>18</v>
      </c>
      <c r="G53" t="s">
        <v>19</v>
      </c>
      <c r="H53">
        <v>172</v>
      </c>
      <c r="I53">
        <v>3</v>
      </c>
      <c r="J53" t="s">
        <v>27</v>
      </c>
      <c r="K53" t="s">
        <v>21</v>
      </c>
      <c r="L53" t="s">
        <v>29</v>
      </c>
      <c r="M53" t="s">
        <v>39</v>
      </c>
      <c r="N53">
        <v>0</v>
      </c>
      <c r="O53">
        <v>0</v>
      </c>
      <c r="P53" s="8">
        <f>INT(Delivery_data[[#This Row],[Order Timestamp]])</f>
        <v>45176</v>
      </c>
      <c r="Q53" t="str">
        <f ca="1">IF(Delivery_data[[#This Row],[Order Status]]="In Progress", TODAY()-Delivery_data[[#This Row],[Order Date]], "")</f>
        <v/>
      </c>
      <c r="R53">
        <f>IF(Delivery_data[[#This Row],[On Time]]=1,0,1)</f>
        <v>1</v>
      </c>
    </row>
    <row r="54" spans="1:18" x14ac:dyDescent="0.35">
      <c r="A54">
        <v>1540</v>
      </c>
      <c r="B54" t="s">
        <v>125</v>
      </c>
      <c r="C54" s="1">
        <v>45176.375</v>
      </c>
      <c r="D54" t="s">
        <v>16</v>
      </c>
      <c r="E54" t="s">
        <v>126</v>
      </c>
      <c r="F54" t="s">
        <v>18</v>
      </c>
      <c r="G54" t="s">
        <v>19</v>
      </c>
      <c r="H54">
        <v>231</v>
      </c>
      <c r="I54">
        <v>16</v>
      </c>
      <c r="J54" t="s">
        <v>35</v>
      </c>
      <c r="K54" t="s">
        <v>38</v>
      </c>
      <c r="L54" t="s">
        <v>42</v>
      </c>
      <c r="M54" t="s">
        <v>30</v>
      </c>
      <c r="N54">
        <v>0</v>
      </c>
      <c r="O54">
        <v>1</v>
      </c>
      <c r="P54" s="8">
        <f>INT(Delivery_data[[#This Row],[Order Timestamp]])</f>
        <v>45176</v>
      </c>
      <c r="Q54">
        <f ca="1">IF(Delivery_data[[#This Row],[Order Status]]="In Progress", TODAY()-Delivery_data[[#This Row],[Order Date]], "")</f>
        <v>807</v>
      </c>
      <c r="R54">
        <f>IF(Delivery_data[[#This Row],[On Time]]=1,0,1)</f>
        <v>1</v>
      </c>
    </row>
    <row r="55" spans="1:18" x14ac:dyDescent="0.35">
      <c r="A55">
        <v>1551</v>
      </c>
      <c r="B55" t="s">
        <v>127</v>
      </c>
      <c r="C55" s="1">
        <v>45177.433333333334</v>
      </c>
      <c r="D55" t="s">
        <v>16</v>
      </c>
      <c r="E55" t="s">
        <v>80</v>
      </c>
      <c r="F55" t="s">
        <v>18</v>
      </c>
      <c r="G55" t="s">
        <v>19</v>
      </c>
      <c r="H55">
        <v>173</v>
      </c>
      <c r="I55">
        <v>4</v>
      </c>
      <c r="J55" t="s">
        <v>27</v>
      </c>
      <c r="K55" t="s">
        <v>33</v>
      </c>
      <c r="L55" t="s">
        <v>42</v>
      </c>
      <c r="M55" t="s">
        <v>23</v>
      </c>
      <c r="N55">
        <v>0</v>
      </c>
      <c r="O55">
        <v>0</v>
      </c>
      <c r="P55" s="8">
        <f>INT(Delivery_data[[#This Row],[Order Timestamp]])</f>
        <v>45177</v>
      </c>
      <c r="Q55">
        <f ca="1">IF(Delivery_data[[#This Row],[Order Status]]="In Progress", TODAY()-Delivery_data[[#This Row],[Order Date]], "")</f>
        <v>806</v>
      </c>
      <c r="R55">
        <f>IF(Delivery_data[[#This Row],[On Time]]=1,0,1)</f>
        <v>1</v>
      </c>
    </row>
    <row r="56" spans="1:18" x14ac:dyDescent="0.35">
      <c r="A56">
        <v>1557</v>
      </c>
      <c r="B56" t="s">
        <v>128</v>
      </c>
      <c r="C56" s="1">
        <v>45177.432638888888</v>
      </c>
      <c r="D56" t="s">
        <v>16</v>
      </c>
      <c r="E56" t="s">
        <v>129</v>
      </c>
      <c r="F56" t="s">
        <v>18</v>
      </c>
      <c r="G56" t="s">
        <v>19</v>
      </c>
      <c r="H56">
        <v>75</v>
      </c>
      <c r="I56">
        <v>13</v>
      </c>
      <c r="J56" t="s">
        <v>20</v>
      </c>
      <c r="K56" t="s">
        <v>33</v>
      </c>
      <c r="L56" t="s">
        <v>29</v>
      </c>
      <c r="M56" t="s">
        <v>30</v>
      </c>
      <c r="N56">
        <v>0</v>
      </c>
      <c r="O56">
        <v>0</v>
      </c>
      <c r="P56" s="8">
        <f>INT(Delivery_data[[#This Row],[Order Timestamp]])</f>
        <v>45177</v>
      </c>
      <c r="Q56">
        <f ca="1">IF(Delivery_data[[#This Row],[Order Status]]="In Progress", TODAY()-Delivery_data[[#This Row],[Order Date]], "")</f>
        <v>806</v>
      </c>
      <c r="R56">
        <f>IF(Delivery_data[[#This Row],[On Time]]=1,0,1)</f>
        <v>1</v>
      </c>
    </row>
    <row r="57" spans="1:18" x14ac:dyDescent="0.35">
      <c r="A57">
        <v>1563</v>
      </c>
      <c r="B57" t="s">
        <v>130</v>
      </c>
      <c r="C57" s="1">
        <v>45174.583333333336</v>
      </c>
      <c r="D57" t="s">
        <v>25</v>
      </c>
      <c r="E57" t="s">
        <v>80</v>
      </c>
      <c r="F57" t="s">
        <v>18</v>
      </c>
      <c r="G57" t="s">
        <v>19</v>
      </c>
      <c r="H57">
        <v>69</v>
      </c>
      <c r="I57">
        <v>14</v>
      </c>
      <c r="J57" t="s">
        <v>27</v>
      </c>
      <c r="K57" t="s">
        <v>38</v>
      </c>
      <c r="L57" t="s">
        <v>29</v>
      </c>
      <c r="M57" t="s">
        <v>30</v>
      </c>
      <c r="N57">
        <v>0</v>
      </c>
      <c r="O57">
        <v>0</v>
      </c>
      <c r="P57" s="8">
        <f>INT(Delivery_data[[#This Row],[Order Timestamp]])</f>
        <v>45174</v>
      </c>
      <c r="Q57" t="str">
        <f ca="1">IF(Delivery_data[[#This Row],[Order Status]]="In Progress", TODAY()-Delivery_data[[#This Row],[Order Date]], "")</f>
        <v/>
      </c>
      <c r="R57">
        <f>IF(Delivery_data[[#This Row],[On Time]]=1,0,1)</f>
        <v>1</v>
      </c>
    </row>
    <row r="58" spans="1:18" x14ac:dyDescent="0.35">
      <c r="A58">
        <v>1564</v>
      </c>
      <c r="B58" t="s">
        <v>131</v>
      </c>
      <c r="C58" s="1">
        <v>45170.399305555555</v>
      </c>
      <c r="D58" t="s">
        <v>16</v>
      </c>
      <c r="E58" t="s">
        <v>108</v>
      </c>
      <c r="F58" t="s">
        <v>18</v>
      </c>
      <c r="G58" t="s">
        <v>19</v>
      </c>
      <c r="H58">
        <v>210</v>
      </c>
      <c r="I58">
        <v>1</v>
      </c>
      <c r="J58" t="s">
        <v>20</v>
      </c>
      <c r="K58" t="s">
        <v>38</v>
      </c>
      <c r="L58" t="s">
        <v>29</v>
      </c>
      <c r="M58" t="s">
        <v>39</v>
      </c>
      <c r="N58">
        <v>0</v>
      </c>
      <c r="O58">
        <v>0</v>
      </c>
      <c r="P58" s="8">
        <f>INT(Delivery_data[[#This Row],[Order Timestamp]])</f>
        <v>45170</v>
      </c>
      <c r="Q58">
        <f ca="1">IF(Delivery_data[[#This Row],[Order Status]]="In Progress", TODAY()-Delivery_data[[#This Row],[Order Date]], "")</f>
        <v>813</v>
      </c>
      <c r="R58">
        <f>IF(Delivery_data[[#This Row],[On Time]]=1,0,1)</f>
        <v>1</v>
      </c>
    </row>
    <row r="59" spans="1:18" x14ac:dyDescent="0.35">
      <c r="A59">
        <v>1600</v>
      </c>
      <c r="B59" t="s">
        <v>132</v>
      </c>
      <c r="C59" s="1">
        <v>45175.368055555555</v>
      </c>
      <c r="D59" t="s">
        <v>25</v>
      </c>
      <c r="E59" t="s">
        <v>87</v>
      </c>
      <c r="F59" t="s">
        <v>18</v>
      </c>
      <c r="G59" t="s">
        <v>19</v>
      </c>
      <c r="H59">
        <v>110</v>
      </c>
      <c r="I59">
        <v>20</v>
      </c>
      <c r="J59" t="s">
        <v>27</v>
      </c>
      <c r="K59" t="s">
        <v>51</v>
      </c>
      <c r="L59" t="s">
        <v>22</v>
      </c>
      <c r="M59" t="s">
        <v>23</v>
      </c>
      <c r="N59">
        <v>0</v>
      </c>
      <c r="O59">
        <v>0</v>
      </c>
      <c r="P59" s="8">
        <f>INT(Delivery_data[[#This Row],[Order Timestamp]])</f>
        <v>45175</v>
      </c>
      <c r="Q59" t="str">
        <f ca="1">IF(Delivery_data[[#This Row],[Order Status]]="In Progress", TODAY()-Delivery_data[[#This Row],[Order Date]], "")</f>
        <v/>
      </c>
      <c r="R59">
        <f>IF(Delivery_data[[#This Row],[On Time]]=1,0,1)</f>
        <v>1</v>
      </c>
    </row>
    <row r="60" spans="1:18" x14ac:dyDescent="0.35">
      <c r="A60">
        <v>1607</v>
      </c>
      <c r="B60" t="s">
        <v>133</v>
      </c>
      <c r="C60" s="1">
        <v>45177.551388888889</v>
      </c>
      <c r="D60" t="s">
        <v>25</v>
      </c>
      <c r="E60" t="s">
        <v>134</v>
      </c>
      <c r="F60" t="s">
        <v>18</v>
      </c>
      <c r="G60" t="s">
        <v>19</v>
      </c>
      <c r="H60">
        <v>61</v>
      </c>
      <c r="I60">
        <v>27</v>
      </c>
      <c r="J60" t="s">
        <v>20</v>
      </c>
      <c r="K60" t="s">
        <v>21</v>
      </c>
      <c r="L60" t="s">
        <v>29</v>
      </c>
      <c r="M60" t="s">
        <v>39</v>
      </c>
      <c r="N60">
        <v>0</v>
      </c>
      <c r="O60">
        <v>0</v>
      </c>
      <c r="P60" s="8">
        <f>INT(Delivery_data[[#This Row],[Order Timestamp]])</f>
        <v>45177</v>
      </c>
      <c r="Q60" t="str">
        <f ca="1">IF(Delivery_data[[#This Row],[Order Status]]="In Progress", TODAY()-Delivery_data[[#This Row],[Order Date]], "")</f>
        <v/>
      </c>
      <c r="R60">
        <f>IF(Delivery_data[[#This Row],[On Time]]=1,0,1)</f>
        <v>1</v>
      </c>
    </row>
    <row r="61" spans="1:18" x14ac:dyDescent="0.35">
      <c r="A61">
        <v>1609</v>
      </c>
      <c r="B61" t="s">
        <v>135</v>
      </c>
      <c r="C61" s="1">
        <v>45170.459722222222</v>
      </c>
      <c r="D61" t="s">
        <v>16</v>
      </c>
      <c r="E61" t="s">
        <v>136</v>
      </c>
      <c r="F61" t="s">
        <v>18</v>
      </c>
      <c r="G61" t="s">
        <v>19</v>
      </c>
      <c r="H61">
        <v>114</v>
      </c>
      <c r="I61">
        <v>15</v>
      </c>
      <c r="J61" t="s">
        <v>27</v>
      </c>
      <c r="K61" t="s">
        <v>33</v>
      </c>
      <c r="L61" t="s">
        <v>22</v>
      </c>
      <c r="M61" t="s">
        <v>30</v>
      </c>
      <c r="N61">
        <v>0</v>
      </c>
      <c r="O61">
        <v>0</v>
      </c>
      <c r="P61" s="8">
        <f>INT(Delivery_data[[#This Row],[Order Timestamp]])</f>
        <v>45170</v>
      </c>
      <c r="Q61">
        <f ca="1">IF(Delivery_data[[#This Row],[Order Status]]="In Progress", TODAY()-Delivery_data[[#This Row],[Order Date]], "")</f>
        <v>813</v>
      </c>
      <c r="R61">
        <f>IF(Delivery_data[[#This Row],[On Time]]=1,0,1)</f>
        <v>1</v>
      </c>
    </row>
    <row r="62" spans="1:18" x14ac:dyDescent="0.35">
      <c r="A62">
        <v>1616</v>
      </c>
      <c r="B62" t="s">
        <v>137</v>
      </c>
      <c r="C62" s="1">
        <v>45176.686805555553</v>
      </c>
      <c r="D62" t="s">
        <v>16</v>
      </c>
      <c r="E62" t="s">
        <v>44</v>
      </c>
      <c r="F62" t="s">
        <v>18</v>
      </c>
      <c r="G62" t="s">
        <v>19</v>
      </c>
      <c r="H62">
        <v>129</v>
      </c>
      <c r="I62">
        <v>16</v>
      </c>
      <c r="J62" t="s">
        <v>27</v>
      </c>
      <c r="K62" t="s">
        <v>38</v>
      </c>
      <c r="L62" t="s">
        <v>22</v>
      </c>
      <c r="M62" t="s">
        <v>23</v>
      </c>
      <c r="N62">
        <v>0</v>
      </c>
      <c r="O62">
        <v>0</v>
      </c>
      <c r="P62" s="8">
        <f>INT(Delivery_data[[#This Row],[Order Timestamp]])</f>
        <v>45176</v>
      </c>
      <c r="Q62">
        <f ca="1">IF(Delivery_data[[#This Row],[Order Status]]="In Progress", TODAY()-Delivery_data[[#This Row],[Order Date]], "")</f>
        <v>807</v>
      </c>
      <c r="R62">
        <f>IF(Delivery_data[[#This Row],[On Time]]=1,0,1)</f>
        <v>1</v>
      </c>
    </row>
    <row r="63" spans="1:18" x14ac:dyDescent="0.35">
      <c r="A63">
        <v>1619</v>
      </c>
      <c r="B63" t="s">
        <v>138</v>
      </c>
      <c r="C63" s="1">
        <v>45177.511805555558</v>
      </c>
      <c r="D63" t="s">
        <v>16</v>
      </c>
      <c r="E63" t="s">
        <v>139</v>
      </c>
      <c r="F63" t="s">
        <v>18</v>
      </c>
      <c r="G63" t="s">
        <v>19</v>
      </c>
      <c r="H63">
        <v>193</v>
      </c>
      <c r="I63">
        <v>2</v>
      </c>
      <c r="J63" t="s">
        <v>27</v>
      </c>
      <c r="K63" t="s">
        <v>21</v>
      </c>
      <c r="L63" t="s">
        <v>29</v>
      </c>
      <c r="M63" t="s">
        <v>30</v>
      </c>
      <c r="N63">
        <v>0</v>
      </c>
      <c r="O63">
        <v>0</v>
      </c>
      <c r="P63" s="8">
        <f>INT(Delivery_data[[#This Row],[Order Timestamp]])</f>
        <v>45177</v>
      </c>
      <c r="Q63">
        <f ca="1">IF(Delivery_data[[#This Row],[Order Status]]="In Progress", TODAY()-Delivery_data[[#This Row],[Order Date]], "")</f>
        <v>806</v>
      </c>
      <c r="R63">
        <f>IF(Delivery_data[[#This Row],[On Time]]=1,0,1)</f>
        <v>1</v>
      </c>
    </row>
    <row r="64" spans="1:18" x14ac:dyDescent="0.35">
      <c r="A64">
        <v>1630</v>
      </c>
      <c r="B64" t="s">
        <v>140</v>
      </c>
      <c r="C64" s="1">
        <v>45173.636111111111</v>
      </c>
      <c r="D64" t="s">
        <v>16</v>
      </c>
      <c r="E64" t="s">
        <v>108</v>
      </c>
      <c r="F64" t="s">
        <v>18</v>
      </c>
      <c r="G64" t="s">
        <v>19</v>
      </c>
      <c r="H64">
        <v>133</v>
      </c>
      <c r="I64">
        <v>16</v>
      </c>
      <c r="J64" t="s">
        <v>20</v>
      </c>
      <c r="K64" t="s">
        <v>51</v>
      </c>
      <c r="L64" t="s">
        <v>42</v>
      </c>
      <c r="M64" t="s">
        <v>23</v>
      </c>
      <c r="N64">
        <v>0</v>
      </c>
      <c r="O64">
        <v>0</v>
      </c>
      <c r="P64" s="8">
        <f>INT(Delivery_data[[#This Row],[Order Timestamp]])</f>
        <v>45173</v>
      </c>
      <c r="Q64">
        <f ca="1">IF(Delivery_data[[#This Row],[Order Status]]="In Progress", TODAY()-Delivery_data[[#This Row],[Order Date]], "")</f>
        <v>810</v>
      </c>
      <c r="R64">
        <f>IF(Delivery_data[[#This Row],[On Time]]=1,0,1)</f>
        <v>1</v>
      </c>
    </row>
    <row r="65" spans="1:18" x14ac:dyDescent="0.35">
      <c r="A65">
        <v>1654</v>
      </c>
      <c r="B65" t="s">
        <v>141</v>
      </c>
      <c r="C65" s="1">
        <v>45171.462500000001</v>
      </c>
      <c r="D65" t="s">
        <v>25</v>
      </c>
      <c r="E65" t="s">
        <v>102</v>
      </c>
      <c r="F65" t="s">
        <v>18</v>
      </c>
      <c r="G65" t="s">
        <v>19</v>
      </c>
      <c r="H65">
        <v>146</v>
      </c>
      <c r="I65">
        <v>27</v>
      </c>
      <c r="J65" t="s">
        <v>20</v>
      </c>
      <c r="K65" t="s">
        <v>38</v>
      </c>
      <c r="L65" t="s">
        <v>42</v>
      </c>
      <c r="M65" t="s">
        <v>23</v>
      </c>
      <c r="N65">
        <v>0</v>
      </c>
      <c r="O65">
        <v>0</v>
      </c>
      <c r="P65" s="8">
        <f>INT(Delivery_data[[#This Row],[Order Timestamp]])</f>
        <v>45171</v>
      </c>
      <c r="Q65" t="str">
        <f ca="1">IF(Delivery_data[[#This Row],[Order Status]]="In Progress", TODAY()-Delivery_data[[#This Row],[Order Date]], "")</f>
        <v/>
      </c>
      <c r="R65">
        <f>IF(Delivery_data[[#This Row],[On Time]]=1,0,1)</f>
        <v>1</v>
      </c>
    </row>
    <row r="66" spans="1:18" x14ac:dyDescent="0.35">
      <c r="A66">
        <v>1694</v>
      </c>
      <c r="B66" t="s">
        <v>142</v>
      </c>
      <c r="C66" s="1">
        <v>45177.351388888892</v>
      </c>
      <c r="D66" t="s">
        <v>16</v>
      </c>
      <c r="E66" t="s">
        <v>70</v>
      </c>
      <c r="F66" t="s">
        <v>18</v>
      </c>
      <c r="G66" t="s">
        <v>19</v>
      </c>
      <c r="H66">
        <v>173</v>
      </c>
      <c r="I66">
        <v>15</v>
      </c>
      <c r="J66" t="s">
        <v>20</v>
      </c>
      <c r="K66" t="s">
        <v>33</v>
      </c>
      <c r="L66" t="s">
        <v>42</v>
      </c>
      <c r="M66" t="s">
        <v>30</v>
      </c>
      <c r="N66">
        <v>0</v>
      </c>
      <c r="O66">
        <v>0</v>
      </c>
      <c r="P66" s="8">
        <f>INT(Delivery_data[[#This Row],[Order Timestamp]])</f>
        <v>45177</v>
      </c>
      <c r="Q66">
        <f ca="1">IF(Delivery_data[[#This Row],[Order Status]]="In Progress", TODAY()-Delivery_data[[#This Row],[Order Date]], "")</f>
        <v>806</v>
      </c>
      <c r="R66">
        <f>IF(Delivery_data[[#This Row],[On Time]]=1,0,1)</f>
        <v>1</v>
      </c>
    </row>
    <row r="67" spans="1:18" x14ac:dyDescent="0.35">
      <c r="A67">
        <v>1702</v>
      </c>
      <c r="B67" t="s">
        <v>143</v>
      </c>
      <c r="C67" s="1">
        <v>45174.48333333333</v>
      </c>
      <c r="D67" t="s">
        <v>25</v>
      </c>
      <c r="E67" t="s">
        <v>144</v>
      </c>
      <c r="F67" t="s">
        <v>18</v>
      </c>
      <c r="G67" t="s">
        <v>19</v>
      </c>
      <c r="H67">
        <v>69</v>
      </c>
      <c r="I67">
        <v>2</v>
      </c>
      <c r="J67" t="s">
        <v>35</v>
      </c>
      <c r="K67" t="s">
        <v>51</v>
      </c>
      <c r="L67" t="s">
        <v>22</v>
      </c>
      <c r="M67" t="s">
        <v>39</v>
      </c>
      <c r="N67">
        <v>0</v>
      </c>
      <c r="O67">
        <v>1</v>
      </c>
      <c r="P67" s="8">
        <f>INT(Delivery_data[[#This Row],[Order Timestamp]])</f>
        <v>45174</v>
      </c>
      <c r="Q67" t="str">
        <f ca="1">IF(Delivery_data[[#This Row],[Order Status]]="In Progress", TODAY()-Delivery_data[[#This Row],[Order Date]], "")</f>
        <v/>
      </c>
      <c r="R67">
        <f>IF(Delivery_data[[#This Row],[On Time]]=1,0,1)</f>
        <v>1</v>
      </c>
    </row>
    <row r="68" spans="1:18" x14ac:dyDescent="0.35">
      <c r="A68">
        <v>1732</v>
      </c>
      <c r="B68" t="s">
        <v>145</v>
      </c>
      <c r="C68" s="1">
        <v>45172.612500000003</v>
      </c>
      <c r="D68" t="s">
        <v>25</v>
      </c>
      <c r="E68" t="s">
        <v>66</v>
      </c>
      <c r="F68" t="s">
        <v>18</v>
      </c>
      <c r="G68" t="s">
        <v>19</v>
      </c>
      <c r="H68">
        <v>204</v>
      </c>
      <c r="I68">
        <v>3</v>
      </c>
      <c r="J68" t="s">
        <v>27</v>
      </c>
      <c r="K68" t="s">
        <v>38</v>
      </c>
      <c r="L68" t="s">
        <v>22</v>
      </c>
      <c r="M68" t="s">
        <v>39</v>
      </c>
      <c r="N68">
        <v>0</v>
      </c>
      <c r="O68">
        <v>0</v>
      </c>
      <c r="P68" s="8">
        <f>INT(Delivery_data[[#This Row],[Order Timestamp]])</f>
        <v>45172</v>
      </c>
      <c r="Q68" t="str">
        <f ca="1">IF(Delivery_data[[#This Row],[Order Status]]="In Progress", TODAY()-Delivery_data[[#This Row],[Order Date]], "")</f>
        <v/>
      </c>
      <c r="R68">
        <f>IF(Delivery_data[[#This Row],[On Time]]=1,0,1)</f>
        <v>1</v>
      </c>
    </row>
    <row r="69" spans="1:18" x14ac:dyDescent="0.35">
      <c r="A69">
        <v>1736</v>
      </c>
      <c r="B69" t="s">
        <v>146</v>
      </c>
      <c r="C69" s="1">
        <v>45177.520138888889</v>
      </c>
      <c r="D69" t="s">
        <v>16</v>
      </c>
      <c r="E69" t="s">
        <v>17</v>
      </c>
      <c r="F69" t="s">
        <v>18</v>
      </c>
      <c r="G69" t="s">
        <v>19</v>
      </c>
      <c r="H69">
        <v>100</v>
      </c>
      <c r="I69">
        <v>26</v>
      </c>
      <c r="J69" t="s">
        <v>20</v>
      </c>
      <c r="K69" t="s">
        <v>38</v>
      </c>
      <c r="L69" t="s">
        <v>42</v>
      </c>
      <c r="M69" t="s">
        <v>39</v>
      </c>
      <c r="N69">
        <v>0</v>
      </c>
      <c r="O69">
        <v>0</v>
      </c>
      <c r="P69" s="8">
        <f>INT(Delivery_data[[#This Row],[Order Timestamp]])</f>
        <v>45177</v>
      </c>
      <c r="Q69">
        <f ca="1">IF(Delivery_data[[#This Row],[Order Status]]="In Progress", TODAY()-Delivery_data[[#This Row],[Order Date]], "")</f>
        <v>806</v>
      </c>
      <c r="R69">
        <f>IF(Delivery_data[[#This Row],[On Time]]=1,0,1)</f>
        <v>1</v>
      </c>
    </row>
    <row r="70" spans="1:18" x14ac:dyDescent="0.35">
      <c r="A70">
        <v>1755</v>
      </c>
      <c r="B70" t="s">
        <v>147</v>
      </c>
      <c r="C70" s="1">
        <v>45176.399305555555</v>
      </c>
      <c r="D70" t="s">
        <v>16</v>
      </c>
      <c r="E70" t="s">
        <v>32</v>
      </c>
      <c r="F70" t="s">
        <v>18</v>
      </c>
      <c r="G70" t="s">
        <v>19</v>
      </c>
      <c r="H70">
        <v>143</v>
      </c>
      <c r="I70">
        <v>11</v>
      </c>
      <c r="J70" t="s">
        <v>27</v>
      </c>
      <c r="K70" t="s">
        <v>33</v>
      </c>
      <c r="L70" t="s">
        <v>22</v>
      </c>
      <c r="M70" t="s">
        <v>39</v>
      </c>
      <c r="N70">
        <v>0</v>
      </c>
      <c r="O70">
        <v>0</v>
      </c>
      <c r="P70" s="8">
        <f>INT(Delivery_data[[#This Row],[Order Timestamp]])</f>
        <v>45176</v>
      </c>
      <c r="Q70">
        <f ca="1">IF(Delivery_data[[#This Row],[Order Status]]="In Progress", TODAY()-Delivery_data[[#This Row],[Order Date]], "")</f>
        <v>807</v>
      </c>
      <c r="R70">
        <f>IF(Delivery_data[[#This Row],[On Time]]=1,0,1)</f>
        <v>1</v>
      </c>
    </row>
    <row r="71" spans="1:18" x14ac:dyDescent="0.35">
      <c r="A71">
        <v>1761</v>
      </c>
      <c r="B71" t="s">
        <v>148</v>
      </c>
      <c r="C71" s="1">
        <v>45170.631944444445</v>
      </c>
      <c r="D71" t="s">
        <v>25</v>
      </c>
      <c r="E71" t="s">
        <v>110</v>
      </c>
      <c r="F71" t="s">
        <v>18</v>
      </c>
      <c r="G71" t="s">
        <v>19</v>
      </c>
      <c r="H71">
        <v>207</v>
      </c>
      <c r="I71">
        <v>6</v>
      </c>
      <c r="J71" t="s">
        <v>20</v>
      </c>
      <c r="K71" t="s">
        <v>21</v>
      </c>
      <c r="L71" t="s">
        <v>42</v>
      </c>
      <c r="M71" t="s">
        <v>23</v>
      </c>
      <c r="N71">
        <v>0</v>
      </c>
      <c r="O71">
        <v>0</v>
      </c>
      <c r="P71" s="8">
        <f>INT(Delivery_data[[#This Row],[Order Timestamp]])</f>
        <v>45170</v>
      </c>
      <c r="Q71" t="str">
        <f ca="1">IF(Delivery_data[[#This Row],[Order Status]]="In Progress", TODAY()-Delivery_data[[#This Row],[Order Date]], "")</f>
        <v/>
      </c>
      <c r="R71">
        <f>IF(Delivery_data[[#This Row],[On Time]]=1,0,1)</f>
        <v>1</v>
      </c>
    </row>
    <row r="72" spans="1:18" x14ac:dyDescent="0.35">
      <c r="A72">
        <v>1776</v>
      </c>
      <c r="B72" t="s">
        <v>149</v>
      </c>
      <c r="C72" s="1">
        <v>45172.640277777777</v>
      </c>
      <c r="D72" t="s">
        <v>25</v>
      </c>
      <c r="E72" t="s">
        <v>46</v>
      </c>
      <c r="F72" t="s">
        <v>18</v>
      </c>
      <c r="G72" t="s">
        <v>19</v>
      </c>
      <c r="H72">
        <v>159</v>
      </c>
      <c r="I72">
        <v>22</v>
      </c>
      <c r="J72" t="s">
        <v>35</v>
      </c>
      <c r="K72" t="s">
        <v>21</v>
      </c>
      <c r="L72" t="s">
        <v>29</v>
      </c>
      <c r="M72" t="s">
        <v>30</v>
      </c>
      <c r="N72">
        <v>0</v>
      </c>
      <c r="O72">
        <v>1</v>
      </c>
      <c r="P72" s="8">
        <f>INT(Delivery_data[[#This Row],[Order Timestamp]])</f>
        <v>45172</v>
      </c>
      <c r="Q72" t="str">
        <f ca="1">IF(Delivery_data[[#This Row],[Order Status]]="In Progress", TODAY()-Delivery_data[[#This Row],[Order Date]], "")</f>
        <v/>
      </c>
      <c r="R72">
        <f>IF(Delivery_data[[#This Row],[On Time]]=1,0,1)</f>
        <v>1</v>
      </c>
    </row>
    <row r="73" spans="1:18" x14ac:dyDescent="0.35">
      <c r="A73">
        <v>1790</v>
      </c>
      <c r="B73" t="s">
        <v>150</v>
      </c>
      <c r="C73" s="1">
        <v>45176.638194444444</v>
      </c>
      <c r="D73" t="s">
        <v>25</v>
      </c>
      <c r="E73" t="s">
        <v>46</v>
      </c>
      <c r="F73" t="s">
        <v>18</v>
      </c>
      <c r="G73" t="s">
        <v>19</v>
      </c>
      <c r="H73">
        <v>146</v>
      </c>
      <c r="I73">
        <v>29</v>
      </c>
      <c r="J73" t="s">
        <v>35</v>
      </c>
      <c r="K73" t="s">
        <v>28</v>
      </c>
      <c r="L73" t="s">
        <v>22</v>
      </c>
      <c r="M73" t="s">
        <v>30</v>
      </c>
      <c r="N73">
        <v>0</v>
      </c>
      <c r="O73">
        <v>1</v>
      </c>
      <c r="P73" s="8">
        <f>INT(Delivery_data[[#This Row],[Order Timestamp]])</f>
        <v>45176</v>
      </c>
      <c r="Q73" t="str">
        <f ca="1">IF(Delivery_data[[#This Row],[Order Status]]="In Progress", TODAY()-Delivery_data[[#This Row],[Order Date]], "")</f>
        <v/>
      </c>
      <c r="R73">
        <f>IF(Delivery_data[[#This Row],[On Time]]=1,0,1)</f>
        <v>1</v>
      </c>
    </row>
    <row r="74" spans="1:18" x14ac:dyDescent="0.35">
      <c r="A74">
        <v>1814</v>
      </c>
      <c r="B74" t="s">
        <v>151</v>
      </c>
      <c r="C74" s="1">
        <v>45172.45416666667</v>
      </c>
      <c r="D74" t="s">
        <v>16</v>
      </c>
      <c r="E74" t="s">
        <v>152</v>
      </c>
      <c r="F74" t="s">
        <v>18</v>
      </c>
      <c r="G74" t="s">
        <v>19</v>
      </c>
      <c r="H74">
        <v>238</v>
      </c>
      <c r="I74">
        <v>27</v>
      </c>
      <c r="J74" t="s">
        <v>27</v>
      </c>
      <c r="K74" t="s">
        <v>28</v>
      </c>
      <c r="L74" t="s">
        <v>22</v>
      </c>
      <c r="M74" t="s">
        <v>23</v>
      </c>
      <c r="N74">
        <v>0</v>
      </c>
      <c r="O74">
        <v>0</v>
      </c>
      <c r="P74" s="8">
        <f>INT(Delivery_data[[#This Row],[Order Timestamp]])</f>
        <v>45172</v>
      </c>
      <c r="Q74">
        <f ca="1">IF(Delivery_data[[#This Row],[Order Status]]="In Progress", TODAY()-Delivery_data[[#This Row],[Order Date]], "")</f>
        <v>811</v>
      </c>
      <c r="R74">
        <f>IF(Delivery_data[[#This Row],[On Time]]=1,0,1)</f>
        <v>1</v>
      </c>
    </row>
    <row r="75" spans="1:18" x14ac:dyDescent="0.35">
      <c r="A75">
        <v>1820</v>
      </c>
      <c r="B75" t="s">
        <v>153</v>
      </c>
      <c r="C75" s="1">
        <v>45172.529861111114</v>
      </c>
      <c r="D75" t="s">
        <v>25</v>
      </c>
      <c r="E75" t="s">
        <v>136</v>
      </c>
      <c r="F75" t="s">
        <v>18</v>
      </c>
      <c r="G75" t="s">
        <v>19</v>
      </c>
      <c r="H75">
        <v>136</v>
      </c>
      <c r="I75">
        <v>22</v>
      </c>
      <c r="J75" t="s">
        <v>27</v>
      </c>
      <c r="K75" t="s">
        <v>38</v>
      </c>
      <c r="L75" t="s">
        <v>42</v>
      </c>
      <c r="M75" t="s">
        <v>39</v>
      </c>
      <c r="N75">
        <v>0</v>
      </c>
      <c r="O75">
        <v>0</v>
      </c>
      <c r="P75" s="8">
        <f>INT(Delivery_data[[#This Row],[Order Timestamp]])</f>
        <v>45172</v>
      </c>
      <c r="Q75" t="str">
        <f ca="1">IF(Delivery_data[[#This Row],[Order Status]]="In Progress", TODAY()-Delivery_data[[#This Row],[Order Date]], "")</f>
        <v/>
      </c>
      <c r="R75">
        <f>IF(Delivery_data[[#This Row],[On Time]]=1,0,1)</f>
        <v>1</v>
      </c>
    </row>
    <row r="76" spans="1:18" x14ac:dyDescent="0.35">
      <c r="A76">
        <v>1821</v>
      </c>
      <c r="B76" t="s">
        <v>154</v>
      </c>
      <c r="C76" s="1">
        <v>45170.404861111114</v>
      </c>
      <c r="D76" t="s">
        <v>16</v>
      </c>
      <c r="E76" t="s">
        <v>155</v>
      </c>
      <c r="F76" t="s">
        <v>18</v>
      </c>
      <c r="G76" t="s">
        <v>19</v>
      </c>
      <c r="H76">
        <v>142</v>
      </c>
      <c r="I76">
        <v>2</v>
      </c>
      <c r="J76" t="s">
        <v>20</v>
      </c>
      <c r="K76" t="s">
        <v>21</v>
      </c>
      <c r="L76" t="s">
        <v>29</v>
      </c>
      <c r="M76" t="s">
        <v>23</v>
      </c>
      <c r="N76">
        <v>0</v>
      </c>
      <c r="O76">
        <v>0</v>
      </c>
      <c r="P76" s="8">
        <f>INT(Delivery_data[[#This Row],[Order Timestamp]])</f>
        <v>45170</v>
      </c>
      <c r="Q76">
        <f ca="1">IF(Delivery_data[[#This Row],[Order Status]]="In Progress", TODAY()-Delivery_data[[#This Row],[Order Date]], "")</f>
        <v>813</v>
      </c>
      <c r="R76">
        <f>IF(Delivery_data[[#This Row],[On Time]]=1,0,1)</f>
        <v>1</v>
      </c>
    </row>
    <row r="77" spans="1:18" x14ac:dyDescent="0.35">
      <c r="A77">
        <v>1832</v>
      </c>
      <c r="B77" t="s">
        <v>156</v>
      </c>
      <c r="C77" s="1">
        <v>45174.46875</v>
      </c>
      <c r="D77" t="s">
        <v>25</v>
      </c>
      <c r="E77" t="s">
        <v>108</v>
      </c>
      <c r="F77" t="s">
        <v>18</v>
      </c>
      <c r="G77" t="s">
        <v>19</v>
      </c>
      <c r="H77">
        <v>171</v>
      </c>
      <c r="I77">
        <v>28</v>
      </c>
      <c r="J77" t="s">
        <v>35</v>
      </c>
      <c r="K77" t="s">
        <v>33</v>
      </c>
      <c r="L77" t="s">
        <v>42</v>
      </c>
      <c r="M77" t="s">
        <v>23</v>
      </c>
      <c r="N77">
        <v>0</v>
      </c>
      <c r="O77">
        <v>1</v>
      </c>
      <c r="P77" s="8">
        <f>INT(Delivery_data[[#This Row],[Order Timestamp]])</f>
        <v>45174</v>
      </c>
      <c r="Q77" t="str">
        <f ca="1">IF(Delivery_data[[#This Row],[Order Status]]="In Progress", TODAY()-Delivery_data[[#This Row],[Order Date]], "")</f>
        <v/>
      </c>
      <c r="R77">
        <f>IF(Delivery_data[[#This Row],[On Time]]=1,0,1)</f>
        <v>1</v>
      </c>
    </row>
    <row r="78" spans="1:18" x14ac:dyDescent="0.35">
      <c r="A78">
        <v>1888</v>
      </c>
      <c r="B78" t="s">
        <v>157</v>
      </c>
      <c r="C78" s="1">
        <v>45175.374305555553</v>
      </c>
      <c r="D78" t="s">
        <v>25</v>
      </c>
      <c r="E78" t="s">
        <v>158</v>
      </c>
      <c r="F78" t="s">
        <v>18</v>
      </c>
      <c r="G78" t="s">
        <v>19</v>
      </c>
      <c r="H78">
        <v>222</v>
      </c>
      <c r="I78">
        <v>27</v>
      </c>
      <c r="J78" t="s">
        <v>20</v>
      </c>
      <c r="K78" t="s">
        <v>28</v>
      </c>
      <c r="L78" t="s">
        <v>22</v>
      </c>
      <c r="M78" t="s">
        <v>30</v>
      </c>
      <c r="N78">
        <v>0</v>
      </c>
      <c r="O78">
        <v>0</v>
      </c>
      <c r="P78" s="8">
        <f>INT(Delivery_data[[#This Row],[Order Timestamp]])</f>
        <v>45175</v>
      </c>
      <c r="Q78" t="str">
        <f ca="1">IF(Delivery_data[[#This Row],[Order Status]]="In Progress", TODAY()-Delivery_data[[#This Row],[Order Date]], "")</f>
        <v/>
      </c>
      <c r="R78">
        <f>IF(Delivery_data[[#This Row],[On Time]]=1,0,1)</f>
        <v>1</v>
      </c>
    </row>
    <row r="79" spans="1:18" x14ac:dyDescent="0.35">
      <c r="A79">
        <v>1889</v>
      </c>
      <c r="B79" t="s">
        <v>159</v>
      </c>
      <c r="C79" s="1">
        <v>45177.452777777777</v>
      </c>
      <c r="D79" t="s">
        <v>16</v>
      </c>
      <c r="E79" t="s">
        <v>152</v>
      </c>
      <c r="F79" t="s">
        <v>18</v>
      </c>
      <c r="G79" t="s">
        <v>19</v>
      </c>
      <c r="H79">
        <v>91</v>
      </c>
      <c r="I79">
        <v>28</v>
      </c>
      <c r="J79" t="s">
        <v>27</v>
      </c>
      <c r="K79" t="s">
        <v>51</v>
      </c>
      <c r="L79" t="s">
        <v>29</v>
      </c>
      <c r="M79" t="s">
        <v>23</v>
      </c>
      <c r="N79">
        <v>0</v>
      </c>
      <c r="O79">
        <v>0</v>
      </c>
      <c r="P79" s="8">
        <f>INT(Delivery_data[[#This Row],[Order Timestamp]])</f>
        <v>45177</v>
      </c>
      <c r="Q79">
        <f ca="1">IF(Delivery_data[[#This Row],[Order Status]]="In Progress", TODAY()-Delivery_data[[#This Row],[Order Date]], "")</f>
        <v>806</v>
      </c>
      <c r="R79">
        <f>IF(Delivery_data[[#This Row],[On Time]]=1,0,1)</f>
        <v>1</v>
      </c>
    </row>
    <row r="80" spans="1:18" x14ac:dyDescent="0.35">
      <c r="A80">
        <v>1910</v>
      </c>
      <c r="B80" t="s">
        <v>160</v>
      </c>
      <c r="C80" s="1">
        <v>45173.498611111114</v>
      </c>
      <c r="D80" t="s">
        <v>25</v>
      </c>
      <c r="E80" t="s">
        <v>161</v>
      </c>
      <c r="F80" t="s">
        <v>18</v>
      </c>
      <c r="G80" t="s">
        <v>19</v>
      </c>
      <c r="H80">
        <v>204</v>
      </c>
      <c r="I80">
        <v>17</v>
      </c>
      <c r="J80" t="s">
        <v>27</v>
      </c>
      <c r="K80" t="s">
        <v>38</v>
      </c>
      <c r="L80" t="s">
        <v>22</v>
      </c>
      <c r="M80" t="s">
        <v>30</v>
      </c>
      <c r="N80">
        <v>0</v>
      </c>
      <c r="O80">
        <v>0</v>
      </c>
      <c r="P80" s="8">
        <f>INT(Delivery_data[[#This Row],[Order Timestamp]])</f>
        <v>45173</v>
      </c>
      <c r="Q80" t="str">
        <f ca="1">IF(Delivery_data[[#This Row],[Order Status]]="In Progress", TODAY()-Delivery_data[[#This Row],[Order Date]], "")</f>
        <v/>
      </c>
      <c r="R80">
        <f>IF(Delivery_data[[#This Row],[On Time]]=1,0,1)</f>
        <v>1</v>
      </c>
    </row>
    <row r="81" spans="1:18" x14ac:dyDescent="0.35">
      <c r="A81">
        <v>1913</v>
      </c>
      <c r="B81" t="s">
        <v>162</v>
      </c>
      <c r="C81" s="1">
        <v>45172.693055555559</v>
      </c>
      <c r="D81" t="s">
        <v>16</v>
      </c>
      <c r="E81" t="s">
        <v>58</v>
      </c>
      <c r="F81" t="s">
        <v>18</v>
      </c>
      <c r="G81" t="s">
        <v>19</v>
      </c>
      <c r="H81">
        <v>68</v>
      </c>
      <c r="I81">
        <v>14</v>
      </c>
      <c r="J81" t="s">
        <v>20</v>
      </c>
      <c r="K81" t="s">
        <v>21</v>
      </c>
      <c r="L81" t="s">
        <v>29</v>
      </c>
      <c r="M81" t="s">
        <v>23</v>
      </c>
      <c r="N81">
        <v>0</v>
      </c>
      <c r="O81">
        <v>0</v>
      </c>
      <c r="P81" s="8">
        <f>INT(Delivery_data[[#This Row],[Order Timestamp]])</f>
        <v>45172</v>
      </c>
      <c r="Q81">
        <f ca="1">IF(Delivery_data[[#This Row],[Order Status]]="In Progress", TODAY()-Delivery_data[[#This Row],[Order Date]], "")</f>
        <v>811</v>
      </c>
      <c r="R81">
        <f>IF(Delivery_data[[#This Row],[On Time]]=1,0,1)</f>
        <v>1</v>
      </c>
    </row>
    <row r="82" spans="1:18" x14ac:dyDescent="0.35">
      <c r="A82">
        <v>1924</v>
      </c>
      <c r="B82" t="s">
        <v>163</v>
      </c>
      <c r="C82" s="1">
        <v>45172.70208333333</v>
      </c>
      <c r="D82" t="s">
        <v>16</v>
      </c>
      <c r="E82" t="s">
        <v>115</v>
      </c>
      <c r="F82" t="s">
        <v>18</v>
      </c>
      <c r="G82" t="s">
        <v>19</v>
      </c>
      <c r="H82">
        <v>115</v>
      </c>
      <c r="I82">
        <v>9</v>
      </c>
      <c r="J82" t="s">
        <v>35</v>
      </c>
      <c r="K82" t="s">
        <v>21</v>
      </c>
      <c r="L82" t="s">
        <v>42</v>
      </c>
      <c r="M82" t="s">
        <v>23</v>
      </c>
      <c r="N82">
        <v>0</v>
      </c>
      <c r="O82">
        <v>1</v>
      </c>
      <c r="P82" s="8">
        <f>INT(Delivery_data[[#This Row],[Order Timestamp]])</f>
        <v>45172</v>
      </c>
      <c r="Q82">
        <f ca="1">IF(Delivery_data[[#This Row],[Order Status]]="In Progress", TODAY()-Delivery_data[[#This Row],[Order Date]], "")</f>
        <v>811</v>
      </c>
      <c r="R82">
        <f>IF(Delivery_data[[#This Row],[On Time]]=1,0,1)</f>
        <v>1</v>
      </c>
    </row>
    <row r="83" spans="1:18" x14ac:dyDescent="0.35">
      <c r="A83">
        <v>1928</v>
      </c>
      <c r="B83" t="s">
        <v>164</v>
      </c>
      <c r="C83" s="1">
        <v>45173.390277777777</v>
      </c>
      <c r="D83" t="s">
        <v>25</v>
      </c>
      <c r="E83" t="s">
        <v>165</v>
      </c>
      <c r="F83" t="s">
        <v>18</v>
      </c>
      <c r="G83" t="s">
        <v>19</v>
      </c>
      <c r="H83">
        <v>205</v>
      </c>
      <c r="I83">
        <v>14</v>
      </c>
      <c r="J83" t="s">
        <v>20</v>
      </c>
      <c r="K83" t="s">
        <v>51</v>
      </c>
      <c r="L83" t="s">
        <v>42</v>
      </c>
      <c r="M83" t="s">
        <v>39</v>
      </c>
      <c r="N83">
        <v>0</v>
      </c>
      <c r="O83">
        <v>0</v>
      </c>
      <c r="P83" s="8">
        <f>INT(Delivery_data[[#This Row],[Order Timestamp]])</f>
        <v>45173</v>
      </c>
      <c r="Q83" t="str">
        <f ca="1">IF(Delivery_data[[#This Row],[Order Status]]="In Progress", TODAY()-Delivery_data[[#This Row],[Order Date]], "")</f>
        <v/>
      </c>
      <c r="R83">
        <f>IF(Delivery_data[[#This Row],[On Time]]=1,0,1)</f>
        <v>1</v>
      </c>
    </row>
    <row r="84" spans="1:18" x14ac:dyDescent="0.35">
      <c r="A84">
        <v>1933</v>
      </c>
      <c r="B84" t="s">
        <v>166</v>
      </c>
      <c r="C84" s="1">
        <v>45173.604166666664</v>
      </c>
      <c r="D84" t="s">
        <v>16</v>
      </c>
      <c r="E84" t="s">
        <v>100</v>
      </c>
      <c r="F84" t="s">
        <v>18</v>
      </c>
      <c r="G84" t="s">
        <v>19</v>
      </c>
      <c r="H84">
        <v>85</v>
      </c>
      <c r="I84">
        <v>22</v>
      </c>
      <c r="J84" t="s">
        <v>20</v>
      </c>
      <c r="K84" t="s">
        <v>38</v>
      </c>
      <c r="L84" t="s">
        <v>29</v>
      </c>
      <c r="M84" t="s">
        <v>30</v>
      </c>
      <c r="N84">
        <v>0</v>
      </c>
      <c r="O84">
        <v>0</v>
      </c>
      <c r="P84" s="8">
        <f>INT(Delivery_data[[#This Row],[Order Timestamp]])</f>
        <v>45173</v>
      </c>
      <c r="Q84">
        <f ca="1">IF(Delivery_data[[#This Row],[Order Status]]="In Progress", TODAY()-Delivery_data[[#This Row],[Order Date]], "")</f>
        <v>810</v>
      </c>
      <c r="R84">
        <f>IF(Delivery_data[[#This Row],[On Time]]=1,0,1)</f>
        <v>1</v>
      </c>
    </row>
    <row r="85" spans="1:18" x14ac:dyDescent="0.35">
      <c r="A85">
        <v>1935</v>
      </c>
      <c r="B85" t="s">
        <v>167</v>
      </c>
      <c r="C85" s="1">
        <v>45173.42291666667</v>
      </c>
      <c r="D85" t="s">
        <v>25</v>
      </c>
      <c r="E85" t="s">
        <v>126</v>
      </c>
      <c r="F85" t="s">
        <v>18</v>
      </c>
      <c r="G85" t="s">
        <v>19</v>
      </c>
      <c r="H85">
        <v>188</v>
      </c>
      <c r="I85">
        <v>15</v>
      </c>
      <c r="J85" t="s">
        <v>20</v>
      </c>
      <c r="K85" t="s">
        <v>38</v>
      </c>
      <c r="L85" t="s">
        <v>22</v>
      </c>
      <c r="M85" t="s">
        <v>23</v>
      </c>
      <c r="N85">
        <v>0</v>
      </c>
      <c r="O85">
        <v>0</v>
      </c>
      <c r="P85" s="8">
        <f>INT(Delivery_data[[#This Row],[Order Timestamp]])</f>
        <v>45173</v>
      </c>
      <c r="Q85" t="str">
        <f ca="1">IF(Delivery_data[[#This Row],[Order Status]]="In Progress", TODAY()-Delivery_data[[#This Row],[Order Date]], "")</f>
        <v/>
      </c>
      <c r="R85">
        <f>IF(Delivery_data[[#This Row],[On Time]]=1,0,1)</f>
        <v>1</v>
      </c>
    </row>
    <row r="86" spans="1:18" x14ac:dyDescent="0.35">
      <c r="A86">
        <v>1950</v>
      </c>
      <c r="B86" t="s">
        <v>168</v>
      </c>
      <c r="C86" s="1">
        <v>45175.354861111111</v>
      </c>
      <c r="D86" t="s">
        <v>25</v>
      </c>
      <c r="E86" t="s">
        <v>169</v>
      </c>
      <c r="F86" t="s">
        <v>18</v>
      </c>
      <c r="G86" t="s">
        <v>19</v>
      </c>
      <c r="H86">
        <v>65</v>
      </c>
      <c r="I86">
        <v>20</v>
      </c>
      <c r="J86" t="s">
        <v>27</v>
      </c>
      <c r="K86" t="s">
        <v>28</v>
      </c>
      <c r="L86" t="s">
        <v>29</v>
      </c>
      <c r="M86" t="s">
        <v>39</v>
      </c>
      <c r="N86">
        <v>0</v>
      </c>
      <c r="O86">
        <v>0</v>
      </c>
      <c r="P86" s="8">
        <f>INT(Delivery_data[[#This Row],[Order Timestamp]])</f>
        <v>45175</v>
      </c>
      <c r="Q86" t="str">
        <f ca="1">IF(Delivery_data[[#This Row],[Order Status]]="In Progress", TODAY()-Delivery_data[[#This Row],[Order Date]], "")</f>
        <v/>
      </c>
      <c r="R86">
        <f>IF(Delivery_data[[#This Row],[On Time]]=1,0,1)</f>
        <v>1</v>
      </c>
    </row>
    <row r="87" spans="1:18" x14ac:dyDescent="0.35">
      <c r="A87">
        <v>1964</v>
      </c>
      <c r="B87" t="s">
        <v>170</v>
      </c>
      <c r="C87" s="1">
        <v>45171.50277777778</v>
      </c>
      <c r="D87" t="s">
        <v>25</v>
      </c>
      <c r="E87" t="s">
        <v>134</v>
      </c>
      <c r="F87" t="s">
        <v>18</v>
      </c>
      <c r="G87" t="s">
        <v>19</v>
      </c>
      <c r="H87">
        <v>130</v>
      </c>
      <c r="I87">
        <v>18</v>
      </c>
      <c r="J87" t="s">
        <v>27</v>
      </c>
      <c r="K87" t="s">
        <v>28</v>
      </c>
      <c r="L87" t="s">
        <v>42</v>
      </c>
      <c r="M87" t="s">
        <v>39</v>
      </c>
      <c r="N87">
        <v>0</v>
      </c>
      <c r="O87">
        <v>0</v>
      </c>
      <c r="P87" s="8">
        <f>INT(Delivery_data[[#This Row],[Order Timestamp]])</f>
        <v>45171</v>
      </c>
      <c r="Q87" t="str">
        <f ca="1">IF(Delivery_data[[#This Row],[Order Status]]="In Progress", TODAY()-Delivery_data[[#This Row],[Order Date]], "")</f>
        <v/>
      </c>
      <c r="R87">
        <f>IF(Delivery_data[[#This Row],[On Time]]=1,0,1)</f>
        <v>1</v>
      </c>
    </row>
    <row r="88" spans="1:18" x14ac:dyDescent="0.35">
      <c r="A88">
        <v>1982</v>
      </c>
      <c r="B88" t="s">
        <v>171</v>
      </c>
      <c r="C88" s="1">
        <v>45172.461805555555</v>
      </c>
      <c r="D88" t="s">
        <v>25</v>
      </c>
      <c r="E88" t="s">
        <v>172</v>
      </c>
      <c r="F88" t="s">
        <v>18</v>
      </c>
      <c r="G88" t="s">
        <v>19</v>
      </c>
      <c r="H88">
        <v>155</v>
      </c>
      <c r="I88">
        <v>24</v>
      </c>
      <c r="J88" t="s">
        <v>35</v>
      </c>
      <c r="K88" t="s">
        <v>28</v>
      </c>
      <c r="L88" t="s">
        <v>22</v>
      </c>
      <c r="M88" t="s">
        <v>30</v>
      </c>
      <c r="N88">
        <v>0</v>
      </c>
      <c r="O88">
        <v>1</v>
      </c>
      <c r="P88" s="8">
        <f>INT(Delivery_data[[#This Row],[Order Timestamp]])</f>
        <v>45172</v>
      </c>
      <c r="Q88" t="str">
        <f ca="1">IF(Delivery_data[[#This Row],[Order Status]]="In Progress", TODAY()-Delivery_data[[#This Row],[Order Date]], "")</f>
        <v/>
      </c>
      <c r="R88">
        <f>IF(Delivery_data[[#This Row],[On Time]]=1,0,1)</f>
        <v>1</v>
      </c>
    </row>
    <row r="89" spans="1:18" x14ac:dyDescent="0.35">
      <c r="A89">
        <v>2004</v>
      </c>
      <c r="B89" t="s">
        <v>173</v>
      </c>
      <c r="C89" s="1">
        <v>45177.650694444441</v>
      </c>
      <c r="D89" t="s">
        <v>25</v>
      </c>
      <c r="E89" t="s">
        <v>144</v>
      </c>
      <c r="F89" t="s">
        <v>18</v>
      </c>
      <c r="G89" t="s">
        <v>19</v>
      </c>
      <c r="H89">
        <v>147</v>
      </c>
      <c r="I89">
        <v>9</v>
      </c>
      <c r="J89" t="s">
        <v>20</v>
      </c>
      <c r="K89" t="s">
        <v>21</v>
      </c>
      <c r="L89" t="s">
        <v>42</v>
      </c>
      <c r="M89" t="s">
        <v>30</v>
      </c>
      <c r="N89">
        <v>0</v>
      </c>
      <c r="O89">
        <v>0</v>
      </c>
      <c r="P89" s="8">
        <f>INT(Delivery_data[[#This Row],[Order Timestamp]])</f>
        <v>45177</v>
      </c>
      <c r="Q89" t="str">
        <f ca="1">IF(Delivery_data[[#This Row],[Order Status]]="In Progress", TODAY()-Delivery_data[[#This Row],[Order Date]], "")</f>
        <v/>
      </c>
      <c r="R89">
        <f>IF(Delivery_data[[#This Row],[On Time]]=1,0,1)</f>
        <v>1</v>
      </c>
    </row>
    <row r="90" spans="1:18" x14ac:dyDescent="0.35">
      <c r="A90">
        <v>2022</v>
      </c>
      <c r="B90" t="s">
        <v>174</v>
      </c>
      <c r="C90" s="1">
        <v>45172.381944444445</v>
      </c>
      <c r="D90" t="s">
        <v>25</v>
      </c>
      <c r="E90" t="s">
        <v>175</v>
      </c>
      <c r="F90" t="s">
        <v>18</v>
      </c>
      <c r="G90" t="s">
        <v>19</v>
      </c>
      <c r="H90">
        <v>111</v>
      </c>
      <c r="I90">
        <v>18</v>
      </c>
      <c r="J90" t="s">
        <v>27</v>
      </c>
      <c r="K90" t="s">
        <v>38</v>
      </c>
      <c r="L90" t="s">
        <v>22</v>
      </c>
      <c r="M90" t="s">
        <v>39</v>
      </c>
      <c r="N90">
        <v>0</v>
      </c>
      <c r="O90">
        <v>0</v>
      </c>
      <c r="P90" s="8">
        <f>INT(Delivery_data[[#This Row],[Order Timestamp]])</f>
        <v>45172</v>
      </c>
      <c r="Q90" t="str">
        <f ca="1">IF(Delivery_data[[#This Row],[Order Status]]="In Progress", TODAY()-Delivery_data[[#This Row],[Order Date]], "")</f>
        <v/>
      </c>
      <c r="R90">
        <f>IF(Delivery_data[[#This Row],[On Time]]=1,0,1)</f>
        <v>1</v>
      </c>
    </row>
    <row r="91" spans="1:18" x14ac:dyDescent="0.35">
      <c r="A91">
        <v>2040</v>
      </c>
      <c r="B91" t="s">
        <v>176</v>
      </c>
      <c r="C91" s="1">
        <v>45176.563888888886</v>
      </c>
      <c r="D91" t="s">
        <v>25</v>
      </c>
      <c r="E91" t="s">
        <v>102</v>
      </c>
      <c r="F91" t="s">
        <v>18</v>
      </c>
      <c r="G91" t="s">
        <v>19</v>
      </c>
      <c r="H91">
        <v>237</v>
      </c>
      <c r="I91">
        <v>7</v>
      </c>
      <c r="J91" t="s">
        <v>35</v>
      </c>
      <c r="K91" t="s">
        <v>38</v>
      </c>
      <c r="L91" t="s">
        <v>42</v>
      </c>
      <c r="M91" t="s">
        <v>23</v>
      </c>
      <c r="N91">
        <v>0</v>
      </c>
      <c r="O91">
        <v>1</v>
      </c>
      <c r="P91" s="8">
        <f>INT(Delivery_data[[#This Row],[Order Timestamp]])</f>
        <v>45176</v>
      </c>
      <c r="Q91" t="str">
        <f ca="1">IF(Delivery_data[[#This Row],[Order Status]]="In Progress", TODAY()-Delivery_data[[#This Row],[Order Date]], "")</f>
        <v/>
      </c>
      <c r="R91">
        <f>IF(Delivery_data[[#This Row],[On Time]]=1,0,1)</f>
        <v>1</v>
      </c>
    </row>
    <row r="92" spans="1:18" x14ac:dyDescent="0.35">
      <c r="A92">
        <v>2058</v>
      </c>
      <c r="B92" t="s">
        <v>177</v>
      </c>
      <c r="C92" s="1">
        <v>45175.456250000003</v>
      </c>
      <c r="D92" t="s">
        <v>16</v>
      </c>
      <c r="E92" t="s">
        <v>178</v>
      </c>
      <c r="F92" t="s">
        <v>18</v>
      </c>
      <c r="G92" t="s">
        <v>19</v>
      </c>
      <c r="H92">
        <v>127</v>
      </c>
      <c r="I92">
        <v>22</v>
      </c>
      <c r="J92" t="s">
        <v>35</v>
      </c>
      <c r="K92" t="s">
        <v>51</v>
      </c>
      <c r="L92" t="s">
        <v>29</v>
      </c>
      <c r="M92" t="s">
        <v>39</v>
      </c>
      <c r="N92">
        <v>0</v>
      </c>
      <c r="O92">
        <v>1</v>
      </c>
      <c r="P92" s="8">
        <f>INT(Delivery_data[[#This Row],[Order Timestamp]])</f>
        <v>45175</v>
      </c>
      <c r="Q92">
        <f ca="1">IF(Delivery_data[[#This Row],[Order Status]]="In Progress", TODAY()-Delivery_data[[#This Row],[Order Date]], "")</f>
        <v>808</v>
      </c>
      <c r="R92">
        <f>IF(Delivery_data[[#This Row],[On Time]]=1,0,1)</f>
        <v>1</v>
      </c>
    </row>
    <row r="93" spans="1:18" x14ac:dyDescent="0.35">
      <c r="A93">
        <v>2063</v>
      </c>
      <c r="B93" t="s">
        <v>179</v>
      </c>
      <c r="C93" s="1">
        <v>45175.472916666666</v>
      </c>
      <c r="D93" t="s">
        <v>16</v>
      </c>
      <c r="E93" t="s">
        <v>89</v>
      </c>
      <c r="F93" t="s">
        <v>18</v>
      </c>
      <c r="G93" t="s">
        <v>19</v>
      </c>
      <c r="H93">
        <v>135</v>
      </c>
      <c r="I93">
        <v>24</v>
      </c>
      <c r="J93" t="s">
        <v>27</v>
      </c>
      <c r="K93" t="s">
        <v>21</v>
      </c>
      <c r="L93" t="s">
        <v>42</v>
      </c>
      <c r="M93" t="s">
        <v>23</v>
      </c>
      <c r="N93">
        <v>0</v>
      </c>
      <c r="O93">
        <v>0</v>
      </c>
      <c r="P93" s="8">
        <f>INT(Delivery_data[[#This Row],[Order Timestamp]])</f>
        <v>45175</v>
      </c>
      <c r="Q93">
        <f ca="1">IF(Delivery_data[[#This Row],[Order Status]]="In Progress", TODAY()-Delivery_data[[#This Row],[Order Date]], "")</f>
        <v>808</v>
      </c>
      <c r="R93">
        <f>IF(Delivery_data[[#This Row],[On Time]]=1,0,1)</f>
        <v>1</v>
      </c>
    </row>
    <row r="94" spans="1:18" x14ac:dyDescent="0.35">
      <c r="A94">
        <v>2070</v>
      </c>
      <c r="B94" t="s">
        <v>180</v>
      </c>
      <c r="C94" s="1">
        <v>45173.37777777778</v>
      </c>
      <c r="D94" t="s">
        <v>25</v>
      </c>
      <c r="E94" t="s">
        <v>181</v>
      </c>
      <c r="F94" t="s">
        <v>18</v>
      </c>
      <c r="G94" t="s">
        <v>19</v>
      </c>
      <c r="H94">
        <v>207</v>
      </c>
      <c r="I94">
        <v>5</v>
      </c>
      <c r="J94" t="s">
        <v>27</v>
      </c>
      <c r="K94" t="s">
        <v>51</v>
      </c>
      <c r="L94" t="s">
        <v>42</v>
      </c>
      <c r="M94" t="s">
        <v>30</v>
      </c>
      <c r="N94">
        <v>0</v>
      </c>
      <c r="O94">
        <v>0</v>
      </c>
      <c r="P94" s="8">
        <f>INT(Delivery_data[[#This Row],[Order Timestamp]])</f>
        <v>45173</v>
      </c>
      <c r="Q94" t="str">
        <f ca="1">IF(Delivery_data[[#This Row],[Order Status]]="In Progress", TODAY()-Delivery_data[[#This Row],[Order Date]], "")</f>
        <v/>
      </c>
      <c r="R94">
        <f>IF(Delivery_data[[#This Row],[On Time]]=1,0,1)</f>
        <v>1</v>
      </c>
    </row>
    <row r="95" spans="1:18" x14ac:dyDescent="0.35">
      <c r="A95">
        <v>2080</v>
      </c>
      <c r="B95" t="s">
        <v>182</v>
      </c>
      <c r="C95" s="1">
        <v>45173.34652777778</v>
      </c>
      <c r="D95" t="s">
        <v>16</v>
      </c>
      <c r="E95" t="s">
        <v>78</v>
      </c>
      <c r="F95" t="s">
        <v>18</v>
      </c>
      <c r="G95" t="s">
        <v>19</v>
      </c>
      <c r="H95">
        <v>239</v>
      </c>
      <c r="I95">
        <v>21</v>
      </c>
      <c r="J95" t="s">
        <v>20</v>
      </c>
      <c r="K95" t="s">
        <v>38</v>
      </c>
      <c r="L95" t="s">
        <v>42</v>
      </c>
      <c r="M95" t="s">
        <v>39</v>
      </c>
      <c r="N95">
        <v>0</v>
      </c>
      <c r="O95">
        <v>0</v>
      </c>
      <c r="P95" s="8">
        <f>INT(Delivery_data[[#This Row],[Order Timestamp]])</f>
        <v>45173</v>
      </c>
      <c r="Q95">
        <f ca="1">IF(Delivery_data[[#This Row],[Order Status]]="In Progress", TODAY()-Delivery_data[[#This Row],[Order Date]], "")</f>
        <v>810</v>
      </c>
      <c r="R95">
        <f>IF(Delivery_data[[#This Row],[On Time]]=1,0,1)</f>
        <v>1</v>
      </c>
    </row>
    <row r="96" spans="1:18" x14ac:dyDescent="0.35">
      <c r="A96">
        <v>2092</v>
      </c>
      <c r="B96" t="s">
        <v>183</v>
      </c>
      <c r="C96" s="1">
        <v>45173.339583333334</v>
      </c>
      <c r="D96" t="s">
        <v>16</v>
      </c>
      <c r="E96" t="s">
        <v>184</v>
      </c>
      <c r="F96" t="s">
        <v>18</v>
      </c>
      <c r="G96" t="s">
        <v>19</v>
      </c>
      <c r="H96">
        <v>200</v>
      </c>
      <c r="I96">
        <v>11</v>
      </c>
      <c r="J96" t="s">
        <v>20</v>
      </c>
      <c r="K96" t="s">
        <v>28</v>
      </c>
      <c r="L96" t="s">
        <v>29</v>
      </c>
      <c r="M96" t="s">
        <v>39</v>
      </c>
      <c r="N96">
        <v>0</v>
      </c>
      <c r="O96">
        <v>0</v>
      </c>
      <c r="P96" s="8">
        <f>INT(Delivery_data[[#This Row],[Order Timestamp]])</f>
        <v>45173</v>
      </c>
      <c r="Q96">
        <f ca="1">IF(Delivery_data[[#This Row],[Order Status]]="In Progress", TODAY()-Delivery_data[[#This Row],[Order Date]], "")</f>
        <v>810</v>
      </c>
      <c r="R96">
        <f>IF(Delivery_data[[#This Row],[On Time]]=1,0,1)</f>
        <v>1</v>
      </c>
    </row>
    <row r="97" spans="1:18" x14ac:dyDescent="0.35">
      <c r="A97">
        <v>2094</v>
      </c>
      <c r="B97" t="s">
        <v>185</v>
      </c>
      <c r="C97" s="1">
        <v>45172.340277777781</v>
      </c>
      <c r="D97" t="s">
        <v>25</v>
      </c>
      <c r="E97" t="s">
        <v>72</v>
      </c>
      <c r="F97" t="s">
        <v>18</v>
      </c>
      <c r="G97" t="s">
        <v>19</v>
      </c>
      <c r="H97">
        <v>125</v>
      </c>
      <c r="I97">
        <v>25</v>
      </c>
      <c r="J97" t="s">
        <v>35</v>
      </c>
      <c r="K97" t="s">
        <v>28</v>
      </c>
      <c r="L97" t="s">
        <v>42</v>
      </c>
      <c r="M97" t="s">
        <v>39</v>
      </c>
      <c r="N97">
        <v>0</v>
      </c>
      <c r="O97">
        <v>1</v>
      </c>
      <c r="P97" s="8">
        <f>INT(Delivery_data[[#This Row],[Order Timestamp]])</f>
        <v>45172</v>
      </c>
      <c r="Q97" t="str">
        <f ca="1">IF(Delivery_data[[#This Row],[Order Status]]="In Progress", TODAY()-Delivery_data[[#This Row],[Order Date]], "")</f>
        <v/>
      </c>
      <c r="R97">
        <f>IF(Delivery_data[[#This Row],[On Time]]=1,0,1)</f>
        <v>1</v>
      </c>
    </row>
    <row r="98" spans="1:18" x14ac:dyDescent="0.35">
      <c r="A98">
        <v>2100</v>
      </c>
      <c r="B98" t="s">
        <v>186</v>
      </c>
      <c r="C98" s="1">
        <v>45172.458333333336</v>
      </c>
      <c r="D98" t="s">
        <v>25</v>
      </c>
      <c r="E98" t="s">
        <v>136</v>
      </c>
      <c r="F98" t="s">
        <v>18</v>
      </c>
      <c r="G98" t="s">
        <v>19</v>
      </c>
      <c r="H98">
        <v>79</v>
      </c>
      <c r="I98">
        <v>11</v>
      </c>
      <c r="J98" t="s">
        <v>20</v>
      </c>
      <c r="K98" t="s">
        <v>38</v>
      </c>
      <c r="L98" t="s">
        <v>22</v>
      </c>
      <c r="M98" t="s">
        <v>39</v>
      </c>
      <c r="N98">
        <v>0</v>
      </c>
      <c r="O98">
        <v>0</v>
      </c>
      <c r="P98" s="8">
        <f>INT(Delivery_data[[#This Row],[Order Timestamp]])</f>
        <v>45172</v>
      </c>
      <c r="Q98" t="str">
        <f ca="1">IF(Delivery_data[[#This Row],[Order Status]]="In Progress", TODAY()-Delivery_data[[#This Row],[Order Date]], "")</f>
        <v/>
      </c>
      <c r="R98">
        <f>IF(Delivery_data[[#This Row],[On Time]]=1,0,1)</f>
        <v>1</v>
      </c>
    </row>
    <row r="99" spans="1:18" x14ac:dyDescent="0.35">
      <c r="A99">
        <v>2101</v>
      </c>
      <c r="B99" t="s">
        <v>187</v>
      </c>
      <c r="C99" s="1">
        <v>45175.338888888888</v>
      </c>
      <c r="D99" t="s">
        <v>25</v>
      </c>
      <c r="E99" t="s">
        <v>134</v>
      </c>
      <c r="F99" t="s">
        <v>18</v>
      </c>
      <c r="G99" t="s">
        <v>19</v>
      </c>
      <c r="H99">
        <v>90</v>
      </c>
      <c r="I99">
        <v>20</v>
      </c>
      <c r="J99" t="s">
        <v>27</v>
      </c>
      <c r="K99" t="s">
        <v>21</v>
      </c>
      <c r="L99" t="s">
        <v>29</v>
      </c>
      <c r="M99" t="s">
        <v>39</v>
      </c>
      <c r="N99">
        <v>0</v>
      </c>
      <c r="O99">
        <v>0</v>
      </c>
      <c r="P99" s="8">
        <f>INT(Delivery_data[[#This Row],[Order Timestamp]])</f>
        <v>45175</v>
      </c>
      <c r="Q99" t="str">
        <f ca="1">IF(Delivery_data[[#This Row],[Order Status]]="In Progress", TODAY()-Delivery_data[[#This Row],[Order Date]], "")</f>
        <v/>
      </c>
      <c r="R99">
        <f>IF(Delivery_data[[#This Row],[On Time]]=1,0,1)</f>
        <v>1</v>
      </c>
    </row>
    <row r="100" spans="1:18" x14ac:dyDescent="0.35">
      <c r="A100">
        <v>2104</v>
      </c>
      <c r="B100" t="s">
        <v>188</v>
      </c>
      <c r="C100" s="1">
        <v>45173.459027777775</v>
      </c>
      <c r="D100" t="s">
        <v>16</v>
      </c>
      <c r="E100" t="s">
        <v>184</v>
      </c>
      <c r="F100" t="s">
        <v>18</v>
      </c>
      <c r="G100" t="s">
        <v>19</v>
      </c>
      <c r="H100">
        <v>191</v>
      </c>
      <c r="I100">
        <v>23</v>
      </c>
      <c r="J100" t="s">
        <v>27</v>
      </c>
      <c r="K100" t="s">
        <v>33</v>
      </c>
      <c r="L100" t="s">
        <v>42</v>
      </c>
      <c r="M100" t="s">
        <v>23</v>
      </c>
      <c r="N100">
        <v>0</v>
      </c>
      <c r="O100">
        <v>0</v>
      </c>
      <c r="P100" s="8">
        <f>INT(Delivery_data[[#This Row],[Order Timestamp]])</f>
        <v>45173</v>
      </c>
      <c r="Q100">
        <f ca="1">IF(Delivery_data[[#This Row],[Order Status]]="In Progress", TODAY()-Delivery_data[[#This Row],[Order Date]], "")</f>
        <v>810</v>
      </c>
      <c r="R100">
        <f>IF(Delivery_data[[#This Row],[On Time]]=1,0,1)</f>
        <v>1</v>
      </c>
    </row>
    <row r="101" spans="1:18" x14ac:dyDescent="0.35">
      <c r="A101">
        <v>2113</v>
      </c>
      <c r="B101" t="s">
        <v>189</v>
      </c>
      <c r="C101" s="1">
        <v>45175.428472222222</v>
      </c>
      <c r="D101" t="s">
        <v>16</v>
      </c>
      <c r="E101" t="s">
        <v>64</v>
      </c>
      <c r="F101" t="s">
        <v>18</v>
      </c>
      <c r="G101" t="s">
        <v>19</v>
      </c>
      <c r="H101">
        <v>110</v>
      </c>
      <c r="I101">
        <v>14</v>
      </c>
      <c r="J101" t="s">
        <v>35</v>
      </c>
      <c r="K101" t="s">
        <v>28</v>
      </c>
      <c r="L101" t="s">
        <v>29</v>
      </c>
      <c r="M101" t="s">
        <v>39</v>
      </c>
      <c r="N101">
        <v>0</v>
      </c>
      <c r="O101">
        <v>1</v>
      </c>
      <c r="P101" s="8">
        <f>INT(Delivery_data[[#This Row],[Order Timestamp]])</f>
        <v>45175</v>
      </c>
      <c r="Q101">
        <f ca="1">IF(Delivery_data[[#This Row],[Order Status]]="In Progress", TODAY()-Delivery_data[[#This Row],[Order Date]], "")</f>
        <v>808</v>
      </c>
      <c r="R101">
        <f>IF(Delivery_data[[#This Row],[On Time]]=1,0,1)</f>
        <v>1</v>
      </c>
    </row>
    <row r="102" spans="1:18" x14ac:dyDescent="0.35">
      <c r="A102">
        <v>2120</v>
      </c>
      <c r="B102" t="s">
        <v>190</v>
      </c>
      <c r="C102" s="1">
        <v>45177.679166666669</v>
      </c>
      <c r="D102" t="s">
        <v>25</v>
      </c>
      <c r="E102" t="s">
        <v>191</v>
      </c>
      <c r="F102" t="s">
        <v>18</v>
      </c>
      <c r="G102" t="s">
        <v>19</v>
      </c>
      <c r="H102">
        <v>167</v>
      </c>
      <c r="I102">
        <v>4</v>
      </c>
      <c r="J102" t="s">
        <v>27</v>
      </c>
      <c r="K102" t="s">
        <v>33</v>
      </c>
      <c r="L102" t="s">
        <v>29</v>
      </c>
      <c r="M102" t="s">
        <v>30</v>
      </c>
      <c r="N102">
        <v>0</v>
      </c>
      <c r="O102">
        <v>0</v>
      </c>
      <c r="P102" s="8">
        <f>INT(Delivery_data[[#This Row],[Order Timestamp]])</f>
        <v>45177</v>
      </c>
      <c r="Q102" t="str">
        <f ca="1">IF(Delivery_data[[#This Row],[Order Status]]="In Progress", TODAY()-Delivery_data[[#This Row],[Order Date]], "")</f>
        <v/>
      </c>
      <c r="R102">
        <f>IF(Delivery_data[[#This Row],[On Time]]=1,0,1)</f>
        <v>1</v>
      </c>
    </row>
    <row r="103" spans="1:18" x14ac:dyDescent="0.35">
      <c r="A103">
        <v>2123</v>
      </c>
      <c r="B103" t="s">
        <v>192</v>
      </c>
      <c r="C103" s="1">
        <v>45172.445833333331</v>
      </c>
      <c r="D103" t="s">
        <v>25</v>
      </c>
      <c r="E103" t="s">
        <v>108</v>
      </c>
      <c r="F103" t="s">
        <v>18</v>
      </c>
      <c r="G103" t="s">
        <v>19</v>
      </c>
      <c r="H103">
        <v>117</v>
      </c>
      <c r="I103">
        <v>6</v>
      </c>
      <c r="J103" t="s">
        <v>27</v>
      </c>
      <c r="K103" t="s">
        <v>28</v>
      </c>
      <c r="L103" t="s">
        <v>29</v>
      </c>
      <c r="M103" t="s">
        <v>30</v>
      </c>
      <c r="N103">
        <v>0</v>
      </c>
      <c r="O103">
        <v>0</v>
      </c>
      <c r="P103" s="8">
        <f>INT(Delivery_data[[#This Row],[Order Timestamp]])</f>
        <v>45172</v>
      </c>
      <c r="Q103" t="str">
        <f ca="1">IF(Delivery_data[[#This Row],[Order Status]]="In Progress", TODAY()-Delivery_data[[#This Row],[Order Date]], "")</f>
        <v/>
      </c>
      <c r="R103">
        <f>IF(Delivery_data[[#This Row],[On Time]]=1,0,1)</f>
        <v>1</v>
      </c>
    </row>
    <row r="104" spans="1:18" x14ac:dyDescent="0.35">
      <c r="A104">
        <v>2128</v>
      </c>
      <c r="B104" t="s">
        <v>193</v>
      </c>
      <c r="C104" s="1">
        <v>45174.638888888891</v>
      </c>
      <c r="D104" t="s">
        <v>16</v>
      </c>
      <c r="E104" t="s">
        <v>121</v>
      </c>
      <c r="F104" t="s">
        <v>18</v>
      </c>
      <c r="G104" t="s">
        <v>19</v>
      </c>
      <c r="H104">
        <v>141</v>
      </c>
      <c r="I104">
        <v>24</v>
      </c>
      <c r="J104" t="s">
        <v>27</v>
      </c>
      <c r="K104" t="s">
        <v>33</v>
      </c>
      <c r="L104" t="s">
        <v>29</v>
      </c>
      <c r="M104" t="s">
        <v>23</v>
      </c>
      <c r="N104">
        <v>0</v>
      </c>
      <c r="O104">
        <v>0</v>
      </c>
      <c r="P104" s="8">
        <f>INT(Delivery_data[[#This Row],[Order Timestamp]])</f>
        <v>45174</v>
      </c>
      <c r="Q104">
        <f ca="1">IF(Delivery_data[[#This Row],[Order Status]]="In Progress", TODAY()-Delivery_data[[#This Row],[Order Date]], "")</f>
        <v>809</v>
      </c>
      <c r="R104">
        <f>IF(Delivery_data[[#This Row],[On Time]]=1,0,1)</f>
        <v>1</v>
      </c>
    </row>
    <row r="105" spans="1:18" x14ac:dyDescent="0.35">
      <c r="A105">
        <v>2149</v>
      </c>
      <c r="B105" t="s">
        <v>194</v>
      </c>
      <c r="C105" s="1">
        <v>45172.484722222223</v>
      </c>
      <c r="D105" t="s">
        <v>16</v>
      </c>
      <c r="E105" t="s">
        <v>195</v>
      </c>
      <c r="F105" t="s">
        <v>18</v>
      </c>
      <c r="G105" t="s">
        <v>19</v>
      </c>
      <c r="H105">
        <v>71</v>
      </c>
      <c r="I105">
        <v>16</v>
      </c>
      <c r="J105" t="s">
        <v>27</v>
      </c>
      <c r="K105" t="s">
        <v>21</v>
      </c>
      <c r="L105" t="s">
        <v>22</v>
      </c>
      <c r="M105" t="s">
        <v>30</v>
      </c>
      <c r="N105">
        <v>0</v>
      </c>
      <c r="O105">
        <v>0</v>
      </c>
      <c r="P105" s="8">
        <f>INT(Delivery_data[[#This Row],[Order Timestamp]])</f>
        <v>45172</v>
      </c>
      <c r="Q105">
        <f ca="1">IF(Delivery_data[[#This Row],[Order Status]]="In Progress", TODAY()-Delivery_data[[#This Row],[Order Date]], "")</f>
        <v>811</v>
      </c>
      <c r="R105">
        <f>IF(Delivery_data[[#This Row],[On Time]]=1,0,1)</f>
        <v>1</v>
      </c>
    </row>
    <row r="106" spans="1:18" x14ac:dyDescent="0.35">
      <c r="A106">
        <v>2158</v>
      </c>
      <c r="B106" t="s">
        <v>196</v>
      </c>
      <c r="C106" s="1">
        <v>45171.42291666667</v>
      </c>
      <c r="D106" t="s">
        <v>16</v>
      </c>
      <c r="E106" t="s">
        <v>41</v>
      </c>
      <c r="F106" t="s">
        <v>18</v>
      </c>
      <c r="G106" t="s">
        <v>19</v>
      </c>
      <c r="H106">
        <v>219</v>
      </c>
      <c r="I106">
        <v>10</v>
      </c>
      <c r="J106" t="s">
        <v>20</v>
      </c>
      <c r="K106" t="s">
        <v>33</v>
      </c>
      <c r="L106" t="s">
        <v>22</v>
      </c>
      <c r="M106" t="s">
        <v>39</v>
      </c>
      <c r="N106">
        <v>0</v>
      </c>
      <c r="O106">
        <v>0</v>
      </c>
      <c r="P106" s="8">
        <f>INT(Delivery_data[[#This Row],[Order Timestamp]])</f>
        <v>45171</v>
      </c>
      <c r="Q106">
        <f ca="1">IF(Delivery_data[[#This Row],[Order Status]]="In Progress", TODAY()-Delivery_data[[#This Row],[Order Date]], "")</f>
        <v>812</v>
      </c>
      <c r="R106">
        <f>IF(Delivery_data[[#This Row],[On Time]]=1,0,1)</f>
        <v>1</v>
      </c>
    </row>
    <row r="107" spans="1:18" x14ac:dyDescent="0.35">
      <c r="A107">
        <v>2177</v>
      </c>
      <c r="B107" t="s">
        <v>197</v>
      </c>
      <c r="C107" s="1">
        <v>45174.593055555553</v>
      </c>
      <c r="D107" t="s">
        <v>25</v>
      </c>
      <c r="E107" t="s">
        <v>117</v>
      </c>
      <c r="F107" t="s">
        <v>18</v>
      </c>
      <c r="G107" t="s">
        <v>19</v>
      </c>
      <c r="H107">
        <v>107</v>
      </c>
      <c r="I107">
        <v>28</v>
      </c>
      <c r="J107" t="s">
        <v>20</v>
      </c>
      <c r="K107" t="s">
        <v>51</v>
      </c>
      <c r="L107" t="s">
        <v>29</v>
      </c>
      <c r="M107" t="s">
        <v>23</v>
      </c>
      <c r="N107">
        <v>0</v>
      </c>
      <c r="O107">
        <v>0</v>
      </c>
      <c r="P107" s="8">
        <f>INT(Delivery_data[[#This Row],[Order Timestamp]])</f>
        <v>45174</v>
      </c>
      <c r="Q107" t="str">
        <f ca="1">IF(Delivery_data[[#This Row],[Order Status]]="In Progress", TODAY()-Delivery_data[[#This Row],[Order Date]], "")</f>
        <v/>
      </c>
      <c r="R107">
        <f>IF(Delivery_data[[#This Row],[On Time]]=1,0,1)</f>
        <v>1</v>
      </c>
    </row>
    <row r="108" spans="1:18" x14ac:dyDescent="0.35">
      <c r="A108">
        <v>2181</v>
      </c>
      <c r="B108" t="s">
        <v>198</v>
      </c>
      <c r="C108" s="1">
        <v>45176.417361111111</v>
      </c>
      <c r="D108" t="s">
        <v>25</v>
      </c>
      <c r="E108" t="s">
        <v>102</v>
      </c>
      <c r="F108" t="s">
        <v>18</v>
      </c>
      <c r="G108" t="s">
        <v>19</v>
      </c>
      <c r="H108">
        <v>89</v>
      </c>
      <c r="I108">
        <v>28</v>
      </c>
      <c r="J108" t="s">
        <v>27</v>
      </c>
      <c r="K108" t="s">
        <v>38</v>
      </c>
      <c r="L108" t="s">
        <v>22</v>
      </c>
      <c r="M108" t="s">
        <v>30</v>
      </c>
      <c r="N108">
        <v>0</v>
      </c>
      <c r="O108">
        <v>0</v>
      </c>
      <c r="P108" s="8">
        <f>INT(Delivery_data[[#This Row],[Order Timestamp]])</f>
        <v>45176</v>
      </c>
      <c r="Q108" t="str">
        <f ca="1">IF(Delivery_data[[#This Row],[Order Status]]="In Progress", TODAY()-Delivery_data[[#This Row],[Order Date]], "")</f>
        <v/>
      </c>
      <c r="R108">
        <f>IF(Delivery_data[[#This Row],[On Time]]=1,0,1)</f>
        <v>1</v>
      </c>
    </row>
    <row r="109" spans="1:18" x14ac:dyDescent="0.35">
      <c r="A109">
        <v>2200</v>
      </c>
      <c r="B109" t="s">
        <v>199</v>
      </c>
      <c r="C109" s="1">
        <v>45173.345138888886</v>
      </c>
      <c r="D109" t="s">
        <v>25</v>
      </c>
      <c r="E109" t="s">
        <v>200</v>
      </c>
      <c r="F109" t="s">
        <v>18</v>
      </c>
      <c r="G109" t="s">
        <v>19</v>
      </c>
      <c r="H109">
        <v>163</v>
      </c>
      <c r="I109">
        <v>9</v>
      </c>
      <c r="J109" t="s">
        <v>35</v>
      </c>
      <c r="K109" t="s">
        <v>33</v>
      </c>
      <c r="L109" t="s">
        <v>42</v>
      </c>
      <c r="M109" t="s">
        <v>39</v>
      </c>
      <c r="N109">
        <v>0</v>
      </c>
      <c r="O109">
        <v>1</v>
      </c>
      <c r="P109" s="8">
        <f>INT(Delivery_data[[#This Row],[Order Timestamp]])</f>
        <v>45173</v>
      </c>
      <c r="Q109" t="str">
        <f ca="1">IF(Delivery_data[[#This Row],[Order Status]]="In Progress", TODAY()-Delivery_data[[#This Row],[Order Date]], "")</f>
        <v/>
      </c>
      <c r="R109">
        <f>IF(Delivery_data[[#This Row],[On Time]]=1,0,1)</f>
        <v>1</v>
      </c>
    </row>
    <row r="110" spans="1:18" x14ac:dyDescent="0.35">
      <c r="A110">
        <v>2207</v>
      </c>
      <c r="B110" t="s">
        <v>201</v>
      </c>
      <c r="C110" s="1">
        <v>45176.606944444444</v>
      </c>
      <c r="D110" t="s">
        <v>16</v>
      </c>
      <c r="E110" t="s">
        <v>104</v>
      </c>
      <c r="F110" t="s">
        <v>18</v>
      </c>
      <c r="G110" t="s">
        <v>19</v>
      </c>
      <c r="H110">
        <v>90</v>
      </c>
      <c r="I110">
        <v>20</v>
      </c>
      <c r="J110" t="s">
        <v>27</v>
      </c>
      <c r="K110" t="s">
        <v>28</v>
      </c>
      <c r="L110" t="s">
        <v>29</v>
      </c>
      <c r="M110" t="s">
        <v>23</v>
      </c>
      <c r="N110">
        <v>0</v>
      </c>
      <c r="O110">
        <v>0</v>
      </c>
      <c r="P110" s="8">
        <f>INT(Delivery_data[[#This Row],[Order Timestamp]])</f>
        <v>45176</v>
      </c>
      <c r="Q110">
        <f ca="1">IF(Delivery_data[[#This Row],[Order Status]]="In Progress", TODAY()-Delivery_data[[#This Row],[Order Date]], "")</f>
        <v>807</v>
      </c>
      <c r="R110">
        <f>IF(Delivery_data[[#This Row],[On Time]]=1,0,1)</f>
        <v>1</v>
      </c>
    </row>
    <row r="111" spans="1:18" x14ac:dyDescent="0.35">
      <c r="A111">
        <v>2237</v>
      </c>
      <c r="B111" t="s">
        <v>202</v>
      </c>
      <c r="C111" s="1">
        <v>45170.407638888886</v>
      </c>
      <c r="D111" t="s">
        <v>25</v>
      </c>
      <c r="E111" t="s">
        <v>121</v>
      </c>
      <c r="F111" t="s">
        <v>18</v>
      </c>
      <c r="G111" t="s">
        <v>19</v>
      </c>
      <c r="H111">
        <v>123</v>
      </c>
      <c r="I111">
        <v>13</v>
      </c>
      <c r="J111" t="s">
        <v>20</v>
      </c>
      <c r="K111" t="s">
        <v>21</v>
      </c>
      <c r="L111" t="s">
        <v>29</v>
      </c>
      <c r="M111" t="s">
        <v>39</v>
      </c>
      <c r="N111">
        <v>0</v>
      </c>
      <c r="O111">
        <v>0</v>
      </c>
      <c r="P111" s="8">
        <f>INT(Delivery_data[[#This Row],[Order Timestamp]])</f>
        <v>45170</v>
      </c>
      <c r="Q111" t="str">
        <f ca="1">IF(Delivery_data[[#This Row],[Order Status]]="In Progress", TODAY()-Delivery_data[[#This Row],[Order Date]], "")</f>
        <v/>
      </c>
      <c r="R111">
        <f>IF(Delivery_data[[#This Row],[On Time]]=1,0,1)</f>
        <v>1</v>
      </c>
    </row>
    <row r="112" spans="1:18" x14ac:dyDescent="0.35">
      <c r="A112">
        <v>2240</v>
      </c>
      <c r="B112" t="s">
        <v>203</v>
      </c>
      <c r="C112" s="1">
        <v>45170.447916666664</v>
      </c>
      <c r="D112" t="s">
        <v>25</v>
      </c>
      <c r="E112" t="s">
        <v>204</v>
      </c>
      <c r="F112" t="s">
        <v>18</v>
      </c>
      <c r="G112" t="s">
        <v>19</v>
      </c>
      <c r="H112">
        <v>169</v>
      </c>
      <c r="I112">
        <v>8</v>
      </c>
      <c r="J112" t="s">
        <v>27</v>
      </c>
      <c r="K112" t="s">
        <v>28</v>
      </c>
      <c r="L112" t="s">
        <v>42</v>
      </c>
      <c r="M112" t="s">
        <v>39</v>
      </c>
      <c r="N112">
        <v>0</v>
      </c>
      <c r="O112">
        <v>0</v>
      </c>
      <c r="P112" s="8">
        <f>INT(Delivery_data[[#This Row],[Order Timestamp]])</f>
        <v>45170</v>
      </c>
      <c r="Q112" t="str">
        <f ca="1">IF(Delivery_data[[#This Row],[Order Status]]="In Progress", TODAY()-Delivery_data[[#This Row],[Order Date]], "")</f>
        <v/>
      </c>
      <c r="R112">
        <f>IF(Delivery_data[[#This Row],[On Time]]=1,0,1)</f>
        <v>1</v>
      </c>
    </row>
    <row r="113" spans="1:18" x14ac:dyDescent="0.35">
      <c r="A113">
        <v>2247</v>
      </c>
      <c r="B113" t="s">
        <v>205</v>
      </c>
      <c r="C113" s="1">
        <v>45173.510416666664</v>
      </c>
      <c r="D113" t="s">
        <v>16</v>
      </c>
      <c r="E113" t="s">
        <v>206</v>
      </c>
      <c r="F113" t="s">
        <v>18</v>
      </c>
      <c r="G113" t="s">
        <v>19</v>
      </c>
      <c r="H113">
        <v>224</v>
      </c>
      <c r="I113">
        <v>12</v>
      </c>
      <c r="J113" t="s">
        <v>20</v>
      </c>
      <c r="K113" t="s">
        <v>33</v>
      </c>
      <c r="L113" t="s">
        <v>42</v>
      </c>
      <c r="M113" t="s">
        <v>23</v>
      </c>
      <c r="N113">
        <v>0</v>
      </c>
      <c r="O113">
        <v>0</v>
      </c>
      <c r="P113" s="8">
        <f>INT(Delivery_data[[#This Row],[Order Timestamp]])</f>
        <v>45173</v>
      </c>
      <c r="Q113">
        <f ca="1">IF(Delivery_data[[#This Row],[Order Status]]="In Progress", TODAY()-Delivery_data[[#This Row],[Order Date]], "")</f>
        <v>810</v>
      </c>
      <c r="R113">
        <f>IF(Delivery_data[[#This Row],[On Time]]=1,0,1)</f>
        <v>1</v>
      </c>
    </row>
    <row r="114" spans="1:18" x14ac:dyDescent="0.35">
      <c r="A114">
        <v>2267</v>
      </c>
      <c r="B114" t="s">
        <v>207</v>
      </c>
      <c r="C114" s="1">
        <v>45173.42083333333</v>
      </c>
      <c r="D114" t="s">
        <v>25</v>
      </c>
      <c r="E114" t="s">
        <v>165</v>
      </c>
      <c r="F114" t="s">
        <v>18</v>
      </c>
      <c r="G114" t="s">
        <v>19</v>
      </c>
      <c r="H114">
        <v>66</v>
      </c>
      <c r="I114">
        <v>28</v>
      </c>
      <c r="J114" t="s">
        <v>20</v>
      </c>
      <c r="K114" t="s">
        <v>33</v>
      </c>
      <c r="L114" t="s">
        <v>42</v>
      </c>
      <c r="M114" t="s">
        <v>39</v>
      </c>
      <c r="N114">
        <v>0</v>
      </c>
      <c r="O114">
        <v>0</v>
      </c>
      <c r="P114" s="8">
        <f>INT(Delivery_data[[#This Row],[Order Timestamp]])</f>
        <v>45173</v>
      </c>
      <c r="Q114" t="str">
        <f ca="1">IF(Delivery_data[[#This Row],[Order Status]]="In Progress", TODAY()-Delivery_data[[#This Row],[Order Date]], "")</f>
        <v/>
      </c>
      <c r="R114">
        <f>IF(Delivery_data[[#This Row],[On Time]]=1,0,1)</f>
        <v>1</v>
      </c>
    </row>
    <row r="115" spans="1:18" x14ac:dyDescent="0.35">
      <c r="A115">
        <v>2271</v>
      </c>
      <c r="B115" t="s">
        <v>208</v>
      </c>
      <c r="C115" s="1">
        <v>45177.350694444445</v>
      </c>
      <c r="D115" t="s">
        <v>25</v>
      </c>
      <c r="E115" t="s">
        <v>209</v>
      </c>
      <c r="F115" t="s">
        <v>18</v>
      </c>
      <c r="G115" t="s">
        <v>19</v>
      </c>
      <c r="H115">
        <v>197</v>
      </c>
      <c r="I115">
        <v>9</v>
      </c>
      <c r="J115" t="s">
        <v>35</v>
      </c>
      <c r="K115" t="s">
        <v>28</v>
      </c>
      <c r="L115" t="s">
        <v>22</v>
      </c>
      <c r="M115" t="s">
        <v>39</v>
      </c>
      <c r="N115">
        <v>0</v>
      </c>
      <c r="O115">
        <v>1</v>
      </c>
      <c r="P115" s="8">
        <f>INT(Delivery_data[[#This Row],[Order Timestamp]])</f>
        <v>45177</v>
      </c>
      <c r="Q115" t="str">
        <f ca="1">IF(Delivery_data[[#This Row],[Order Status]]="In Progress", TODAY()-Delivery_data[[#This Row],[Order Date]], "")</f>
        <v/>
      </c>
      <c r="R115">
        <f>IF(Delivery_data[[#This Row],[On Time]]=1,0,1)</f>
        <v>1</v>
      </c>
    </row>
    <row r="116" spans="1:18" x14ac:dyDescent="0.35">
      <c r="A116">
        <v>2279</v>
      </c>
      <c r="B116" t="s">
        <v>210</v>
      </c>
      <c r="C116" s="1">
        <v>45176.567361111112</v>
      </c>
      <c r="D116" t="s">
        <v>16</v>
      </c>
      <c r="E116" t="s">
        <v>46</v>
      </c>
      <c r="F116" t="s">
        <v>18</v>
      </c>
      <c r="G116" t="s">
        <v>19</v>
      </c>
      <c r="H116">
        <v>233</v>
      </c>
      <c r="I116">
        <v>3</v>
      </c>
      <c r="J116" t="s">
        <v>20</v>
      </c>
      <c r="K116" t="s">
        <v>21</v>
      </c>
      <c r="L116" t="s">
        <v>42</v>
      </c>
      <c r="M116" t="s">
        <v>30</v>
      </c>
      <c r="N116">
        <v>0</v>
      </c>
      <c r="O116">
        <v>0</v>
      </c>
      <c r="P116" s="8">
        <f>INT(Delivery_data[[#This Row],[Order Timestamp]])</f>
        <v>45176</v>
      </c>
      <c r="Q116">
        <f ca="1">IF(Delivery_data[[#This Row],[Order Status]]="In Progress", TODAY()-Delivery_data[[#This Row],[Order Date]], "")</f>
        <v>807</v>
      </c>
      <c r="R116">
        <f>IF(Delivery_data[[#This Row],[On Time]]=1,0,1)</f>
        <v>1</v>
      </c>
    </row>
    <row r="117" spans="1:18" x14ac:dyDescent="0.35">
      <c r="A117">
        <v>2289</v>
      </c>
      <c r="B117" t="s">
        <v>211</v>
      </c>
      <c r="C117" s="1">
        <v>45172.47152777778</v>
      </c>
      <c r="D117" t="s">
        <v>16</v>
      </c>
      <c r="E117" t="s">
        <v>212</v>
      </c>
      <c r="F117" t="s">
        <v>18</v>
      </c>
      <c r="G117" t="s">
        <v>19</v>
      </c>
      <c r="H117">
        <v>170</v>
      </c>
      <c r="I117">
        <v>24</v>
      </c>
      <c r="J117" t="s">
        <v>20</v>
      </c>
      <c r="K117" t="s">
        <v>28</v>
      </c>
      <c r="L117" t="s">
        <v>42</v>
      </c>
      <c r="M117" t="s">
        <v>39</v>
      </c>
      <c r="N117">
        <v>0</v>
      </c>
      <c r="O117">
        <v>0</v>
      </c>
      <c r="P117" s="8">
        <f>INT(Delivery_data[[#This Row],[Order Timestamp]])</f>
        <v>45172</v>
      </c>
      <c r="Q117">
        <f ca="1">IF(Delivery_data[[#This Row],[Order Status]]="In Progress", TODAY()-Delivery_data[[#This Row],[Order Date]], "")</f>
        <v>811</v>
      </c>
      <c r="R117">
        <f>IF(Delivery_data[[#This Row],[On Time]]=1,0,1)</f>
        <v>1</v>
      </c>
    </row>
    <row r="118" spans="1:18" x14ac:dyDescent="0.35">
      <c r="A118">
        <v>2297</v>
      </c>
      <c r="B118" t="s">
        <v>213</v>
      </c>
      <c r="C118" s="1">
        <v>45177.408333333333</v>
      </c>
      <c r="D118" t="s">
        <v>25</v>
      </c>
      <c r="E118" t="s">
        <v>214</v>
      </c>
      <c r="F118" t="s">
        <v>18</v>
      </c>
      <c r="G118" t="s">
        <v>19</v>
      </c>
      <c r="H118">
        <v>132</v>
      </c>
      <c r="I118">
        <v>3</v>
      </c>
      <c r="J118" t="s">
        <v>20</v>
      </c>
      <c r="K118" t="s">
        <v>51</v>
      </c>
      <c r="L118" t="s">
        <v>29</v>
      </c>
      <c r="M118" t="s">
        <v>23</v>
      </c>
      <c r="N118">
        <v>0</v>
      </c>
      <c r="O118">
        <v>0</v>
      </c>
      <c r="P118" s="8">
        <f>INT(Delivery_data[[#This Row],[Order Timestamp]])</f>
        <v>45177</v>
      </c>
      <c r="Q118" t="str">
        <f ca="1">IF(Delivery_data[[#This Row],[Order Status]]="In Progress", TODAY()-Delivery_data[[#This Row],[Order Date]], "")</f>
        <v/>
      </c>
      <c r="R118">
        <f>IF(Delivery_data[[#This Row],[On Time]]=1,0,1)</f>
        <v>1</v>
      </c>
    </row>
    <row r="119" spans="1:18" x14ac:dyDescent="0.35">
      <c r="A119">
        <v>2320</v>
      </c>
      <c r="B119" t="s">
        <v>215</v>
      </c>
      <c r="C119" s="1">
        <v>45171.564583333333</v>
      </c>
      <c r="D119" t="s">
        <v>16</v>
      </c>
      <c r="E119" t="s">
        <v>216</v>
      </c>
      <c r="F119" t="s">
        <v>18</v>
      </c>
      <c r="G119" t="s">
        <v>19</v>
      </c>
      <c r="H119">
        <v>73</v>
      </c>
      <c r="I119">
        <v>21</v>
      </c>
      <c r="J119" t="s">
        <v>20</v>
      </c>
      <c r="K119" t="s">
        <v>38</v>
      </c>
      <c r="L119" t="s">
        <v>22</v>
      </c>
      <c r="M119" t="s">
        <v>39</v>
      </c>
      <c r="N119">
        <v>0</v>
      </c>
      <c r="O119">
        <v>0</v>
      </c>
      <c r="P119" s="8">
        <f>INT(Delivery_data[[#This Row],[Order Timestamp]])</f>
        <v>45171</v>
      </c>
      <c r="Q119">
        <f ca="1">IF(Delivery_data[[#This Row],[Order Status]]="In Progress", TODAY()-Delivery_data[[#This Row],[Order Date]], "")</f>
        <v>812</v>
      </c>
      <c r="R119">
        <f>IF(Delivery_data[[#This Row],[On Time]]=1,0,1)</f>
        <v>1</v>
      </c>
    </row>
    <row r="120" spans="1:18" x14ac:dyDescent="0.35">
      <c r="A120">
        <v>2337</v>
      </c>
      <c r="B120" t="s">
        <v>217</v>
      </c>
      <c r="C120" s="1">
        <v>45177.7</v>
      </c>
      <c r="D120" t="s">
        <v>25</v>
      </c>
      <c r="E120" t="s">
        <v>64</v>
      </c>
      <c r="F120" t="s">
        <v>18</v>
      </c>
      <c r="G120" t="s">
        <v>19</v>
      </c>
      <c r="H120">
        <v>78</v>
      </c>
      <c r="I120">
        <v>23</v>
      </c>
      <c r="J120" t="s">
        <v>20</v>
      </c>
      <c r="K120" t="s">
        <v>33</v>
      </c>
      <c r="L120" t="s">
        <v>42</v>
      </c>
      <c r="M120" t="s">
        <v>23</v>
      </c>
      <c r="N120">
        <v>0</v>
      </c>
      <c r="O120">
        <v>0</v>
      </c>
      <c r="P120" s="8">
        <f>INT(Delivery_data[[#This Row],[Order Timestamp]])</f>
        <v>45177</v>
      </c>
      <c r="Q120" t="str">
        <f ca="1">IF(Delivery_data[[#This Row],[Order Status]]="In Progress", TODAY()-Delivery_data[[#This Row],[Order Date]], "")</f>
        <v/>
      </c>
      <c r="R120">
        <f>IF(Delivery_data[[#This Row],[On Time]]=1,0,1)</f>
        <v>1</v>
      </c>
    </row>
    <row r="121" spans="1:18" x14ac:dyDescent="0.35">
      <c r="A121">
        <v>2341</v>
      </c>
      <c r="B121" t="s">
        <v>218</v>
      </c>
      <c r="C121" s="1">
        <v>45173.338194444441</v>
      </c>
      <c r="D121" t="s">
        <v>16</v>
      </c>
      <c r="E121" t="s">
        <v>126</v>
      </c>
      <c r="F121" t="s">
        <v>18</v>
      </c>
      <c r="G121" t="s">
        <v>19</v>
      </c>
      <c r="H121">
        <v>150</v>
      </c>
      <c r="I121">
        <v>9</v>
      </c>
      <c r="J121" t="s">
        <v>20</v>
      </c>
      <c r="K121" t="s">
        <v>51</v>
      </c>
      <c r="L121" t="s">
        <v>29</v>
      </c>
      <c r="M121" t="s">
        <v>39</v>
      </c>
      <c r="N121">
        <v>0</v>
      </c>
      <c r="O121">
        <v>0</v>
      </c>
      <c r="P121" s="8">
        <f>INT(Delivery_data[[#This Row],[Order Timestamp]])</f>
        <v>45173</v>
      </c>
      <c r="Q121">
        <f ca="1">IF(Delivery_data[[#This Row],[Order Status]]="In Progress", TODAY()-Delivery_data[[#This Row],[Order Date]], "")</f>
        <v>810</v>
      </c>
      <c r="R121">
        <f>IF(Delivery_data[[#This Row],[On Time]]=1,0,1)</f>
        <v>1</v>
      </c>
    </row>
    <row r="122" spans="1:18" x14ac:dyDescent="0.35">
      <c r="A122">
        <v>2348</v>
      </c>
      <c r="B122" t="s">
        <v>219</v>
      </c>
      <c r="C122" s="1">
        <v>45174.548611111109</v>
      </c>
      <c r="D122" t="s">
        <v>16</v>
      </c>
      <c r="E122" t="s">
        <v>200</v>
      </c>
      <c r="F122" t="s">
        <v>18</v>
      </c>
      <c r="G122" t="s">
        <v>19</v>
      </c>
      <c r="H122">
        <v>161</v>
      </c>
      <c r="I122">
        <v>25</v>
      </c>
      <c r="J122" t="s">
        <v>35</v>
      </c>
      <c r="K122" t="s">
        <v>21</v>
      </c>
      <c r="L122" t="s">
        <v>42</v>
      </c>
      <c r="M122" t="s">
        <v>39</v>
      </c>
      <c r="N122">
        <v>0</v>
      </c>
      <c r="O122">
        <v>1</v>
      </c>
      <c r="P122" s="8">
        <f>INT(Delivery_data[[#This Row],[Order Timestamp]])</f>
        <v>45174</v>
      </c>
      <c r="Q122">
        <f ca="1">IF(Delivery_data[[#This Row],[Order Status]]="In Progress", TODAY()-Delivery_data[[#This Row],[Order Date]], "")</f>
        <v>809</v>
      </c>
      <c r="R122">
        <f>IF(Delivery_data[[#This Row],[On Time]]=1,0,1)</f>
        <v>1</v>
      </c>
    </row>
    <row r="123" spans="1:18" x14ac:dyDescent="0.35">
      <c r="A123">
        <v>2361</v>
      </c>
      <c r="B123" t="s">
        <v>220</v>
      </c>
      <c r="C123" s="1">
        <v>45173.557638888888</v>
      </c>
      <c r="D123" t="s">
        <v>25</v>
      </c>
      <c r="E123" t="s">
        <v>158</v>
      </c>
      <c r="F123" t="s">
        <v>18</v>
      </c>
      <c r="G123" t="s">
        <v>19</v>
      </c>
      <c r="H123">
        <v>168</v>
      </c>
      <c r="I123">
        <v>12</v>
      </c>
      <c r="J123" t="s">
        <v>20</v>
      </c>
      <c r="K123" t="s">
        <v>28</v>
      </c>
      <c r="L123" t="s">
        <v>22</v>
      </c>
      <c r="M123" t="s">
        <v>39</v>
      </c>
      <c r="N123">
        <v>0</v>
      </c>
      <c r="O123">
        <v>0</v>
      </c>
      <c r="P123" s="8">
        <f>INT(Delivery_data[[#This Row],[Order Timestamp]])</f>
        <v>45173</v>
      </c>
      <c r="Q123" t="str">
        <f ca="1">IF(Delivery_data[[#This Row],[Order Status]]="In Progress", TODAY()-Delivery_data[[#This Row],[Order Date]], "")</f>
        <v/>
      </c>
      <c r="R123">
        <f>IF(Delivery_data[[#This Row],[On Time]]=1,0,1)</f>
        <v>1</v>
      </c>
    </row>
    <row r="124" spans="1:18" x14ac:dyDescent="0.35">
      <c r="A124">
        <v>2371</v>
      </c>
      <c r="B124" t="s">
        <v>221</v>
      </c>
      <c r="C124" s="1">
        <v>45171.415972222225</v>
      </c>
      <c r="D124" t="s">
        <v>25</v>
      </c>
      <c r="E124" t="s">
        <v>222</v>
      </c>
      <c r="F124" t="s">
        <v>18</v>
      </c>
      <c r="G124" t="s">
        <v>19</v>
      </c>
      <c r="H124">
        <v>107</v>
      </c>
      <c r="I124">
        <v>24</v>
      </c>
      <c r="J124" t="s">
        <v>27</v>
      </c>
      <c r="K124" t="s">
        <v>28</v>
      </c>
      <c r="L124" t="s">
        <v>29</v>
      </c>
      <c r="M124" t="s">
        <v>30</v>
      </c>
      <c r="N124">
        <v>0</v>
      </c>
      <c r="O124">
        <v>0</v>
      </c>
      <c r="P124" s="8">
        <f>INT(Delivery_data[[#This Row],[Order Timestamp]])</f>
        <v>45171</v>
      </c>
      <c r="Q124" t="str">
        <f ca="1">IF(Delivery_data[[#This Row],[Order Status]]="In Progress", TODAY()-Delivery_data[[#This Row],[Order Date]], "")</f>
        <v/>
      </c>
      <c r="R124">
        <f>IF(Delivery_data[[#This Row],[On Time]]=1,0,1)</f>
        <v>1</v>
      </c>
    </row>
    <row r="125" spans="1:18" x14ac:dyDescent="0.35">
      <c r="A125">
        <v>2405</v>
      </c>
      <c r="B125" t="s">
        <v>223</v>
      </c>
      <c r="C125" s="1">
        <v>45175.669444444444</v>
      </c>
      <c r="D125" t="s">
        <v>25</v>
      </c>
      <c r="E125" t="s">
        <v>41</v>
      </c>
      <c r="F125" t="s">
        <v>18</v>
      </c>
      <c r="G125" t="s">
        <v>19</v>
      </c>
      <c r="H125">
        <v>238</v>
      </c>
      <c r="I125">
        <v>16</v>
      </c>
      <c r="J125" t="s">
        <v>27</v>
      </c>
      <c r="K125" t="s">
        <v>28</v>
      </c>
      <c r="L125" t="s">
        <v>22</v>
      </c>
      <c r="M125" t="s">
        <v>39</v>
      </c>
      <c r="N125">
        <v>0</v>
      </c>
      <c r="O125">
        <v>0</v>
      </c>
      <c r="P125" s="8">
        <f>INT(Delivery_data[[#This Row],[Order Timestamp]])</f>
        <v>45175</v>
      </c>
      <c r="Q125" t="str">
        <f ca="1">IF(Delivery_data[[#This Row],[Order Status]]="In Progress", TODAY()-Delivery_data[[#This Row],[Order Date]], "")</f>
        <v/>
      </c>
      <c r="R125">
        <f>IF(Delivery_data[[#This Row],[On Time]]=1,0,1)</f>
        <v>1</v>
      </c>
    </row>
    <row r="126" spans="1:18" x14ac:dyDescent="0.35">
      <c r="A126">
        <v>2431</v>
      </c>
      <c r="B126" t="s">
        <v>224</v>
      </c>
      <c r="C126" s="1">
        <v>45171.548611111109</v>
      </c>
      <c r="D126" t="s">
        <v>16</v>
      </c>
      <c r="E126" t="s">
        <v>225</v>
      </c>
      <c r="F126" t="s">
        <v>18</v>
      </c>
      <c r="G126" t="s">
        <v>19</v>
      </c>
      <c r="H126">
        <v>137</v>
      </c>
      <c r="I126">
        <v>8</v>
      </c>
      <c r="J126" t="s">
        <v>27</v>
      </c>
      <c r="K126" t="s">
        <v>28</v>
      </c>
      <c r="L126" t="s">
        <v>29</v>
      </c>
      <c r="M126" t="s">
        <v>39</v>
      </c>
      <c r="N126">
        <v>0</v>
      </c>
      <c r="O126">
        <v>0</v>
      </c>
      <c r="P126" s="8">
        <f>INT(Delivery_data[[#This Row],[Order Timestamp]])</f>
        <v>45171</v>
      </c>
      <c r="Q126">
        <f ca="1">IF(Delivery_data[[#This Row],[Order Status]]="In Progress", TODAY()-Delivery_data[[#This Row],[Order Date]], "")</f>
        <v>812</v>
      </c>
      <c r="R126">
        <f>IF(Delivery_data[[#This Row],[On Time]]=1,0,1)</f>
        <v>1</v>
      </c>
    </row>
    <row r="127" spans="1:18" x14ac:dyDescent="0.35">
      <c r="A127">
        <v>2452</v>
      </c>
      <c r="B127" t="s">
        <v>226</v>
      </c>
      <c r="C127" s="1">
        <v>45175.342361111114</v>
      </c>
      <c r="D127" t="s">
        <v>16</v>
      </c>
      <c r="E127" t="s">
        <v>227</v>
      </c>
      <c r="F127" t="s">
        <v>18</v>
      </c>
      <c r="G127" t="s">
        <v>19</v>
      </c>
      <c r="H127">
        <v>204</v>
      </c>
      <c r="I127">
        <v>24</v>
      </c>
      <c r="J127" t="s">
        <v>20</v>
      </c>
      <c r="K127" t="s">
        <v>38</v>
      </c>
      <c r="L127" t="s">
        <v>42</v>
      </c>
      <c r="M127" t="s">
        <v>23</v>
      </c>
      <c r="N127">
        <v>0</v>
      </c>
      <c r="O127">
        <v>0</v>
      </c>
      <c r="P127" s="8">
        <f>INT(Delivery_data[[#This Row],[Order Timestamp]])</f>
        <v>45175</v>
      </c>
      <c r="Q127">
        <f ca="1">IF(Delivery_data[[#This Row],[Order Status]]="In Progress", TODAY()-Delivery_data[[#This Row],[Order Date]], "")</f>
        <v>808</v>
      </c>
      <c r="R127">
        <f>IF(Delivery_data[[#This Row],[On Time]]=1,0,1)</f>
        <v>1</v>
      </c>
    </row>
    <row r="128" spans="1:18" x14ac:dyDescent="0.35">
      <c r="A128">
        <v>2473</v>
      </c>
      <c r="B128" t="s">
        <v>228</v>
      </c>
      <c r="C128" s="1">
        <v>45173.546527777777</v>
      </c>
      <c r="D128" t="s">
        <v>16</v>
      </c>
      <c r="E128" t="s">
        <v>66</v>
      </c>
      <c r="F128" t="s">
        <v>18</v>
      </c>
      <c r="G128" t="s">
        <v>19</v>
      </c>
      <c r="H128">
        <v>228</v>
      </c>
      <c r="I128">
        <v>19</v>
      </c>
      <c r="J128" t="s">
        <v>35</v>
      </c>
      <c r="K128" t="s">
        <v>33</v>
      </c>
      <c r="L128" t="s">
        <v>22</v>
      </c>
      <c r="M128" t="s">
        <v>23</v>
      </c>
      <c r="N128">
        <v>0</v>
      </c>
      <c r="O128">
        <v>1</v>
      </c>
      <c r="P128" s="8">
        <f>INT(Delivery_data[[#This Row],[Order Timestamp]])</f>
        <v>45173</v>
      </c>
      <c r="Q128">
        <f ca="1">IF(Delivery_data[[#This Row],[Order Status]]="In Progress", TODAY()-Delivery_data[[#This Row],[Order Date]], "")</f>
        <v>810</v>
      </c>
      <c r="R128">
        <f>IF(Delivery_data[[#This Row],[On Time]]=1,0,1)</f>
        <v>1</v>
      </c>
    </row>
    <row r="129" spans="1:18" x14ac:dyDescent="0.35">
      <c r="A129">
        <v>2476</v>
      </c>
      <c r="B129" t="s">
        <v>229</v>
      </c>
      <c r="C129" s="1">
        <v>45171.697916666664</v>
      </c>
      <c r="D129" t="s">
        <v>16</v>
      </c>
      <c r="E129" t="s">
        <v>230</v>
      </c>
      <c r="F129" t="s">
        <v>18</v>
      </c>
      <c r="G129" t="s">
        <v>19</v>
      </c>
      <c r="H129">
        <v>197</v>
      </c>
      <c r="I129">
        <v>15</v>
      </c>
      <c r="J129" t="s">
        <v>27</v>
      </c>
      <c r="K129" t="s">
        <v>38</v>
      </c>
      <c r="L129" t="s">
        <v>22</v>
      </c>
      <c r="M129" t="s">
        <v>39</v>
      </c>
      <c r="N129">
        <v>0</v>
      </c>
      <c r="O129">
        <v>0</v>
      </c>
      <c r="P129" s="8">
        <f>INT(Delivery_data[[#This Row],[Order Timestamp]])</f>
        <v>45171</v>
      </c>
      <c r="Q129">
        <f ca="1">IF(Delivery_data[[#This Row],[Order Status]]="In Progress", TODAY()-Delivery_data[[#This Row],[Order Date]], "")</f>
        <v>812</v>
      </c>
      <c r="R129">
        <f>IF(Delivery_data[[#This Row],[On Time]]=1,0,1)</f>
        <v>1</v>
      </c>
    </row>
    <row r="130" spans="1:18" x14ac:dyDescent="0.35">
      <c r="A130">
        <v>2487</v>
      </c>
      <c r="B130" t="s">
        <v>231</v>
      </c>
      <c r="C130" s="1">
        <v>45170.493750000001</v>
      </c>
      <c r="D130" t="s">
        <v>25</v>
      </c>
      <c r="E130" t="s">
        <v>87</v>
      </c>
      <c r="F130" t="s">
        <v>18</v>
      </c>
      <c r="G130" t="s">
        <v>19</v>
      </c>
      <c r="H130">
        <v>211</v>
      </c>
      <c r="I130">
        <v>26</v>
      </c>
      <c r="J130" t="s">
        <v>35</v>
      </c>
      <c r="K130" t="s">
        <v>51</v>
      </c>
      <c r="L130" t="s">
        <v>22</v>
      </c>
      <c r="M130" t="s">
        <v>39</v>
      </c>
      <c r="N130">
        <v>0</v>
      </c>
      <c r="O130">
        <v>1</v>
      </c>
      <c r="P130" s="8">
        <f>INT(Delivery_data[[#This Row],[Order Timestamp]])</f>
        <v>45170</v>
      </c>
      <c r="Q130" t="str">
        <f ca="1">IF(Delivery_data[[#This Row],[Order Status]]="In Progress", TODAY()-Delivery_data[[#This Row],[Order Date]], "")</f>
        <v/>
      </c>
      <c r="R130">
        <f>IF(Delivery_data[[#This Row],[On Time]]=1,0,1)</f>
        <v>1</v>
      </c>
    </row>
    <row r="131" spans="1:18" x14ac:dyDescent="0.35">
      <c r="A131">
        <v>1001</v>
      </c>
      <c r="B131" t="s">
        <v>232</v>
      </c>
      <c r="C131" s="1">
        <v>45173.564583333333</v>
      </c>
      <c r="D131" t="s">
        <v>25</v>
      </c>
      <c r="E131" t="s">
        <v>44</v>
      </c>
      <c r="F131" t="s">
        <v>18</v>
      </c>
      <c r="G131" t="s">
        <v>233</v>
      </c>
      <c r="H131">
        <v>92</v>
      </c>
      <c r="I131">
        <v>13</v>
      </c>
      <c r="J131" t="s">
        <v>20</v>
      </c>
      <c r="K131" t="s">
        <v>38</v>
      </c>
      <c r="L131" t="s">
        <v>29</v>
      </c>
      <c r="M131" t="s">
        <v>23</v>
      </c>
      <c r="N131">
        <v>0</v>
      </c>
      <c r="O131">
        <v>0</v>
      </c>
      <c r="P131" s="8">
        <f>INT(Delivery_data[[#This Row],[Order Timestamp]])</f>
        <v>45173</v>
      </c>
      <c r="Q131" t="str">
        <f ca="1">IF(Delivery_data[[#This Row],[Order Status]]="In Progress", TODAY()-Delivery_data[[#This Row],[Order Date]], "")</f>
        <v/>
      </c>
      <c r="R131">
        <f>IF(Delivery_data[[#This Row],[On Time]]=1,0,1)</f>
        <v>1</v>
      </c>
    </row>
    <row r="132" spans="1:18" x14ac:dyDescent="0.35">
      <c r="A132">
        <v>1006</v>
      </c>
      <c r="B132" t="s">
        <v>234</v>
      </c>
      <c r="C132" s="1">
        <v>45170.538888888892</v>
      </c>
      <c r="D132" t="s">
        <v>16</v>
      </c>
      <c r="E132" t="s">
        <v>37</v>
      </c>
      <c r="F132" t="s">
        <v>18</v>
      </c>
      <c r="G132" t="s">
        <v>233</v>
      </c>
      <c r="H132">
        <v>153</v>
      </c>
      <c r="I132">
        <v>22</v>
      </c>
      <c r="J132" t="s">
        <v>20</v>
      </c>
      <c r="K132" t="s">
        <v>21</v>
      </c>
      <c r="L132" t="s">
        <v>42</v>
      </c>
      <c r="M132" t="s">
        <v>39</v>
      </c>
      <c r="N132">
        <v>0</v>
      </c>
      <c r="O132">
        <v>0</v>
      </c>
      <c r="P132" s="8">
        <f>INT(Delivery_data[[#This Row],[Order Timestamp]])</f>
        <v>45170</v>
      </c>
      <c r="Q132">
        <f ca="1">IF(Delivery_data[[#This Row],[Order Status]]="In Progress", TODAY()-Delivery_data[[#This Row],[Order Date]], "")</f>
        <v>813</v>
      </c>
      <c r="R132">
        <f>IF(Delivery_data[[#This Row],[On Time]]=1,0,1)</f>
        <v>1</v>
      </c>
    </row>
    <row r="133" spans="1:18" x14ac:dyDescent="0.35">
      <c r="A133">
        <v>1020</v>
      </c>
      <c r="B133" t="s">
        <v>235</v>
      </c>
      <c r="C133" s="1">
        <v>45171.481944444444</v>
      </c>
      <c r="D133" t="s">
        <v>16</v>
      </c>
      <c r="E133" t="s">
        <v>117</v>
      </c>
      <c r="F133" t="s">
        <v>18</v>
      </c>
      <c r="G133" t="s">
        <v>233</v>
      </c>
      <c r="H133">
        <v>213</v>
      </c>
      <c r="I133">
        <v>24</v>
      </c>
      <c r="J133" t="s">
        <v>20</v>
      </c>
      <c r="K133" t="s">
        <v>21</v>
      </c>
      <c r="L133" t="s">
        <v>22</v>
      </c>
      <c r="M133" t="s">
        <v>23</v>
      </c>
      <c r="N133">
        <v>0</v>
      </c>
      <c r="O133">
        <v>0</v>
      </c>
      <c r="P133" s="8">
        <f>INT(Delivery_data[[#This Row],[Order Timestamp]])</f>
        <v>45171</v>
      </c>
      <c r="Q133">
        <f ca="1">IF(Delivery_data[[#This Row],[Order Status]]="In Progress", TODAY()-Delivery_data[[#This Row],[Order Date]], "")</f>
        <v>812</v>
      </c>
      <c r="R133">
        <f>IF(Delivery_data[[#This Row],[On Time]]=1,0,1)</f>
        <v>1</v>
      </c>
    </row>
    <row r="134" spans="1:18" x14ac:dyDescent="0.35">
      <c r="A134">
        <v>1021</v>
      </c>
      <c r="B134" t="s">
        <v>236</v>
      </c>
      <c r="C134" s="1">
        <v>45172.559027777781</v>
      </c>
      <c r="D134" t="s">
        <v>16</v>
      </c>
      <c r="E134" t="s">
        <v>212</v>
      </c>
      <c r="F134" t="s">
        <v>18</v>
      </c>
      <c r="G134" t="s">
        <v>233</v>
      </c>
      <c r="H134">
        <v>94</v>
      </c>
      <c r="I134">
        <v>24</v>
      </c>
      <c r="J134" t="s">
        <v>27</v>
      </c>
      <c r="K134" t="s">
        <v>51</v>
      </c>
      <c r="L134" t="s">
        <v>42</v>
      </c>
      <c r="M134" t="s">
        <v>23</v>
      </c>
      <c r="N134">
        <v>0</v>
      </c>
      <c r="O134">
        <v>0</v>
      </c>
      <c r="P134" s="8">
        <f>INT(Delivery_data[[#This Row],[Order Timestamp]])</f>
        <v>45172</v>
      </c>
      <c r="Q134">
        <f ca="1">IF(Delivery_data[[#This Row],[Order Status]]="In Progress", TODAY()-Delivery_data[[#This Row],[Order Date]], "")</f>
        <v>811</v>
      </c>
      <c r="R134">
        <f>IF(Delivery_data[[#This Row],[On Time]]=1,0,1)</f>
        <v>1</v>
      </c>
    </row>
    <row r="135" spans="1:18" x14ac:dyDescent="0.35">
      <c r="A135">
        <v>1042</v>
      </c>
      <c r="B135" t="s">
        <v>237</v>
      </c>
      <c r="C135" s="1">
        <v>45175.411805555559</v>
      </c>
      <c r="D135" t="s">
        <v>25</v>
      </c>
      <c r="E135" t="s">
        <v>102</v>
      </c>
      <c r="F135" t="s">
        <v>18</v>
      </c>
      <c r="G135" t="s">
        <v>233</v>
      </c>
      <c r="H135">
        <v>168</v>
      </c>
      <c r="I135">
        <v>20</v>
      </c>
      <c r="J135" t="s">
        <v>20</v>
      </c>
      <c r="K135" t="s">
        <v>51</v>
      </c>
      <c r="L135" t="s">
        <v>29</v>
      </c>
      <c r="M135" t="s">
        <v>23</v>
      </c>
      <c r="N135">
        <v>0</v>
      </c>
      <c r="O135">
        <v>0</v>
      </c>
      <c r="P135" s="8">
        <f>INT(Delivery_data[[#This Row],[Order Timestamp]])</f>
        <v>45175</v>
      </c>
      <c r="Q135" t="str">
        <f ca="1">IF(Delivery_data[[#This Row],[Order Status]]="In Progress", TODAY()-Delivery_data[[#This Row],[Order Date]], "")</f>
        <v/>
      </c>
      <c r="R135">
        <f>IF(Delivery_data[[#This Row],[On Time]]=1,0,1)</f>
        <v>1</v>
      </c>
    </row>
    <row r="136" spans="1:18" x14ac:dyDescent="0.35">
      <c r="A136">
        <v>1054</v>
      </c>
      <c r="B136" t="s">
        <v>238</v>
      </c>
      <c r="C136" s="1">
        <v>45171.53402777778</v>
      </c>
      <c r="D136" t="s">
        <v>16</v>
      </c>
      <c r="E136" t="s">
        <v>80</v>
      </c>
      <c r="F136" t="s">
        <v>18</v>
      </c>
      <c r="G136" t="s">
        <v>233</v>
      </c>
      <c r="H136">
        <v>162</v>
      </c>
      <c r="I136">
        <v>12</v>
      </c>
      <c r="J136" t="s">
        <v>35</v>
      </c>
      <c r="K136" t="s">
        <v>21</v>
      </c>
      <c r="L136" t="s">
        <v>29</v>
      </c>
      <c r="M136" t="s">
        <v>30</v>
      </c>
      <c r="N136">
        <v>0</v>
      </c>
      <c r="O136">
        <v>1</v>
      </c>
      <c r="P136" s="8">
        <f>INT(Delivery_data[[#This Row],[Order Timestamp]])</f>
        <v>45171</v>
      </c>
      <c r="Q136">
        <f ca="1">IF(Delivery_data[[#This Row],[Order Status]]="In Progress", TODAY()-Delivery_data[[#This Row],[Order Date]], "")</f>
        <v>812</v>
      </c>
      <c r="R136">
        <f>IF(Delivery_data[[#This Row],[On Time]]=1,0,1)</f>
        <v>1</v>
      </c>
    </row>
    <row r="137" spans="1:18" x14ac:dyDescent="0.35">
      <c r="A137">
        <v>1087</v>
      </c>
      <c r="B137" t="s">
        <v>239</v>
      </c>
      <c r="C137" s="1">
        <v>45176.537499999999</v>
      </c>
      <c r="D137" t="s">
        <v>25</v>
      </c>
      <c r="E137" t="s">
        <v>240</v>
      </c>
      <c r="F137" t="s">
        <v>18</v>
      </c>
      <c r="G137" t="s">
        <v>233</v>
      </c>
      <c r="H137">
        <v>88</v>
      </c>
      <c r="I137">
        <v>14</v>
      </c>
      <c r="J137" t="s">
        <v>35</v>
      </c>
      <c r="K137" t="s">
        <v>38</v>
      </c>
      <c r="L137" t="s">
        <v>42</v>
      </c>
      <c r="M137" t="s">
        <v>23</v>
      </c>
      <c r="N137">
        <v>0</v>
      </c>
      <c r="O137">
        <v>1</v>
      </c>
      <c r="P137" s="8">
        <f>INT(Delivery_data[[#This Row],[Order Timestamp]])</f>
        <v>45176</v>
      </c>
      <c r="Q137" t="str">
        <f ca="1">IF(Delivery_data[[#This Row],[Order Status]]="In Progress", TODAY()-Delivery_data[[#This Row],[Order Date]], "")</f>
        <v/>
      </c>
      <c r="R137">
        <f>IF(Delivery_data[[#This Row],[On Time]]=1,0,1)</f>
        <v>1</v>
      </c>
    </row>
    <row r="138" spans="1:18" x14ac:dyDescent="0.35">
      <c r="A138">
        <v>1102</v>
      </c>
      <c r="B138" t="s">
        <v>241</v>
      </c>
      <c r="C138" s="1">
        <v>45176.677083333336</v>
      </c>
      <c r="D138" t="s">
        <v>16</v>
      </c>
      <c r="E138" t="s">
        <v>184</v>
      </c>
      <c r="F138" t="s">
        <v>18</v>
      </c>
      <c r="G138" t="s">
        <v>233</v>
      </c>
      <c r="H138">
        <v>110</v>
      </c>
      <c r="I138">
        <v>29</v>
      </c>
      <c r="J138" t="s">
        <v>27</v>
      </c>
      <c r="K138" t="s">
        <v>38</v>
      </c>
      <c r="L138" t="s">
        <v>29</v>
      </c>
      <c r="M138" t="s">
        <v>39</v>
      </c>
      <c r="N138">
        <v>0</v>
      </c>
      <c r="O138">
        <v>0</v>
      </c>
      <c r="P138" s="8">
        <f>INT(Delivery_data[[#This Row],[Order Timestamp]])</f>
        <v>45176</v>
      </c>
      <c r="Q138">
        <f ca="1">IF(Delivery_data[[#This Row],[Order Status]]="In Progress", TODAY()-Delivery_data[[#This Row],[Order Date]], "")</f>
        <v>807</v>
      </c>
      <c r="R138">
        <f>IF(Delivery_data[[#This Row],[On Time]]=1,0,1)</f>
        <v>1</v>
      </c>
    </row>
    <row r="139" spans="1:18" x14ac:dyDescent="0.35">
      <c r="A139">
        <v>1123</v>
      </c>
      <c r="B139" t="s">
        <v>242</v>
      </c>
      <c r="C139" s="1">
        <v>45173.42291666667</v>
      </c>
      <c r="D139" t="s">
        <v>25</v>
      </c>
      <c r="E139" t="s">
        <v>155</v>
      </c>
      <c r="F139" t="s">
        <v>18</v>
      </c>
      <c r="G139" t="s">
        <v>233</v>
      </c>
      <c r="H139">
        <v>186</v>
      </c>
      <c r="I139">
        <v>26</v>
      </c>
      <c r="J139" t="s">
        <v>20</v>
      </c>
      <c r="K139" t="s">
        <v>51</v>
      </c>
      <c r="L139" t="s">
        <v>29</v>
      </c>
      <c r="M139" t="s">
        <v>23</v>
      </c>
      <c r="N139">
        <v>0</v>
      </c>
      <c r="O139">
        <v>0</v>
      </c>
      <c r="P139" s="8">
        <f>INT(Delivery_data[[#This Row],[Order Timestamp]])</f>
        <v>45173</v>
      </c>
      <c r="Q139" t="str">
        <f ca="1">IF(Delivery_data[[#This Row],[Order Status]]="In Progress", TODAY()-Delivery_data[[#This Row],[Order Date]], "")</f>
        <v/>
      </c>
      <c r="R139">
        <f>IF(Delivery_data[[#This Row],[On Time]]=1,0,1)</f>
        <v>1</v>
      </c>
    </row>
    <row r="140" spans="1:18" x14ac:dyDescent="0.35">
      <c r="A140">
        <v>1161</v>
      </c>
      <c r="B140" t="s">
        <v>243</v>
      </c>
      <c r="C140" s="1">
        <v>45171.395138888889</v>
      </c>
      <c r="D140" t="s">
        <v>25</v>
      </c>
      <c r="E140" t="s">
        <v>66</v>
      </c>
      <c r="F140" t="s">
        <v>18</v>
      </c>
      <c r="G140" t="s">
        <v>233</v>
      </c>
      <c r="H140">
        <v>188</v>
      </c>
      <c r="I140">
        <v>2</v>
      </c>
      <c r="J140" t="s">
        <v>27</v>
      </c>
      <c r="K140" t="s">
        <v>21</v>
      </c>
      <c r="L140" t="s">
        <v>22</v>
      </c>
      <c r="M140" t="s">
        <v>30</v>
      </c>
      <c r="N140">
        <v>0</v>
      </c>
      <c r="O140">
        <v>0</v>
      </c>
      <c r="P140" s="8">
        <f>INT(Delivery_data[[#This Row],[Order Timestamp]])</f>
        <v>45171</v>
      </c>
      <c r="Q140" t="str">
        <f ca="1">IF(Delivery_data[[#This Row],[Order Status]]="In Progress", TODAY()-Delivery_data[[#This Row],[Order Date]], "")</f>
        <v/>
      </c>
      <c r="R140">
        <f>IF(Delivery_data[[#This Row],[On Time]]=1,0,1)</f>
        <v>1</v>
      </c>
    </row>
    <row r="141" spans="1:18" x14ac:dyDescent="0.35">
      <c r="A141">
        <v>1195</v>
      </c>
      <c r="B141" t="s">
        <v>244</v>
      </c>
      <c r="C141" s="1">
        <v>45174.42291666667</v>
      </c>
      <c r="D141" t="s">
        <v>25</v>
      </c>
      <c r="E141" t="s">
        <v>245</v>
      </c>
      <c r="F141" t="s">
        <v>18</v>
      </c>
      <c r="G141" t="s">
        <v>233</v>
      </c>
      <c r="H141">
        <v>146</v>
      </c>
      <c r="I141">
        <v>12</v>
      </c>
      <c r="J141" t="s">
        <v>20</v>
      </c>
      <c r="K141" t="s">
        <v>33</v>
      </c>
      <c r="L141" t="s">
        <v>29</v>
      </c>
      <c r="M141" t="s">
        <v>39</v>
      </c>
      <c r="N141">
        <v>0</v>
      </c>
      <c r="O141">
        <v>0</v>
      </c>
      <c r="P141" s="8">
        <f>INT(Delivery_data[[#This Row],[Order Timestamp]])</f>
        <v>45174</v>
      </c>
      <c r="Q141" t="str">
        <f ca="1">IF(Delivery_data[[#This Row],[Order Status]]="In Progress", TODAY()-Delivery_data[[#This Row],[Order Date]], "")</f>
        <v/>
      </c>
      <c r="R141">
        <f>IF(Delivery_data[[#This Row],[On Time]]=1,0,1)</f>
        <v>1</v>
      </c>
    </row>
    <row r="142" spans="1:18" x14ac:dyDescent="0.35">
      <c r="A142">
        <v>1211</v>
      </c>
      <c r="B142" t="s">
        <v>246</v>
      </c>
      <c r="C142" s="1">
        <v>45171.352083333331</v>
      </c>
      <c r="D142" t="s">
        <v>16</v>
      </c>
      <c r="E142" t="s">
        <v>48</v>
      </c>
      <c r="F142" t="s">
        <v>18</v>
      </c>
      <c r="G142" t="s">
        <v>233</v>
      </c>
      <c r="H142">
        <v>212</v>
      </c>
      <c r="I142">
        <v>17</v>
      </c>
      <c r="J142" t="s">
        <v>27</v>
      </c>
      <c r="K142" t="s">
        <v>33</v>
      </c>
      <c r="L142" t="s">
        <v>42</v>
      </c>
      <c r="M142" t="s">
        <v>30</v>
      </c>
      <c r="N142">
        <v>0</v>
      </c>
      <c r="O142">
        <v>0</v>
      </c>
      <c r="P142" s="8">
        <f>INT(Delivery_data[[#This Row],[Order Timestamp]])</f>
        <v>45171</v>
      </c>
      <c r="Q142">
        <f ca="1">IF(Delivery_data[[#This Row],[Order Status]]="In Progress", TODAY()-Delivery_data[[#This Row],[Order Date]], "")</f>
        <v>812</v>
      </c>
      <c r="R142">
        <f>IF(Delivery_data[[#This Row],[On Time]]=1,0,1)</f>
        <v>1</v>
      </c>
    </row>
    <row r="143" spans="1:18" x14ac:dyDescent="0.35">
      <c r="A143">
        <v>1221</v>
      </c>
      <c r="B143" t="s">
        <v>247</v>
      </c>
      <c r="C143" s="1">
        <v>45170.452777777777</v>
      </c>
      <c r="D143" t="s">
        <v>25</v>
      </c>
      <c r="E143" t="s">
        <v>248</v>
      </c>
      <c r="F143" t="s">
        <v>18</v>
      </c>
      <c r="G143" t="s">
        <v>233</v>
      </c>
      <c r="H143">
        <v>177</v>
      </c>
      <c r="I143">
        <v>19</v>
      </c>
      <c r="J143" t="s">
        <v>20</v>
      </c>
      <c r="K143" t="s">
        <v>51</v>
      </c>
      <c r="L143" t="s">
        <v>22</v>
      </c>
      <c r="M143" t="s">
        <v>39</v>
      </c>
      <c r="N143">
        <v>0</v>
      </c>
      <c r="O143">
        <v>0</v>
      </c>
      <c r="P143" s="8">
        <f>INT(Delivery_data[[#This Row],[Order Timestamp]])</f>
        <v>45170</v>
      </c>
      <c r="Q143" t="str">
        <f ca="1">IF(Delivery_data[[#This Row],[Order Status]]="In Progress", TODAY()-Delivery_data[[#This Row],[Order Date]], "")</f>
        <v/>
      </c>
      <c r="R143">
        <f>IF(Delivery_data[[#This Row],[On Time]]=1,0,1)</f>
        <v>1</v>
      </c>
    </row>
    <row r="144" spans="1:18" x14ac:dyDescent="0.35">
      <c r="A144">
        <v>1232</v>
      </c>
      <c r="B144" t="s">
        <v>249</v>
      </c>
      <c r="C144" s="1">
        <v>45170.643750000003</v>
      </c>
      <c r="D144" t="s">
        <v>16</v>
      </c>
      <c r="E144" t="s">
        <v>158</v>
      </c>
      <c r="F144" t="s">
        <v>18</v>
      </c>
      <c r="G144" t="s">
        <v>233</v>
      </c>
      <c r="H144">
        <v>140</v>
      </c>
      <c r="I144">
        <v>17</v>
      </c>
      <c r="J144" t="s">
        <v>35</v>
      </c>
      <c r="K144" t="s">
        <v>51</v>
      </c>
      <c r="L144" t="s">
        <v>29</v>
      </c>
      <c r="M144" t="s">
        <v>39</v>
      </c>
      <c r="N144">
        <v>0</v>
      </c>
      <c r="O144">
        <v>1</v>
      </c>
      <c r="P144" s="8">
        <f>INT(Delivery_data[[#This Row],[Order Timestamp]])</f>
        <v>45170</v>
      </c>
      <c r="Q144">
        <f ca="1">IF(Delivery_data[[#This Row],[Order Status]]="In Progress", TODAY()-Delivery_data[[#This Row],[Order Date]], "")</f>
        <v>813</v>
      </c>
      <c r="R144">
        <f>IF(Delivery_data[[#This Row],[On Time]]=1,0,1)</f>
        <v>1</v>
      </c>
    </row>
    <row r="145" spans="1:18" x14ac:dyDescent="0.35">
      <c r="A145">
        <v>1249</v>
      </c>
      <c r="B145" t="s">
        <v>250</v>
      </c>
      <c r="C145" s="1">
        <v>45170.545138888891</v>
      </c>
      <c r="D145" t="s">
        <v>16</v>
      </c>
      <c r="E145" t="s">
        <v>117</v>
      </c>
      <c r="F145" t="s">
        <v>18</v>
      </c>
      <c r="G145" t="s">
        <v>233</v>
      </c>
      <c r="H145">
        <v>180</v>
      </c>
      <c r="I145">
        <v>25</v>
      </c>
      <c r="J145" t="s">
        <v>20</v>
      </c>
      <c r="K145" t="s">
        <v>51</v>
      </c>
      <c r="L145" t="s">
        <v>29</v>
      </c>
      <c r="M145" t="s">
        <v>39</v>
      </c>
      <c r="N145">
        <v>0</v>
      </c>
      <c r="O145">
        <v>0</v>
      </c>
      <c r="P145" s="8">
        <f>INT(Delivery_data[[#This Row],[Order Timestamp]])</f>
        <v>45170</v>
      </c>
      <c r="Q145">
        <f ca="1">IF(Delivery_data[[#This Row],[Order Status]]="In Progress", TODAY()-Delivery_data[[#This Row],[Order Date]], "")</f>
        <v>813</v>
      </c>
      <c r="R145">
        <f>IF(Delivery_data[[#This Row],[On Time]]=1,0,1)</f>
        <v>1</v>
      </c>
    </row>
    <row r="146" spans="1:18" x14ac:dyDescent="0.35">
      <c r="A146">
        <v>1283</v>
      </c>
      <c r="B146" t="s">
        <v>251</v>
      </c>
      <c r="C146" s="1">
        <v>45174.609722222223</v>
      </c>
      <c r="D146" t="s">
        <v>25</v>
      </c>
      <c r="E146" t="s">
        <v>252</v>
      </c>
      <c r="F146" t="s">
        <v>18</v>
      </c>
      <c r="G146" t="s">
        <v>233</v>
      </c>
      <c r="H146">
        <v>60</v>
      </c>
      <c r="I146">
        <v>21</v>
      </c>
      <c r="J146" t="s">
        <v>27</v>
      </c>
      <c r="K146" t="s">
        <v>21</v>
      </c>
      <c r="L146" t="s">
        <v>22</v>
      </c>
      <c r="M146" t="s">
        <v>23</v>
      </c>
      <c r="N146">
        <v>0</v>
      </c>
      <c r="O146">
        <v>0</v>
      </c>
      <c r="P146" s="8">
        <f>INT(Delivery_data[[#This Row],[Order Timestamp]])</f>
        <v>45174</v>
      </c>
      <c r="Q146" t="str">
        <f ca="1">IF(Delivery_data[[#This Row],[Order Status]]="In Progress", TODAY()-Delivery_data[[#This Row],[Order Date]], "")</f>
        <v/>
      </c>
      <c r="R146">
        <f>IF(Delivery_data[[#This Row],[On Time]]=1,0,1)</f>
        <v>1</v>
      </c>
    </row>
    <row r="147" spans="1:18" x14ac:dyDescent="0.35">
      <c r="A147">
        <v>1284</v>
      </c>
      <c r="B147" t="s">
        <v>253</v>
      </c>
      <c r="C147" s="1">
        <v>45176.393055555556</v>
      </c>
      <c r="D147" t="s">
        <v>25</v>
      </c>
      <c r="E147" t="s">
        <v>254</v>
      </c>
      <c r="F147" t="s">
        <v>18</v>
      </c>
      <c r="G147" t="s">
        <v>233</v>
      </c>
      <c r="H147">
        <v>199</v>
      </c>
      <c r="I147">
        <v>29</v>
      </c>
      <c r="J147" t="s">
        <v>20</v>
      </c>
      <c r="K147" t="s">
        <v>21</v>
      </c>
      <c r="L147" t="s">
        <v>29</v>
      </c>
      <c r="M147" t="s">
        <v>23</v>
      </c>
      <c r="N147">
        <v>0</v>
      </c>
      <c r="O147">
        <v>0</v>
      </c>
      <c r="P147" s="8">
        <f>INT(Delivery_data[[#This Row],[Order Timestamp]])</f>
        <v>45176</v>
      </c>
      <c r="Q147" t="str">
        <f ca="1">IF(Delivery_data[[#This Row],[Order Status]]="In Progress", TODAY()-Delivery_data[[#This Row],[Order Date]], "")</f>
        <v/>
      </c>
      <c r="R147">
        <f>IF(Delivery_data[[#This Row],[On Time]]=1,0,1)</f>
        <v>1</v>
      </c>
    </row>
    <row r="148" spans="1:18" x14ac:dyDescent="0.35">
      <c r="A148">
        <v>1287</v>
      </c>
      <c r="B148" t="s">
        <v>255</v>
      </c>
      <c r="C148" s="1">
        <v>45174.645833333336</v>
      </c>
      <c r="D148" t="s">
        <v>16</v>
      </c>
      <c r="E148" t="s">
        <v>108</v>
      </c>
      <c r="F148" t="s">
        <v>18</v>
      </c>
      <c r="G148" t="s">
        <v>233</v>
      </c>
      <c r="H148">
        <v>205</v>
      </c>
      <c r="I148">
        <v>18</v>
      </c>
      <c r="J148" t="s">
        <v>35</v>
      </c>
      <c r="K148" t="s">
        <v>28</v>
      </c>
      <c r="L148" t="s">
        <v>42</v>
      </c>
      <c r="M148" t="s">
        <v>30</v>
      </c>
      <c r="N148">
        <v>0</v>
      </c>
      <c r="O148">
        <v>1</v>
      </c>
      <c r="P148" s="8">
        <f>INT(Delivery_data[[#This Row],[Order Timestamp]])</f>
        <v>45174</v>
      </c>
      <c r="Q148">
        <f ca="1">IF(Delivery_data[[#This Row],[Order Status]]="In Progress", TODAY()-Delivery_data[[#This Row],[Order Date]], "")</f>
        <v>809</v>
      </c>
      <c r="R148">
        <f>IF(Delivery_data[[#This Row],[On Time]]=1,0,1)</f>
        <v>1</v>
      </c>
    </row>
    <row r="149" spans="1:18" x14ac:dyDescent="0.35">
      <c r="A149">
        <v>1300</v>
      </c>
      <c r="B149" t="s">
        <v>256</v>
      </c>
      <c r="C149" s="1">
        <v>45171.412499999999</v>
      </c>
      <c r="D149" t="s">
        <v>16</v>
      </c>
      <c r="E149" t="s">
        <v>214</v>
      </c>
      <c r="F149" t="s">
        <v>18</v>
      </c>
      <c r="G149" t="s">
        <v>233</v>
      </c>
      <c r="H149">
        <v>178</v>
      </c>
      <c r="I149">
        <v>29</v>
      </c>
      <c r="J149" t="s">
        <v>20</v>
      </c>
      <c r="K149" t="s">
        <v>28</v>
      </c>
      <c r="L149" t="s">
        <v>29</v>
      </c>
      <c r="M149" t="s">
        <v>39</v>
      </c>
      <c r="N149">
        <v>0</v>
      </c>
      <c r="O149">
        <v>0</v>
      </c>
      <c r="P149" s="8">
        <f>INT(Delivery_data[[#This Row],[Order Timestamp]])</f>
        <v>45171</v>
      </c>
      <c r="Q149">
        <f ca="1">IF(Delivery_data[[#This Row],[Order Status]]="In Progress", TODAY()-Delivery_data[[#This Row],[Order Date]], "")</f>
        <v>812</v>
      </c>
      <c r="R149">
        <f>IF(Delivery_data[[#This Row],[On Time]]=1,0,1)</f>
        <v>1</v>
      </c>
    </row>
    <row r="150" spans="1:18" x14ac:dyDescent="0.35">
      <c r="A150">
        <v>1304</v>
      </c>
      <c r="B150" t="s">
        <v>257</v>
      </c>
      <c r="C150" s="1">
        <v>45174.688888888886</v>
      </c>
      <c r="D150" t="s">
        <v>16</v>
      </c>
      <c r="E150" t="s">
        <v>258</v>
      </c>
      <c r="F150" t="s">
        <v>18</v>
      </c>
      <c r="G150" t="s">
        <v>233</v>
      </c>
      <c r="H150">
        <v>185</v>
      </c>
      <c r="I150">
        <v>5</v>
      </c>
      <c r="J150" t="s">
        <v>27</v>
      </c>
      <c r="K150" t="s">
        <v>38</v>
      </c>
      <c r="L150" t="s">
        <v>29</v>
      </c>
      <c r="M150" t="s">
        <v>30</v>
      </c>
      <c r="N150">
        <v>0</v>
      </c>
      <c r="O150">
        <v>0</v>
      </c>
      <c r="P150" s="8">
        <f>INT(Delivery_data[[#This Row],[Order Timestamp]])</f>
        <v>45174</v>
      </c>
      <c r="Q150">
        <f ca="1">IF(Delivery_data[[#This Row],[Order Status]]="In Progress", TODAY()-Delivery_data[[#This Row],[Order Date]], "")</f>
        <v>809</v>
      </c>
      <c r="R150">
        <f>IF(Delivery_data[[#This Row],[On Time]]=1,0,1)</f>
        <v>1</v>
      </c>
    </row>
    <row r="151" spans="1:18" x14ac:dyDescent="0.35">
      <c r="A151">
        <v>1320</v>
      </c>
      <c r="B151" t="s">
        <v>259</v>
      </c>
      <c r="C151" s="1">
        <v>45171.408333333333</v>
      </c>
      <c r="D151" t="s">
        <v>25</v>
      </c>
      <c r="E151" t="s">
        <v>260</v>
      </c>
      <c r="F151" t="s">
        <v>18</v>
      </c>
      <c r="G151" t="s">
        <v>233</v>
      </c>
      <c r="H151">
        <v>102</v>
      </c>
      <c r="I151">
        <v>9</v>
      </c>
      <c r="J151" t="s">
        <v>35</v>
      </c>
      <c r="K151" t="s">
        <v>33</v>
      </c>
      <c r="L151" t="s">
        <v>22</v>
      </c>
      <c r="M151" t="s">
        <v>30</v>
      </c>
      <c r="N151">
        <v>0</v>
      </c>
      <c r="O151">
        <v>1</v>
      </c>
      <c r="P151" s="8">
        <f>INT(Delivery_data[[#This Row],[Order Timestamp]])</f>
        <v>45171</v>
      </c>
      <c r="Q151" t="str">
        <f ca="1">IF(Delivery_data[[#This Row],[Order Status]]="In Progress", TODAY()-Delivery_data[[#This Row],[Order Date]], "")</f>
        <v/>
      </c>
      <c r="R151">
        <f>IF(Delivery_data[[#This Row],[On Time]]=1,0,1)</f>
        <v>1</v>
      </c>
    </row>
    <row r="152" spans="1:18" x14ac:dyDescent="0.35">
      <c r="A152">
        <v>1321</v>
      </c>
      <c r="B152" t="s">
        <v>261</v>
      </c>
      <c r="C152" s="1">
        <v>45177.438888888886</v>
      </c>
      <c r="D152" t="s">
        <v>16</v>
      </c>
      <c r="E152" t="s">
        <v>53</v>
      </c>
      <c r="F152" t="s">
        <v>18</v>
      </c>
      <c r="G152" t="s">
        <v>233</v>
      </c>
      <c r="H152">
        <v>196</v>
      </c>
      <c r="I152">
        <v>23</v>
      </c>
      <c r="J152" t="s">
        <v>27</v>
      </c>
      <c r="K152" t="s">
        <v>28</v>
      </c>
      <c r="L152" t="s">
        <v>42</v>
      </c>
      <c r="M152" t="s">
        <v>30</v>
      </c>
      <c r="N152">
        <v>0</v>
      </c>
      <c r="O152">
        <v>0</v>
      </c>
      <c r="P152" s="8">
        <f>INT(Delivery_data[[#This Row],[Order Timestamp]])</f>
        <v>45177</v>
      </c>
      <c r="Q152">
        <f ca="1">IF(Delivery_data[[#This Row],[Order Status]]="In Progress", TODAY()-Delivery_data[[#This Row],[Order Date]], "")</f>
        <v>806</v>
      </c>
      <c r="R152">
        <f>IF(Delivery_data[[#This Row],[On Time]]=1,0,1)</f>
        <v>1</v>
      </c>
    </row>
    <row r="153" spans="1:18" x14ac:dyDescent="0.35">
      <c r="A153">
        <v>1334</v>
      </c>
      <c r="B153" t="s">
        <v>262</v>
      </c>
      <c r="C153" s="1">
        <v>45176.573611111111</v>
      </c>
      <c r="D153" t="s">
        <v>25</v>
      </c>
      <c r="E153" t="s">
        <v>68</v>
      </c>
      <c r="F153" t="s">
        <v>18</v>
      </c>
      <c r="G153" t="s">
        <v>233</v>
      </c>
      <c r="H153">
        <v>190</v>
      </c>
      <c r="I153">
        <v>28</v>
      </c>
      <c r="J153" t="s">
        <v>27</v>
      </c>
      <c r="K153" t="s">
        <v>51</v>
      </c>
      <c r="L153" t="s">
        <v>22</v>
      </c>
      <c r="M153" t="s">
        <v>30</v>
      </c>
      <c r="N153">
        <v>0</v>
      </c>
      <c r="O153">
        <v>0</v>
      </c>
      <c r="P153" s="8">
        <f>INT(Delivery_data[[#This Row],[Order Timestamp]])</f>
        <v>45176</v>
      </c>
      <c r="Q153" t="str">
        <f ca="1">IF(Delivery_data[[#This Row],[Order Status]]="In Progress", TODAY()-Delivery_data[[#This Row],[Order Date]], "")</f>
        <v/>
      </c>
      <c r="R153">
        <f>IF(Delivery_data[[#This Row],[On Time]]=1,0,1)</f>
        <v>1</v>
      </c>
    </row>
    <row r="154" spans="1:18" x14ac:dyDescent="0.35">
      <c r="A154">
        <v>1342</v>
      </c>
      <c r="B154" t="s">
        <v>263</v>
      </c>
      <c r="C154" s="1">
        <v>45172.679861111108</v>
      </c>
      <c r="D154" t="s">
        <v>16</v>
      </c>
      <c r="E154" t="s">
        <v>66</v>
      </c>
      <c r="F154" t="s">
        <v>18</v>
      </c>
      <c r="G154" t="s">
        <v>233</v>
      </c>
      <c r="H154">
        <v>185</v>
      </c>
      <c r="I154">
        <v>26</v>
      </c>
      <c r="J154" t="s">
        <v>35</v>
      </c>
      <c r="K154" t="s">
        <v>33</v>
      </c>
      <c r="L154" t="s">
        <v>22</v>
      </c>
      <c r="M154" t="s">
        <v>39</v>
      </c>
      <c r="N154">
        <v>0</v>
      </c>
      <c r="O154">
        <v>1</v>
      </c>
      <c r="P154" s="8">
        <f>INT(Delivery_data[[#This Row],[Order Timestamp]])</f>
        <v>45172</v>
      </c>
      <c r="Q154">
        <f ca="1">IF(Delivery_data[[#This Row],[Order Status]]="In Progress", TODAY()-Delivery_data[[#This Row],[Order Date]], "")</f>
        <v>811</v>
      </c>
      <c r="R154">
        <f>IF(Delivery_data[[#This Row],[On Time]]=1,0,1)</f>
        <v>1</v>
      </c>
    </row>
    <row r="155" spans="1:18" x14ac:dyDescent="0.35">
      <c r="A155">
        <v>1383</v>
      </c>
      <c r="B155" t="s">
        <v>264</v>
      </c>
      <c r="C155" s="1">
        <v>45176.594444444447</v>
      </c>
      <c r="D155" t="s">
        <v>16</v>
      </c>
      <c r="E155" t="s">
        <v>32</v>
      </c>
      <c r="F155" t="s">
        <v>18</v>
      </c>
      <c r="G155" t="s">
        <v>233</v>
      </c>
      <c r="H155">
        <v>152</v>
      </c>
      <c r="I155">
        <v>18</v>
      </c>
      <c r="J155" t="s">
        <v>20</v>
      </c>
      <c r="K155" t="s">
        <v>51</v>
      </c>
      <c r="L155" t="s">
        <v>22</v>
      </c>
      <c r="M155" t="s">
        <v>30</v>
      </c>
      <c r="N155">
        <v>0</v>
      </c>
      <c r="O155">
        <v>0</v>
      </c>
      <c r="P155" s="8">
        <f>INT(Delivery_data[[#This Row],[Order Timestamp]])</f>
        <v>45176</v>
      </c>
      <c r="Q155">
        <f ca="1">IF(Delivery_data[[#This Row],[Order Status]]="In Progress", TODAY()-Delivery_data[[#This Row],[Order Date]], "")</f>
        <v>807</v>
      </c>
      <c r="R155">
        <f>IF(Delivery_data[[#This Row],[On Time]]=1,0,1)</f>
        <v>1</v>
      </c>
    </row>
    <row r="156" spans="1:18" x14ac:dyDescent="0.35">
      <c r="A156">
        <v>1384</v>
      </c>
      <c r="B156" t="s">
        <v>265</v>
      </c>
      <c r="C156" s="1">
        <v>45173.693749999999</v>
      </c>
      <c r="D156" t="s">
        <v>16</v>
      </c>
      <c r="E156" t="s">
        <v>83</v>
      </c>
      <c r="F156" t="s">
        <v>18</v>
      </c>
      <c r="G156" t="s">
        <v>233</v>
      </c>
      <c r="H156">
        <v>140</v>
      </c>
      <c r="I156">
        <v>7</v>
      </c>
      <c r="J156" t="s">
        <v>27</v>
      </c>
      <c r="K156" t="s">
        <v>51</v>
      </c>
      <c r="L156" t="s">
        <v>22</v>
      </c>
      <c r="M156" t="s">
        <v>39</v>
      </c>
      <c r="N156">
        <v>0</v>
      </c>
      <c r="O156">
        <v>0</v>
      </c>
      <c r="P156" s="8">
        <f>INT(Delivery_data[[#This Row],[Order Timestamp]])</f>
        <v>45173</v>
      </c>
      <c r="Q156">
        <f ca="1">IF(Delivery_data[[#This Row],[Order Status]]="In Progress", TODAY()-Delivery_data[[#This Row],[Order Date]], "")</f>
        <v>810</v>
      </c>
      <c r="R156">
        <f>IF(Delivery_data[[#This Row],[On Time]]=1,0,1)</f>
        <v>1</v>
      </c>
    </row>
    <row r="157" spans="1:18" x14ac:dyDescent="0.35">
      <c r="A157">
        <v>1407</v>
      </c>
      <c r="B157" t="s">
        <v>266</v>
      </c>
      <c r="C157" s="1">
        <v>45176.604861111111</v>
      </c>
      <c r="D157" t="s">
        <v>16</v>
      </c>
      <c r="E157" t="s">
        <v>267</v>
      </c>
      <c r="F157" t="s">
        <v>18</v>
      </c>
      <c r="G157" t="s">
        <v>233</v>
      </c>
      <c r="H157">
        <v>141</v>
      </c>
      <c r="I157">
        <v>29</v>
      </c>
      <c r="J157" t="s">
        <v>20</v>
      </c>
      <c r="K157" t="s">
        <v>51</v>
      </c>
      <c r="L157" t="s">
        <v>22</v>
      </c>
      <c r="M157" t="s">
        <v>39</v>
      </c>
      <c r="N157">
        <v>0</v>
      </c>
      <c r="O157">
        <v>0</v>
      </c>
      <c r="P157" s="8">
        <f>INT(Delivery_data[[#This Row],[Order Timestamp]])</f>
        <v>45176</v>
      </c>
      <c r="Q157">
        <f ca="1">IF(Delivery_data[[#This Row],[Order Status]]="In Progress", TODAY()-Delivery_data[[#This Row],[Order Date]], "")</f>
        <v>807</v>
      </c>
      <c r="R157">
        <f>IF(Delivery_data[[#This Row],[On Time]]=1,0,1)</f>
        <v>1</v>
      </c>
    </row>
    <row r="158" spans="1:18" x14ac:dyDescent="0.35">
      <c r="A158">
        <v>1420</v>
      </c>
      <c r="B158" t="s">
        <v>268</v>
      </c>
      <c r="C158" s="1">
        <v>45174.572222222225</v>
      </c>
      <c r="D158" t="s">
        <v>25</v>
      </c>
      <c r="E158" t="s">
        <v>110</v>
      </c>
      <c r="F158" t="s">
        <v>18</v>
      </c>
      <c r="G158" t="s">
        <v>233</v>
      </c>
      <c r="H158">
        <v>228</v>
      </c>
      <c r="I158">
        <v>21</v>
      </c>
      <c r="J158" t="s">
        <v>27</v>
      </c>
      <c r="K158" t="s">
        <v>28</v>
      </c>
      <c r="L158" t="s">
        <v>29</v>
      </c>
      <c r="M158" t="s">
        <v>30</v>
      </c>
      <c r="N158">
        <v>0</v>
      </c>
      <c r="O158">
        <v>0</v>
      </c>
      <c r="P158" s="8">
        <f>INT(Delivery_data[[#This Row],[Order Timestamp]])</f>
        <v>45174</v>
      </c>
      <c r="Q158" t="str">
        <f ca="1">IF(Delivery_data[[#This Row],[Order Status]]="In Progress", TODAY()-Delivery_data[[#This Row],[Order Date]], "")</f>
        <v/>
      </c>
      <c r="R158">
        <f>IF(Delivery_data[[#This Row],[On Time]]=1,0,1)</f>
        <v>1</v>
      </c>
    </row>
    <row r="159" spans="1:18" x14ac:dyDescent="0.35">
      <c r="A159">
        <v>1428</v>
      </c>
      <c r="B159" t="s">
        <v>269</v>
      </c>
      <c r="C159" s="1">
        <v>45177.62222222222</v>
      </c>
      <c r="D159" t="s">
        <v>25</v>
      </c>
      <c r="E159" t="s">
        <v>53</v>
      </c>
      <c r="F159" t="s">
        <v>18</v>
      </c>
      <c r="G159" t="s">
        <v>233</v>
      </c>
      <c r="H159">
        <v>166</v>
      </c>
      <c r="I159">
        <v>10</v>
      </c>
      <c r="J159" t="s">
        <v>35</v>
      </c>
      <c r="K159" t="s">
        <v>21</v>
      </c>
      <c r="L159" t="s">
        <v>29</v>
      </c>
      <c r="M159" t="s">
        <v>23</v>
      </c>
      <c r="N159">
        <v>0</v>
      </c>
      <c r="O159">
        <v>1</v>
      </c>
      <c r="P159" s="8">
        <f>INT(Delivery_data[[#This Row],[Order Timestamp]])</f>
        <v>45177</v>
      </c>
      <c r="Q159" t="str">
        <f ca="1">IF(Delivery_data[[#This Row],[Order Status]]="In Progress", TODAY()-Delivery_data[[#This Row],[Order Date]], "")</f>
        <v/>
      </c>
      <c r="R159">
        <f>IF(Delivery_data[[#This Row],[On Time]]=1,0,1)</f>
        <v>1</v>
      </c>
    </row>
    <row r="160" spans="1:18" x14ac:dyDescent="0.35">
      <c r="A160">
        <v>1432</v>
      </c>
      <c r="B160" t="s">
        <v>270</v>
      </c>
      <c r="C160" s="1">
        <v>45172.378472222219</v>
      </c>
      <c r="D160" t="s">
        <v>25</v>
      </c>
      <c r="E160" t="s">
        <v>271</v>
      </c>
      <c r="F160" t="s">
        <v>18</v>
      </c>
      <c r="G160" t="s">
        <v>233</v>
      </c>
      <c r="H160">
        <v>135</v>
      </c>
      <c r="I160">
        <v>7</v>
      </c>
      <c r="J160" t="s">
        <v>35</v>
      </c>
      <c r="K160" t="s">
        <v>21</v>
      </c>
      <c r="L160" t="s">
        <v>22</v>
      </c>
      <c r="M160" t="s">
        <v>39</v>
      </c>
      <c r="N160">
        <v>0</v>
      </c>
      <c r="O160">
        <v>1</v>
      </c>
      <c r="P160" s="8">
        <f>INT(Delivery_data[[#This Row],[Order Timestamp]])</f>
        <v>45172</v>
      </c>
      <c r="Q160" t="str">
        <f ca="1">IF(Delivery_data[[#This Row],[Order Status]]="In Progress", TODAY()-Delivery_data[[#This Row],[Order Date]], "")</f>
        <v/>
      </c>
      <c r="R160">
        <f>IF(Delivery_data[[#This Row],[On Time]]=1,0,1)</f>
        <v>1</v>
      </c>
    </row>
    <row r="161" spans="1:18" x14ac:dyDescent="0.35">
      <c r="A161">
        <v>1451</v>
      </c>
      <c r="B161" t="s">
        <v>272</v>
      </c>
      <c r="C161" s="1">
        <v>45172.681944444441</v>
      </c>
      <c r="D161" t="s">
        <v>16</v>
      </c>
      <c r="E161" t="s">
        <v>46</v>
      </c>
      <c r="F161" t="s">
        <v>18</v>
      </c>
      <c r="G161" t="s">
        <v>233</v>
      </c>
      <c r="H161">
        <v>105</v>
      </c>
      <c r="I161">
        <v>12</v>
      </c>
      <c r="J161" t="s">
        <v>20</v>
      </c>
      <c r="K161" t="s">
        <v>38</v>
      </c>
      <c r="L161" t="s">
        <v>42</v>
      </c>
      <c r="M161" t="s">
        <v>23</v>
      </c>
      <c r="N161">
        <v>0</v>
      </c>
      <c r="O161">
        <v>0</v>
      </c>
      <c r="P161" s="8">
        <f>INT(Delivery_data[[#This Row],[Order Timestamp]])</f>
        <v>45172</v>
      </c>
      <c r="Q161">
        <f ca="1">IF(Delivery_data[[#This Row],[Order Status]]="In Progress", TODAY()-Delivery_data[[#This Row],[Order Date]], "")</f>
        <v>811</v>
      </c>
      <c r="R161">
        <f>IF(Delivery_data[[#This Row],[On Time]]=1,0,1)</f>
        <v>1</v>
      </c>
    </row>
    <row r="162" spans="1:18" x14ac:dyDescent="0.35">
      <c r="A162">
        <v>1469</v>
      </c>
      <c r="B162" t="s">
        <v>273</v>
      </c>
      <c r="C162" s="1">
        <v>45176.341666666667</v>
      </c>
      <c r="D162" t="s">
        <v>25</v>
      </c>
      <c r="E162" t="s">
        <v>274</v>
      </c>
      <c r="F162" t="s">
        <v>18</v>
      </c>
      <c r="G162" t="s">
        <v>233</v>
      </c>
      <c r="H162">
        <v>70</v>
      </c>
      <c r="I162">
        <v>8</v>
      </c>
      <c r="J162" t="s">
        <v>27</v>
      </c>
      <c r="K162" t="s">
        <v>28</v>
      </c>
      <c r="L162" t="s">
        <v>29</v>
      </c>
      <c r="M162" t="s">
        <v>30</v>
      </c>
      <c r="N162">
        <v>0</v>
      </c>
      <c r="O162">
        <v>0</v>
      </c>
      <c r="P162" s="8">
        <f>INT(Delivery_data[[#This Row],[Order Timestamp]])</f>
        <v>45176</v>
      </c>
      <c r="Q162" t="str">
        <f ca="1">IF(Delivery_data[[#This Row],[Order Status]]="In Progress", TODAY()-Delivery_data[[#This Row],[Order Date]], "")</f>
        <v/>
      </c>
      <c r="R162">
        <f>IF(Delivery_data[[#This Row],[On Time]]=1,0,1)</f>
        <v>1</v>
      </c>
    </row>
    <row r="163" spans="1:18" x14ac:dyDescent="0.35">
      <c r="A163">
        <v>1471</v>
      </c>
      <c r="B163" t="s">
        <v>275</v>
      </c>
      <c r="C163" s="1">
        <v>45170.640277777777</v>
      </c>
      <c r="D163" t="s">
        <v>25</v>
      </c>
      <c r="E163" t="s">
        <v>267</v>
      </c>
      <c r="F163" t="s">
        <v>18</v>
      </c>
      <c r="G163" t="s">
        <v>233</v>
      </c>
      <c r="H163">
        <v>204</v>
      </c>
      <c r="I163">
        <v>8</v>
      </c>
      <c r="J163" t="s">
        <v>35</v>
      </c>
      <c r="K163" t="s">
        <v>33</v>
      </c>
      <c r="L163" t="s">
        <v>42</v>
      </c>
      <c r="M163" t="s">
        <v>23</v>
      </c>
      <c r="N163">
        <v>0</v>
      </c>
      <c r="O163">
        <v>1</v>
      </c>
      <c r="P163" s="8">
        <f>INT(Delivery_data[[#This Row],[Order Timestamp]])</f>
        <v>45170</v>
      </c>
      <c r="Q163" t="str">
        <f ca="1">IF(Delivery_data[[#This Row],[Order Status]]="In Progress", TODAY()-Delivery_data[[#This Row],[Order Date]], "")</f>
        <v/>
      </c>
      <c r="R163">
        <f>IF(Delivery_data[[#This Row],[On Time]]=1,0,1)</f>
        <v>1</v>
      </c>
    </row>
    <row r="164" spans="1:18" x14ac:dyDescent="0.35">
      <c r="A164">
        <v>1496</v>
      </c>
      <c r="B164" t="s">
        <v>276</v>
      </c>
      <c r="C164" s="1">
        <v>45175.34652777778</v>
      </c>
      <c r="D164" t="s">
        <v>16</v>
      </c>
      <c r="E164" t="s">
        <v>152</v>
      </c>
      <c r="F164" t="s">
        <v>18</v>
      </c>
      <c r="G164" t="s">
        <v>233</v>
      </c>
      <c r="H164">
        <v>231</v>
      </c>
      <c r="I164">
        <v>10</v>
      </c>
      <c r="J164" t="s">
        <v>20</v>
      </c>
      <c r="K164" t="s">
        <v>21</v>
      </c>
      <c r="L164" t="s">
        <v>22</v>
      </c>
      <c r="M164" t="s">
        <v>39</v>
      </c>
      <c r="N164">
        <v>0</v>
      </c>
      <c r="O164">
        <v>0</v>
      </c>
      <c r="P164" s="8">
        <f>INT(Delivery_data[[#This Row],[Order Timestamp]])</f>
        <v>45175</v>
      </c>
      <c r="Q164">
        <f ca="1">IF(Delivery_data[[#This Row],[Order Status]]="In Progress", TODAY()-Delivery_data[[#This Row],[Order Date]], "")</f>
        <v>808</v>
      </c>
      <c r="R164">
        <f>IF(Delivery_data[[#This Row],[On Time]]=1,0,1)</f>
        <v>1</v>
      </c>
    </row>
    <row r="165" spans="1:18" x14ac:dyDescent="0.35">
      <c r="A165">
        <v>1499</v>
      </c>
      <c r="B165" t="s">
        <v>277</v>
      </c>
      <c r="C165" s="1">
        <v>45172.654861111114</v>
      </c>
      <c r="D165" t="s">
        <v>25</v>
      </c>
      <c r="E165" t="s">
        <v>240</v>
      </c>
      <c r="F165" t="s">
        <v>18</v>
      </c>
      <c r="G165" t="s">
        <v>233</v>
      </c>
      <c r="H165">
        <v>90</v>
      </c>
      <c r="I165">
        <v>23</v>
      </c>
      <c r="J165" t="s">
        <v>20</v>
      </c>
      <c r="K165" t="s">
        <v>38</v>
      </c>
      <c r="L165" t="s">
        <v>42</v>
      </c>
      <c r="M165" t="s">
        <v>30</v>
      </c>
      <c r="N165">
        <v>0</v>
      </c>
      <c r="O165">
        <v>0</v>
      </c>
      <c r="P165" s="8">
        <f>INT(Delivery_data[[#This Row],[Order Timestamp]])</f>
        <v>45172</v>
      </c>
      <c r="Q165" t="str">
        <f ca="1">IF(Delivery_data[[#This Row],[Order Status]]="In Progress", TODAY()-Delivery_data[[#This Row],[Order Date]], "")</f>
        <v/>
      </c>
      <c r="R165">
        <f>IF(Delivery_data[[#This Row],[On Time]]=1,0,1)</f>
        <v>1</v>
      </c>
    </row>
    <row r="166" spans="1:18" x14ac:dyDescent="0.35">
      <c r="A166">
        <v>1506</v>
      </c>
      <c r="B166" t="s">
        <v>278</v>
      </c>
      <c r="C166" s="1">
        <v>45173.631944444445</v>
      </c>
      <c r="D166" t="s">
        <v>25</v>
      </c>
      <c r="E166" t="s">
        <v>279</v>
      </c>
      <c r="F166" t="s">
        <v>18</v>
      </c>
      <c r="G166" t="s">
        <v>233</v>
      </c>
      <c r="H166">
        <v>74</v>
      </c>
      <c r="I166">
        <v>28</v>
      </c>
      <c r="J166" t="s">
        <v>27</v>
      </c>
      <c r="K166" t="s">
        <v>38</v>
      </c>
      <c r="L166" t="s">
        <v>29</v>
      </c>
      <c r="M166" t="s">
        <v>30</v>
      </c>
      <c r="N166">
        <v>0</v>
      </c>
      <c r="O166">
        <v>0</v>
      </c>
      <c r="P166" s="8">
        <f>INT(Delivery_data[[#This Row],[Order Timestamp]])</f>
        <v>45173</v>
      </c>
      <c r="Q166" t="str">
        <f ca="1">IF(Delivery_data[[#This Row],[Order Status]]="In Progress", TODAY()-Delivery_data[[#This Row],[Order Date]], "")</f>
        <v/>
      </c>
      <c r="R166">
        <f>IF(Delivery_data[[#This Row],[On Time]]=1,0,1)</f>
        <v>1</v>
      </c>
    </row>
    <row r="167" spans="1:18" x14ac:dyDescent="0.35">
      <c r="A167">
        <v>1517</v>
      </c>
      <c r="B167" t="s">
        <v>280</v>
      </c>
      <c r="C167" s="1">
        <v>45176.643750000003</v>
      </c>
      <c r="D167" t="s">
        <v>16</v>
      </c>
      <c r="E167" t="s">
        <v>206</v>
      </c>
      <c r="F167" t="s">
        <v>18</v>
      </c>
      <c r="G167" t="s">
        <v>233</v>
      </c>
      <c r="H167">
        <v>231</v>
      </c>
      <c r="I167">
        <v>16</v>
      </c>
      <c r="J167" t="s">
        <v>20</v>
      </c>
      <c r="K167" t="s">
        <v>38</v>
      </c>
      <c r="L167" t="s">
        <v>42</v>
      </c>
      <c r="M167" t="s">
        <v>39</v>
      </c>
      <c r="N167">
        <v>0</v>
      </c>
      <c r="O167">
        <v>0</v>
      </c>
      <c r="P167" s="8">
        <f>INT(Delivery_data[[#This Row],[Order Timestamp]])</f>
        <v>45176</v>
      </c>
      <c r="Q167">
        <f ca="1">IF(Delivery_data[[#This Row],[Order Status]]="In Progress", TODAY()-Delivery_data[[#This Row],[Order Date]], "")</f>
        <v>807</v>
      </c>
      <c r="R167">
        <f>IF(Delivery_data[[#This Row],[On Time]]=1,0,1)</f>
        <v>1</v>
      </c>
    </row>
    <row r="168" spans="1:18" x14ac:dyDescent="0.35">
      <c r="A168">
        <v>1528</v>
      </c>
      <c r="B168" t="s">
        <v>281</v>
      </c>
      <c r="C168" s="1">
        <v>45172.695138888892</v>
      </c>
      <c r="D168" t="s">
        <v>16</v>
      </c>
      <c r="E168" t="s">
        <v>60</v>
      </c>
      <c r="F168" t="s">
        <v>18</v>
      </c>
      <c r="G168" t="s">
        <v>233</v>
      </c>
      <c r="H168">
        <v>124</v>
      </c>
      <c r="I168">
        <v>19</v>
      </c>
      <c r="J168" t="s">
        <v>27</v>
      </c>
      <c r="K168" t="s">
        <v>21</v>
      </c>
      <c r="L168" t="s">
        <v>22</v>
      </c>
      <c r="M168" t="s">
        <v>39</v>
      </c>
      <c r="N168">
        <v>0</v>
      </c>
      <c r="O168">
        <v>0</v>
      </c>
      <c r="P168" s="8">
        <f>INT(Delivery_data[[#This Row],[Order Timestamp]])</f>
        <v>45172</v>
      </c>
      <c r="Q168">
        <f ca="1">IF(Delivery_data[[#This Row],[Order Status]]="In Progress", TODAY()-Delivery_data[[#This Row],[Order Date]], "")</f>
        <v>811</v>
      </c>
      <c r="R168">
        <f>IF(Delivery_data[[#This Row],[On Time]]=1,0,1)</f>
        <v>1</v>
      </c>
    </row>
    <row r="169" spans="1:18" x14ac:dyDescent="0.35">
      <c r="A169">
        <v>1531</v>
      </c>
      <c r="B169" t="s">
        <v>282</v>
      </c>
      <c r="C169" s="1">
        <v>45170.376388888886</v>
      </c>
      <c r="D169" t="s">
        <v>16</v>
      </c>
      <c r="E169" t="s">
        <v>216</v>
      </c>
      <c r="F169" t="s">
        <v>18</v>
      </c>
      <c r="G169" t="s">
        <v>233</v>
      </c>
      <c r="H169">
        <v>193</v>
      </c>
      <c r="I169">
        <v>10</v>
      </c>
      <c r="J169" t="s">
        <v>20</v>
      </c>
      <c r="K169" t="s">
        <v>51</v>
      </c>
      <c r="L169" t="s">
        <v>29</v>
      </c>
      <c r="M169" t="s">
        <v>30</v>
      </c>
      <c r="N169">
        <v>0</v>
      </c>
      <c r="O169">
        <v>0</v>
      </c>
      <c r="P169" s="8">
        <f>INT(Delivery_data[[#This Row],[Order Timestamp]])</f>
        <v>45170</v>
      </c>
      <c r="Q169">
        <f ca="1">IF(Delivery_data[[#This Row],[Order Status]]="In Progress", TODAY()-Delivery_data[[#This Row],[Order Date]], "")</f>
        <v>813</v>
      </c>
      <c r="R169">
        <f>IF(Delivery_data[[#This Row],[On Time]]=1,0,1)</f>
        <v>1</v>
      </c>
    </row>
    <row r="170" spans="1:18" x14ac:dyDescent="0.35">
      <c r="A170">
        <v>1534</v>
      </c>
      <c r="B170" t="s">
        <v>283</v>
      </c>
      <c r="C170" s="1">
        <v>45175.416666666664</v>
      </c>
      <c r="D170" t="s">
        <v>25</v>
      </c>
      <c r="E170" t="s">
        <v>284</v>
      </c>
      <c r="F170" t="s">
        <v>18</v>
      </c>
      <c r="G170" t="s">
        <v>233</v>
      </c>
      <c r="H170">
        <v>205</v>
      </c>
      <c r="I170">
        <v>12</v>
      </c>
      <c r="J170" t="s">
        <v>20</v>
      </c>
      <c r="K170" t="s">
        <v>38</v>
      </c>
      <c r="L170" t="s">
        <v>42</v>
      </c>
      <c r="M170" t="s">
        <v>23</v>
      </c>
      <c r="N170">
        <v>0</v>
      </c>
      <c r="O170">
        <v>0</v>
      </c>
      <c r="P170" s="8">
        <f>INT(Delivery_data[[#This Row],[Order Timestamp]])</f>
        <v>45175</v>
      </c>
      <c r="Q170" t="str">
        <f ca="1">IF(Delivery_data[[#This Row],[Order Status]]="In Progress", TODAY()-Delivery_data[[#This Row],[Order Date]], "")</f>
        <v/>
      </c>
      <c r="R170">
        <f>IF(Delivery_data[[#This Row],[On Time]]=1,0,1)</f>
        <v>1</v>
      </c>
    </row>
    <row r="171" spans="1:18" x14ac:dyDescent="0.35">
      <c r="A171">
        <v>1562</v>
      </c>
      <c r="B171" t="s">
        <v>285</v>
      </c>
      <c r="C171" s="1">
        <v>45172.662499999999</v>
      </c>
      <c r="D171" t="s">
        <v>16</v>
      </c>
      <c r="E171" t="s">
        <v>152</v>
      </c>
      <c r="F171" t="s">
        <v>18</v>
      </c>
      <c r="G171" t="s">
        <v>233</v>
      </c>
      <c r="H171">
        <v>135</v>
      </c>
      <c r="I171">
        <v>3</v>
      </c>
      <c r="J171" t="s">
        <v>27</v>
      </c>
      <c r="K171" t="s">
        <v>28</v>
      </c>
      <c r="L171" t="s">
        <v>29</v>
      </c>
      <c r="M171" t="s">
        <v>39</v>
      </c>
      <c r="N171">
        <v>0</v>
      </c>
      <c r="O171">
        <v>0</v>
      </c>
      <c r="P171" s="8">
        <f>INT(Delivery_data[[#This Row],[Order Timestamp]])</f>
        <v>45172</v>
      </c>
      <c r="Q171">
        <f ca="1">IF(Delivery_data[[#This Row],[Order Status]]="In Progress", TODAY()-Delivery_data[[#This Row],[Order Date]], "")</f>
        <v>811</v>
      </c>
      <c r="R171">
        <f>IF(Delivery_data[[#This Row],[On Time]]=1,0,1)</f>
        <v>1</v>
      </c>
    </row>
    <row r="172" spans="1:18" x14ac:dyDescent="0.35">
      <c r="A172">
        <v>1568</v>
      </c>
      <c r="B172" t="s">
        <v>286</v>
      </c>
      <c r="C172" s="1">
        <v>45177.395138888889</v>
      </c>
      <c r="D172" t="s">
        <v>16</v>
      </c>
      <c r="E172" t="s">
        <v>287</v>
      </c>
      <c r="F172" t="s">
        <v>18</v>
      </c>
      <c r="G172" t="s">
        <v>233</v>
      </c>
      <c r="H172">
        <v>228</v>
      </c>
      <c r="I172">
        <v>6</v>
      </c>
      <c r="J172" t="s">
        <v>27</v>
      </c>
      <c r="K172" t="s">
        <v>51</v>
      </c>
      <c r="L172" t="s">
        <v>42</v>
      </c>
      <c r="M172" t="s">
        <v>30</v>
      </c>
      <c r="N172">
        <v>0</v>
      </c>
      <c r="O172">
        <v>0</v>
      </c>
      <c r="P172" s="8">
        <f>INT(Delivery_data[[#This Row],[Order Timestamp]])</f>
        <v>45177</v>
      </c>
      <c r="Q172">
        <f ca="1">IF(Delivery_data[[#This Row],[Order Status]]="In Progress", TODAY()-Delivery_data[[#This Row],[Order Date]], "")</f>
        <v>806</v>
      </c>
      <c r="R172">
        <f>IF(Delivery_data[[#This Row],[On Time]]=1,0,1)</f>
        <v>1</v>
      </c>
    </row>
    <row r="173" spans="1:18" x14ac:dyDescent="0.35">
      <c r="A173">
        <v>1583</v>
      </c>
      <c r="B173" t="s">
        <v>288</v>
      </c>
      <c r="C173" s="1">
        <v>45175.422222222223</v>
      </c>
      <c r="D173" t="s">
        <v>25</v>
      </c>
      <c r="E173" t="s">
        <v>44</v>
      </c>
      <c r="F173" t="s">
        <v>18</v>
      </c>
      <c r="G173" t="s">
        <v>233</v>
      </c>
      <c r="H173">
        <v>168</v>
      </c>
      <c r="I173">
        <v>23</v>
      </c>
      <c r="J173" t="s">
        <v>20</v>
      </c>
      <c r="K173" t="s">
        <v>51</v>
      </c>
      <c r="L173" t="s">
        <v>29</v>
      </c>
      <c r="M173" t="s">
        <v>39</v>
      </c>
      <c r="N173">
        <v>0</v>
      </c>
      <c r="O173">
        <v>0</v>
      </c>
      <c r="P173" s="8">
        <f>INT(Delivery_data[[#This Row],[Order Timestamp]])</f>
        <v>45175</v>
      </c>
      <c r="Q173" t="str">
        <f ca="1">IF(Delivery_data[[#This Row],[Order Status]]="In Progress", TODAY()-Delivery_data[[#This Row],[Order Date]], "")</f>
        <v/>
      </c>
      <c r="R173">
        <f>IF(Delivery_data[[#This Row],[On Time]]=1,0,1)</f>
        <v>1</v>
      </c>
    </row>
    <row r="174" spans="1:18" x14ac:dyDescent="0.35">
      <c r="A174">
        <v>1601</v>
      </c>
      <c r="B174" t="s">
        <v>289</v>
      </c>
      <c r="C174" s="1">
        <v>45170.695138888892</v>
      </c>
      <c r="D174" t="s">
        <v>16</v>
      </c>
      <c r="E174" t="s">
        <v>17</v>
      </c>
      <c r="F174" t="s">
        <v>18</v>
      </c>
      <c r="G174" t="s">
        <v>233</v>
      </c>
      <c r="H174">
        <v>72</v>
      </c>
      <c r="I174">
        <v>16</v>
      </c>
      <c r="J174" t="s">
        <v>20</v>
      </c>
      <c r="K174" t="s">
        <v>33</v>
      </c>
      <c r="L174" t="s">
        <v>29</v>
      </c>
      <c r="M174" t="s">
        <v>23</v>
      </c>
      <c r="N174">
        <v>0</v>
      </c>
      <c r="O174">
        <v>0</v>
      </c>
      <c r="P174" s="8">
        <f>INT(Delivery_data[[#This Row],[Order Timestamp]])</f>
        <v>45170</v>
      </c>
      <c r="Q174">
        <f ca="1">IF(Delivery_data[[#This Row],[Order Status]]="In Progress", TODAY()-Delivery_data[[#This Row],[Order Date]], "")</f>
        <v>813</v>
      </c>
      <c r="R174">
        <f>IF(Delivery_data[[#This Row],[On Time]]=1,0,1)</f>
        <v>1</v>
      </c>
    </row>
    <row r="175" spans="1:18" x14ac:dyDescent="0.35">
      <c r="A175">
        <v>1624</v>
      </c>
      <c r="B175" t="s">
        <v>290</v>
      </c>
      <c r="C175" s="1">
        <v>45174.376388888886</v>
      </c>
      <c r="D175" t="s">
        <v>16</v>
      </c>
      <c r="E175" t="s">
        <v>44</v>
      </c>
      <c r="F175" t="s">
        <v>18</v>
      </c>
      <c r="G175" t="s">
        <v>233</v>
      </c>
      <c r="H175">
        <v>226</v>
      </c>
      <c r="I175">
        <v>5</v>
      </c>
      <c r="J175" t="s">
        <v>35</v>
      </c>
      <c r="K175" t="s">
        <v>33</v>
      </c>
      <c r="L175" t="s">
        <v>42</v>
      </c>
      <c r="M175" t="s">
        <v>30</v>
      </c>
      <c r="N175">
        <v>0</v>
      </c>
      <c r="O175">
        <v>1</v>
      </c>
      <c r="P175" s="8">
        <f>INT(Delivery_data[[#This Row],[Order Timestamp]])</f>
        <v>45174</v>
      </c>
      <c r="Q175">
        <f ca="1">IF(Delivery_data[[#This Row],[Order Status]]="In Progress", TODAY()-Delivery_data[[#This Row],[Order Date]], "")</f>
        <v>809</v>
      </c>
      <c r="R175">
        <f>IF(Delivery_data[[#This Row],[On Time]]=1,0,1)</f>
        <v>1</v>
      </c>
    </row>
    <row r="176" spans="1:18" x14ac:dyDescent="0.35">
      <c r="A176">
        <v>1652</v>
      </c>
      <c r="B176" t="s">
        <v>291</v>
      </c>
      <c r="C176" s="1">
        <v>45174.652777777781</v>
      </c>
      <c r="D176" t="s">
        <v>25</v>
      </c>
      <c r="E176" t="s">
        <v>292</v>
      </c>
      <c r="F176" t="s">
        <v>18</v>
      </c>
      <c r="G176" t="s">
        <v>233</v>
      </c>
      <c r="H176">
        <v>110</v>
      </c>
      <c r="I176">
        <v>10</v>
      </c>
      <c r="J176" t="s">
        <v>35</v>
      </c>
      <c r="K176" t="s">
        <v>51</v>
      </c>
      <c r="L176" t="s">
        <v>29</v>
      </c>
      <c r="M176" t="s">
        <v>23</v>
      </c>
      <c r="N176">
        <v>0</v>
      </c>
      <c r="O176">
        <v>1</v>
      </c>
      <c r="P176" s="8">
        <f>INT(Delivery_data[[#This Row],[Order Timestamp]])</f>
        <v>45174</v>
      </c>
      <c r="Q176" t="str">
        <f ca="1">IF(Delivery_data[[#This Row],[Order Status]]="In Progress", TODAY()-Delivery_data[[#This Row],[Order Date]], "")</f>
        <v/>
      </c>
      <c r="R176">
        <f>IF(Delivery_data[[#This Row],[On Time]]=1,0,1)</f>
        <v>1</v>
      </c>
    </row>
    <row r="177" spans="1:18" x14ac:dyDescent="0.35">
      <c r="A177">
        <v>1695</v>
      </c>
      <c r="B177" t="s">
        <v>293</v>
      </c>
      <c r="C177" s="1">
        <v>45170.361805555556</v>
      </c>
      <c r="D177" t="s">
        <v>16</v>
      </c>
      <c r="E177" t="s">
        <v>66</v>
      </c>
      <c r="F177" t="s">
        <v>18</v>
      </c>
      <c r="G177" t="s">
        <v>233</v>
      </c>
      <c r="H177">
        <v>208</v>
      </c>
      <c r="I177">
        <v>29</v>
      </c>
      <c r="J177" t="s">
        <v>35</v>
      </c>
      <c r="K177" t="s">
        <v>28</v>
      </c>
      <c r="L177" t="s">
        <v>29</v>
      </c>
      <c r="M177" t="s">
        <v>39</v>
      </c>
      <c r="N177">
        <v>0</v>
      </c>
      <c r="O177">
        <v>1</v>
      </c>
      <c r="P177" s="8">
        <f>INT(Delivery_data[[#This Row],[Order Timestamp]])</f>
        <v>45170</v>
      </c>
      <c r="Q177">
        <f ca="1">IF(Delivery_data[[#This Row],[Order Status]]="In Progress", TODAY()-Delivery_data[[#This Row],[Order Date]], "")</f>
        <v>813</v>
      </c>
      <c r="R177">
        <f>IF(Delivery_data[[#This Row],[On Time]]=1,0,1)</f>
        <v>1</v>
      </c>
    </row>
    <row r="178" spans="1:18" x14ac:dyDescent="0.35">
      <c r="A178">
        <v>1700</v>
      </c>
      <c r="B178" t="s">
        <v>294</v>
      </c>
      <c r="C178" s="1">
        <v>45174.479166666664</v>
      </c>
      <c r="D178" t="s">
        <v>25</v>
      </c>
      <c r="E178" t="s">
        <v>214</v>
      </c>
      <c r="F178" t="s">
        <v>18</v>
      </c>
      <c r="G178" t="s">
        <v>233</v>
      </c>
      <c r="H178">
        <v>225</v>
      </c>
      <c r="I178">
        <v>12</v>
      </c>
      <c r="J178" t="s">
        <v>27</v>
      </c>
      <c r="K178" t="s">
        <v>21</v>
      </c>
      <c r="L178" t="s">
        <v>42</v>
      </c>
      <c r="M178" t="s">
        <v>23</v>
      </c>
      <c r="N178">
        <v>0</v>
      </c>
      <c r="O178">
        <v>0</v>
      </c>
      <c r="P178" s="8">
        <f>INT(Delivery_data[[#This Row],[Order Timestamp]])</f>
        <v>45174</v>
      </c>
      <c r="Q178" t="str">
        <f ca="1">IF(Delivery_data[[#This Row],[Order Status]]="In Progress", TODAY()-Delivery_data[[#This Row],[Order Date]], "")</f>
        <v/>
      </c>
      <c r="R178">
        <f>IF(Delivery_data[[#This Row],[On Time]]=1,0,1)</f>
        <v>1</v>
      </c>
    </row>
    <row r="179" spans="1:18" x14ac:dyDescent="0.35">
      <c r="A179">
        <v>1705</v>
      </c>
      <c r="B179" t="s">
        <v>295</v>
      </c>
      <c r="C179" s="1">
        <v>45177.604861111111</v>
      </c>
      <c r="D179" t="s">
        <v>25</v>
      </c>
      <c r="E179" t="s">
        <v>284</v>
      </c>
      <c r="F179" t="s">
        <v>18</v>
      </c>
      <c r="G179" t="s">
        <v>233</v>
      </c>
      <c r="H179">
        <v>181</v>
      </c>
      <c r="I179">
        <v>25</v>
      </c>
      <c r="J179" t="s">
        <v>35</v>
      </c>
      <c r="K179" t="s">
        <v>21</v>
      </c>
      <c r="L179" t="s">
        <v>42</v>
      </c>
      <c r="M179" t="s">
        <v>39</v>
      </c>
      <c r="N179">
        <v>0</v>
      </c>
      <c r="O179">
        <v>1</v>
      </c>
      <c r="P179" s="8">
        <f>INT(Delivery_data[[#This Row],[Order Timestamp]])</f>
        <v>45177</v>
      </c>
      <c r="Q179" t="str">
        <f ca="1">IF(Delivery_data[[#This Row],[Order Status]]="In Progress", TODAY()-Delivery_data[[#This Row],[Order Date]], "")</f>
        <v/>
      </c>
      <c r="R179">
        <f>IF(Delivery_data[[#This Row],[On Time]]=1,0,1)</f>
        <v>1</v>
      </c>
    </row>
    <row r="180" spans="1:18" x14ac:dyDescent="0.35">
      <c r="A180">
        <v>1718</v>
      </c>
      <c r="B180" t="s">
        <v>296</v>
      </c>
      <c r="C180" s="1">
        <v>45170.375</v>
      </c>
      <c r="D180" t="s">
        <v>25</v>
      </c>
      <c r="E180" t="s">
        <v>245</v>
      </c>
      <c r="F180" t="s">
        <v>18</v>
      </c>
      <c r="G180" t="s">
        <v>233</v>
      </c>
      <c r="H180">
        <v>90</v>
      </c>
      <c r="I180">
        <v>9</v>
      </c>
      <c r="J180" t="s">
        <v>20</v>
      </c>
      <c r="K180" t="s">
        <v>21</v>
      </c>
      <c r="L180" t="s">
        <v>22</v>
      </c>
      <c r="M180" t="s">
        <v>23</v>
      </c>
      <c r="N180">
        <v>0</v>
      </c>
      <c r="O180">
        <v>0</v>
      </c>
      <c r="P180" s="8">
        <f>INT(Delivery_data[[#This Row],[Order Timestamp]])</f>
        <v>45170</v>
      </c>
      <c r="Q180" t="str">
        <f ca="1">IF(Delivery_data[[#This Row],[Order Status]]="In Progress", TODAY()-Delivery_data[[#This Row],[Order Date]], "")</f>
        <v/>
      </c>
      <c r="R180">
        <f>IF(Delivery_data[[#This Row],[On Time]]=1,0,1)</f>
        <v>1</v>
      </c>
    </row>
    <row r="181" spans="1:18" x14ac:dyDescent="0.35">
      <c r="A181">
        <v>1727</v>
      </c>
      <c r="B181" t="s">
        <v>297</v>
      </c>
      <c r="C181" s="1">
        <v>45177.63958333333</v>
      </c>
      <c r="D181" t="s">
        <v>16</v>
      </c>
      <c r="E181" t="s">
        <v>85</v>
      </c>
      <c r="F181" t="s">
        <v>18</v>
      </c>
      <c r="G181" t="s">
        <v>233</v>
      </c>
      <c r="H181">
        <v>237</v>
      </c>
      <c r="I181">
        <v>19</v>
      </c>
      <c r="J181" t="s">
        <v>35</v>
      </c>
      <c r="K181" t="s">
        <v>21</v>
      </c>
      <c r="L181" t="s">
        <v>22</v>
      </c>
      <c r="M181" t="s">
        <v>23</v>
      </c>
      <c r="N181">
        <v>0</v>
      </c>
      <c r="O181">
        <v>1</v>
      </c>
      <c r="P181" s="8">
        <f>INT(Delivery_data[[#This Row],[Order Timestamp]])</f>
        <v>45177</v>
      </c>
      <c r="Q181">
        <f ca="1">IF(Delivery_data[[#This Row],[Order Status]]="In Progress", TODAY()-Delivery_data[[#This Row],[Order Date]], "")</f>
        <v>806</v>
      </c>
      <c r="R181">
        <f>IF(Delivery_data[[#This Row],[On Time]]=1,0,1)</f>
        <v>1</v>
      </c>
    </row>
    <row r="182" spans="1:18" x14ac:dyDescent="0.35">
      <c r="A182">
        <v>1739</v>
      </c>
      <c r="B182" t="s">
        <v>298</v>
      </c>
      <c r="C182" s="1">
        <v>45175.378472222219</v>
      </c>
      <c r="D182" t="s">
        <v>25</v>
      </c>
      <c r="E182" t="s">
        <v>80</v>
      </c>
      <c r="F182" t="s">
        <v>18</v>
      </c>
      <c r="G182" t="s">
        <v>233</v>
      </c>
      <c r="H182">
        <v>197</v>
      </c>
      <c r="I182">
        <v>2</v>
      </c>
      <c r="J182" t="s">
        <v>27</v>
      </c>
      <c r="K182" t="s">
        <v>21</v>
      </c>
      <c r="L182" t="s">
        <v>29</v>
      </c>
      <c r="M182" t="s">
        <v>30</v>
      </c>
      <c r="N182">
        <v>0</v>
      </c>
      <c r="O182">
        <v>0</v>
      </c>
      <c r="P182" s="8">
        <f>INT(Delivery_data[[#This Row],[Order Timestamp]])</f>
        <v>45175</v>
      </c>
      <c r="Q182" t="str">
        <f ca="1">IF(Delivery_data[[#This Row],[Order Status]]="In Progress", TODAY()-Delivery_data[[#This Row],[Order Date]], "")</f>
        <v/>
      </c>
      <c r="R182">
        <f>IF(Delivery_data[[#This Row],[On Time]]=1,0,1)</f>
        <v>1</v>
      </c>
    </row>
    <row r="183" spans="1:18" x14ac:dyDescent="0.35">
      <c r="A183">
        <v>1745</v>
      </c>
      <c r="B183" t="s">
        <v>299</v>
      </c>
      <c r="C183" s="1">
        <v>45175.363194444442</v>
      </c>
      <c r="D183" t="s">
        <v>25</v>
      </c>
      <c r="E183" t="s">
        <v>94</v>
      </c>
      <c r="F183" t="s">
        <v>18</v>
      </c>
      <c r="G183" t="s">
        <v>233</v>
      </c>
      <c r="H183">
        <v>222</v>
      </c>
      <c r="I183">
        <v>19</v>
      </c>
      <c r="J183" t="s">
        <v>27</v>
      </c>
      <c r="K183" t="s">
        <v>38</v>
      </c>
      <c r="L183" t="s">
        <v>29</v>
      </c>
      <c r="M183" t="s">
        <v>30</v>
      </c>
      <c r="N183">
        <v>0</v>
      </c>
      <c r="O183">
        <v>0</v>
      </c>
      <c r="P183" s="8">
        <f>INT(Delivery_data[[#This Row],[Order Timestamp]])</f>
        <v>45175</v>
      </c>
      <c r="Q183" t="str">
        <f ca="1">IF(Delivery_data[[#This Row],[Order Status]]="In Progress", TODAY()-Delivery_data[[#This Row],[Order Date]], "")</f>
        <v/>
      </c>
      <c r="R183">
        <f>IF(Delivery_data[[#This Row],[On Time]]=1,0,1)</f>
        <v>1</v>
      </c>
    </row>
    <row r="184" spans="1:18" x14ac:dyDescent="0.35">
      <c r="A184">
        <v>1778</v>
      </c>
      <c r="B184" t="s">
        <v>300</v>
      </c>
      <c r="C184" s="1">
        <v>45172.459722222222</v>
      </c>
      <c r="D184" t="s">
        <v>25</v>
      </c>
      <c r="E184" t="s">
        <v>37</v>
      </c>
      <c r="F184" t="s">
        <v>18</v>
      </c>
      <c r="G184" t="s">
        <v>233</v>
      </c>
      <c r="H184">
        <v>143</v>
      </c>
      <c r="I184">
        <v>4</v>
      </c>
      <c r="J184" t="s">
        <v>35</v>
      </c>
      <c r="K184" t="s">
        <v>38</v>
      </c>
      <c r="L184" t="s">
        <v>22</v>
      </c>
      <c r="M184" t="s">
        <v>39</v>
      </c>
      <c r="N184">
        <v>0</v>
      </c>
      <c r="O184">
        <v>1</v>
      </c>
      <c r="P184" s="8">
        <f>INT(Delivery_data[[#This Row],[Order Timestamp]])</f>
        <v>45172</v>
      </c>
      <c r="Q184" t="str">
        <f ca="1">IF(Delivery_data[[#This Row],[Order Status]]="In Progress", TODAY()-Delivery_data[[#This Row],[Order Date]], "")</f>
        <v/>
      </c>
      <c r="R184">
        <f>IF(Delivery_data[[#This Row],[On Time]]=1,0,1)</f>
        <v>1</v>
      </c>
    </row>
    <row r="185" spans="1:18" x14ac:dyDescent="0.35">
      <c r="A185">
        <v>1787</v>
      </c>
      <c r="B185" t="s">
        <v>301</v>
      </c>
      <c r="C185" s="1">
        <v>45170.404861111114</v>
      </c>
      <c r="D185" t="s">
        <v>16</v>
      </c>
      <c r="E185" t="s">
        <v>144</v>
      </c>
      <c r="F185" t="s">
        <v>18</v>
      </c>
      <c r="G185" t="s">
        <v>233</v>
      </c>
      <c r="H185">
        <v>115</v>
      </c>
      <c r="I185">
        <v>20</v>
      </c>
      <c r="J185" t="s">
        <v>20</v>
      </c>
      <c r="K185" t="s">
        <v>51</v>
      </c>
      <c r="L185" t="s">
        <v>29</v>
      </c>
      <c r="M185" t="s">
        <v>39</v>
      </c>
      <c r="N185">
        <v>0</v>
      </c>
      <c r="O185">
        <v>0</v>
      </c>
      <c r="P185" s="8">
        <f>INT(Delivery_data[[#This Row],[Order Timestamp]])</f>
        <v>45170</v>
      </c>
      <c r="Q185">
        <f ca="1">IF(Delivery_data[[#This Row],[Order Status]]="In Progress", TODAY()-Delivery_data[[#This Row],[Order Date]], "")</f>
        <v>813</v>
      </c>
      <c r="R185">
        <f>IF(Delivery_data[[#This Row],[On Time]]=1,0,1)</f>
        <v>1</v>
      </c>
    </row>
    <row r="186" spans="1:18" x14ac:dyDescent="0.35">
      <c r="A186">
        <v>1794</v>
      </c>
      <c r="B186" t="s">
        <v>302</v>
      </c>
      <c r="C186" s="1">
        <v>45174.702777777777</v>
      </c>
      <c r="D186" t="s">
        <v>25</v>
      </c>
      <c r="E186" t="s">
        <v>260</v>
      </c>
      <c r="F186" t="s">
        <v>18</v>
      </c>
      <c r="G186" t="s">
        <v>233</v>
      </c>
      <c r="H186">
        <v>89</v>
      </c>
      <c r="I186">
        <v>7</v>
      </c>
      <c r="J186" t="s">
        <v>35</v>
      </c>
      <c r="K186" t="s">
        <v>28</v>
      </c>
      <c r="L186" t="s">
        <v>29</v>
      </c>
      <c r="M186" t="s">
        <v>30</v>
      </c>
      <c r="N186">
        <v>0</v>
      </c>
      <c r="O186">
        <v>1</v>
      </c>
      <c r="P186" s="8">
        <f>INT(Delivery_data[[#This Row],[Order Timestamp]])</f>
        <v>45174</v>
      </c>
      <c r="Q186" t="str">
        <f ca="1">IF(Delivery_data[[#This Row],[Order Status]]="In Progress", TODAY()-Delivery_data[[#This Row],[Order Date]], "")</f>
        <v/>
      </c>
      <c r="R186">
        <f>IF(Delivery_data[[#This Row],[On Time]]=1,0,1)</f>
        <v>1</v>
      </c>
    </row>
    <row r="187" spans="1:18" x14ac:dyDescent="0.35">
      <c r="A187">
        <v>1802</v>
      </c>
      <c r="B187" t="s">
        <v>303</v>
      </c>
      <c r="C187" s="1">
        <v>45170.658333333333</v>
      </c>
      <c r="D187" t="s">
        <v>25</v>
      </c>
      <c r="E187" t="s">
        <v>83</v>
      </c>
      <c r="F187" t="s">
        <v>18</v>
      </c>
      <c r="G187" t="s">
        <v>233</v>
      </c>
      <c r="H187">
        <v>235</v>
      </c>
      <c r="I187">
        <v>7</v>
      </c>
      <c r="J187" t="s">
        <v>27</v>
      </c>
      <c r="K187" t="s">
        <v>28</v>
      </c>
      <c r="L187" t="s">
        <v>42</v>
      </c>
      <c r="M187" t="s">
        <v>30</v>
      </c>
      <c r="N187">
        <v>0</v>
      </c>
      <c r="O187">
        <v>0</v>
      </c>
      <c r="P187" s="8">
        <f>INT(Delivery_data[[#This Row],[Order Timestamp]])</f>
        <v>45170</v>
      </c>
      <c r="Q187" t="str">
        <f ca="1">IF(Delivery_data[[#This Row],[Order Status]]="In Progress", TODAY()-Delivery_data[[#This Row],[Order Date]], "")</f>
        <v/>
      </c>
      <c r="R187">
        <f>IF(Delivery_data[[#This Row],[On Time]]=1,0,1)</f>
        <v>1</v>
      </c>
    </row>
    <row r="188" spans="1:18" x14ac:dyDescent="0.35">
      <c r="A188">
        <v>1843</v>
      </c>
      <c r="B188" t="s">
        <v>304</v>
      </c>
      <c r="C188" s="1">
        <v>45174.662499999999</v>
      </c>
      <c r="D188" t="s">
        <v>25</v>
      </c>
      <c r="E188" t="s">
        <v>64</v>
      </c>
      <c r="F188" t="s">
        <v>18</v>
      </c>
      <c r="G188" t="s">
        <v>233</v>
      </c>
      <c r="H188">
        <v>131</v>
      </c>
      <c r="I188">
        <v>22</v>
      </c>
      <c r="J188" t="s">
        <v>35</v>
      </c>
      <c r="K188" t="s">
        <v>28</v>
      </c>
      <c r="L188" t="s">
        <v>22</v>
      </c>
      <c r="M188" t="s">
        <v>39</v>
      </c>
      <c r="N188">
        <v>0</v>
      </c>
      <c r="O188">
        <v>1</v>
      </c>
      <c r="P188" s="8">
        <f>INT(Delivery_data[[#This Row],[Order Timestamp]])</f>
        <v>45174</v>
      </c>
      <c r="Q188" t="str">
        <f ca="1">IF(Delivery_data[[#This Row],[Order Status]]="In Progress", TODAY()-Delivery_data[[#This Row],[Order Date]], "")</f>
        <v/>
      </c>
      <c r="R188">
        <f>IF(Delivery_data[[#This Row],[On Time]]=1,0,1)</f>
        <v>1</v>
      </c>
    </row>
    <row r="189" spans="1:18" x14ac:dyDescent="0.35">
      <c r="A189">
        <v>1845</v>
      </c>
      <c r="B189" t="s">
        <v>305</v>
      </c>
      <c r="C189" s="1">
        <v>45173.393750000003</v>
      </c>
      <c r="D189" t="s">
        <v>25</v>
      </c>
      <c r="E189" t="s">
        <v>252</v>
      </c>
      <c r="F189" t="s">
        <v>18</v>
      </c>
      <c r="G189" t="s">
        <v>233</v>
      </c>
      <c r="H189">
        <v>109</v>
      </c>
      <c r="I189">
        <v>21</v>
      </c>
      <c r="J189" t="s">
        <v>20</v>
      </c>
      <c r="K189" t="s">
        <v>51</v>
      </c>
      <c r="L189" t="s">
        <v>42</v>
      </c>
      <c r="M189" t="s">
        <v>30</v>
      </c>
      <c r="N189">
        <v>0</v>
      </c>
      <c r="O189">
        <v>0</v>
      </c>
      <c r="P189" s="8">
        <f>INT(Delivery_data[[#This Row],[Order Timestamp]])</f>
        <v>45173</v>
      </c>
      <c r="Q189" t="str">
        <f ca="1">IF(Delivery_data[[#This Row],[Order Status]]="In Progress", TODAY()-Delivery_data[[#This Row],[Order Date]], "")</f>
        <v/>
      </c>
      <c r="R189">
        <f>IF(Delivery_data[[#This Row],[On Time]]=1,0,1)</f>
        <v>1</v>
      </c>
    </row>
    <row r="190" spans="1:18" x14ac:dyDescent="0.35">
      <c r="A190">
        <v>1846</v>
      </c>
      <c r="B190" t="s">
        <v>306</v>
      </c>
      <c r="C190" s="1">
        <v>45171.505555555559</v>
      </c>
      <c r="D190" t="s">
        <v>16</v>
      </c>
      <c r="E190" t="s">
        <v>245</v>
      </c>
      <c r="F190" t="s">
        <v>18</v>
      </c>
      <c r="G190" t="s">
        <v>233</v>
      </c>
      <c r="H190">
        <v>168</v>
      </c>
      <c r="I190">
        <v>12</v>
      </c>
      <c r="J190" t="s">
        <v>35</v>
      </c>
      <c r="K190" t="s">
        <v>28</v>
      </c>
      <c r="L190" t="s">
        <v>29</v>
      </c>
      <c r="M190" t="s">
        <v>39</v>
      </c>
      <c r="N190">
        <v>0</v>
      </c>
      <c r="O190">
        <v>1</v>
      </c>
      <c r="P190" s="8">
        <f>INT(Delivery_data[[#This Row],[Order Timestamp]])</f>
        <v>45171</v>
      </c>
      <c r="Q190">
        <f ca="1">IF(Delivery_data[[#This Row],[Order Status]]="In Progress", TODAY()-Delivery_data[[#This Row],[Order Date]], "")</f>
        <v>812</v>
      </c>
      <c r="R190">
        <f>IF(Delivery_data[[#This Row],[On Time]]=1,0,1)</f>
        <v>1</v>
      </c>
    </row>
    <row r="191" spans="1:18" x14ac:dyDescent="0.35">
      <c r="A191">
        <v>1862</v>
      </c>
      <c r="B191" t="s">
        <v>307</v>
      </c>
      <c r="C191" s="1">
        <v>45172.493055555555</v>
      </c>
      <c r="D191" t="s">
        <v>25</v>
      </c>
      <c r="E191" t="s">
        <v>227</v>
      </c>
      <c r="F191" t="s">
        <v>18</v>
      </c>
      <c r="G191" t="s">
        <v>233</v>
      </c>
      <c r="H191">
        <v>128</v>
      </c>
      <c r="I191">
        <v>22</v>
      </c>
      <c r="J191" t="s">
        <v>27</v>
      </c>
      <c r="K191" t="s">
        <v>28</v>
      </c>
      <c r="L191" t="s">
        <v>29</v>
      </c>
      <c r="M191" t="s">
        <v>39</v>
      </c>
      <c r="N191">
        <v>0</v>
      </c>
      <c r="O191">
        <v>0</v>
      </c>
      <c r="P191" s="8">
        <f>INT(Delivery_data[[#This Row],[Order Timestamp]])</f>
        <v>45172</v>
      </c>
      <c r="Q191" t="str">
        <f ca="1">IF(Delivery_data[[#This Row],[Order Status]]="In Progress", TODAY()-Delivery_data[[#This Row],[Order Date]], "")</f>
        <v/>
      </c>
      <c r="R191">
        <f>IF(Delivery_data[[#This Row],[On Time]]=1,0,1)</f>
        <v>1</v>
      </c>
    </row>
    <row r="192" spans="1:18" x14ac:dyDescent="0.35">
      <c r="A192">
        <v>1872</v>
      </c>
      <c r="B192" t="s">
        <v>308</v>
      </c>
      <c r="C192" s="1">
        <v>45177.390972222223</v>
      </c>
      <c r="D192" t="s">
        <v>16</v>
      </c>
      <c r="E192" t="s">
        <v>225</v>
      </c>
      <c r="F192" t="s">
        <v>18</v>
      </c>
      <c r="G192" t="s">
        <v>233</v>
      </c>
      <c r="H192">
        <v>184</v>
      </c>
      <c r="I192">
        <v>16</v>
      </c>
      <c r="J192" t="s">
        <v>27</v>
      </c>
      <c r="K192" t="s">
        <v>33</v>
      </c>
      <c r="L192" t="s">
        <v>29</v>
      </c>
      <c r="M192" t="s">
        <v>39</v>
      </c>
      <c r="N192">
        <v>0</v>
      </c>
      <c r="O192">
        <v>0</v>
      </c>
      <c r="P192" s="8">
        <f>INT(Delivery_data[[#This Row],[Order Timestamp]])</f>
        <v>45177</v>
      </c>
      <c r="Q192">
        <f ca="1">IF(Delivery_data[[#This Row],[Order Status]]="In Progress", TODAY()-Delivery_data[[#This Row],[Order Date]], "")</f>
        <v>806</v>
      </c>
      <c r="R192">
        <f>IF(Delivery_data[[#This Row],[On Time]]=1,0,1)</f>
        <v>1</v>
      </c>
    </row>
    <row r="193" spans="1:18" x14ac:dyDescent="0.35">
      <c r="A193">
        <v>1879</v>
      </c>
      <c r="B193" t="s">
        <v>309</v>
      </c>
      <c r="C193" s="1">
        <v>45172.486805555556</v>
      </c>
      <c r="D193" t="s">
        <v>25</v>
      </c>
      <c r="E193" t="s">
        <v>37</v>
      </c>
      <c r="F193" t="s">
        <v>18</v>
      </c>
      <c r="G193" t="s">
        <v>233</v>
      </c>
      <c r="H193">
        <v>176</v>
      </c>
      <c r="I193">
        <v>28</v>
      </c>
      <c r="J193" t="s">
        <v>27</v>
      </c>
      <c r="K193" t="s">
        <v>21</v>
      </c>
      <c r="L193" t="s">
        <v>22</v>
      </c>
      <c r="M193" t="s">
        <v>30</v>
      </c>
      <c r="N193">
        <v>0</v>
      </c>
      <c r="O193">
        <v>0</v>
      </c>
      <c r="P193" s="8">
        <f>INT(Delivery_data[[#This Row],[Order Timestamp]])</f>
        <v>45172</v>
      </c>
      <c r="Q193" t="str">
        <f ca="1">IF(Delivery_data[[#This Row],[Order Status]]="In Progress", TODAY()-Delivery_data[[#This Row],[Order Date]], "")</f>
        <v/>
      </c>
      <c r="R193">
        <f>IF(Delivery_data[[#This Row],[On Time]]=1,0,1)</f>
        <v>1</v>
      </c>
    </row>
    <row r="194" spans="1:18" x14ac:dyDescent="0.35">
      <c r="A194">
        <v>1882</v>
      </c>
      <c r="B194" t="s">
        <v>310</v>
      </c>
      <c r="C194" s="1">
        <v>45177.497916666667</v>
      </c>
      <c r="D194" t="s">
        <v>16</v>
      </c>
      <c r="E194" t="s">
        <v>32</v>
      </c>
      <c r="F194" t="s">
        <v>18</v>
      </c>
      <c r="G194" t="s">
        <v>233</v>
      </c>
      <c r="H194">
        <v>228</v>
      </c>
      <c r="I194">
        <v>13</v>
      </c>
      <c r="J194" t="s">
        <v>20</v>
      </c>
      <c r="K194" t="s">
        <v>38</v>
      </c>
      <c r="L194" t="s">
        <v>22</v>
      </c>
      <c r="M194" t="s">
        <v>30</v>
      </c>
      <c r="N194">
        <v>0</v>
      </c>
      <c r="O194">
        <v>0</v>
      </c>
      <c r="P194" s="8">
        <f>INT(Delivery_data[[#This Row],[Order Timestamp]])</f>
        <v>45177</v>
      </c>
      <c r="Q194">
        <f ca="1">IF(Delivery_data[[#This Row],[Order Status]]="In Progress", TODAY()-Delivery_data[[#This Row],[Order Date]], "")</f>
        <v>806</v>
      </c>
      <c r="R194">
        <f>IF(Delivery_data[[#This Row],[On Time]]=1,0,1)</f>
        <v>1</v>
      </c>
    </row>
    <row r="195" spans="1:18" x14ac:dyDescent="0.35">
      <c r="A195">
        <v>1898</v>
      </c>
      <c r="B195" t="s">
        <v>311</v>
      </c>
      <c r="C195" s="1">
        <v>45171.48333333333</v>
      </c>
      <c r="D195" t="s">
        <v>25</v>
      </c>
      <c r="E195" t="s">
        <v>100</v>
      </c>
      <c r="F195" t="s">
        <v>18</v>
      </c>
      <c r="G195" t="s">
        <v>233</v>
      </c>
      <c r="H195">
        <v>172</v>
      </c>
      <c r="I195">
        <v>28</v>
      </c>
      <c r="J195" t="s">
        <v>35</v>
      </c>
      <c r="K195" t="s">
        <v>33</v>
      </c>
      <c r="L195" t="s">
        <v>29</v>
      </c>
      <c r="M195" t="s">
        <v>30</v>
      </c>
      <c r="N195">
        <v>0</v>
      </c>
      <c r="O195">
        <v>1</v>
      </c>
      <c r="P195" s="8">
        <f>INT(Delivery_data[[#This Row],[Order Timestamp]])</f>
        <v>45171</v>
      </c>
      <c r="Q195" t="str">
        <f ca="1">IF(Delivery_data[[#This Row],[Order Status]]="In Progress", TODAY()-Delivery_data[[#This Row],[Order Date]], "")</f>
        <v/>
      </c>
      <c r="R195">
        <f>IF(Delivery_data[[#This Row],[On Time]]=1,0,1)</f>
        <v>1</v>
      </c>
    </row>
    <row r="196" spans="1:18" x14ac:dyDescent="0.35">
      <c r="A196">
        <v>1922</v>
      </c>
      <c r="B196" t="s">
        <v>312</v>
      </c>
      <c r="C196" s="1">
        <v>45176.674305555556</v>
      </c>
      <c r="D196" t="s">
        <v>16</v>
      </c>
      <c r="E196" t="s">
        <v>240</v>
      </c>
      <c r="F196" t="s">
        <v>18</v>
      </c>
      <c r="G196" t="s">
        <v>233</v>
      </c>
      <c r="H196">
        <v>217</v>
      </c>
      <c r="I196">
        <v>3</v>
      </c>
      <c r="J196" t="s">
        <v>27</v>
      </c>
      <c r="K196" t="s">
        <v>33</v>
      </c>
      <c r="L196" t="s">
        <v>42</v>
      </c>
      <c r="M196" t="s">
        <v>39</v>
      </c>
      <c r="N196">
        <v>0</v>
      </c>
      <c r="O196">
        <v>0</v>
      </c>
      <c r="P196" s="8">
        <f>INT(Delivery_data[[#This Row],[Order Timestamp]])</f>
        <v>45176</v>
      </c>
      <c r="Q196">
        <f ca="1">IF(Delivery_data[[#This Row],[Order Status]]="In Progress", TODAY()-Delivery_data[[#This Row],[Order Date]], "")</f>
        <v>807</v>
      </c>
      <c r="R196">
        <f>IF(Delivery_data[[#This Row],[On Time]]=1,0,1)</f>
        <v>1</v>
      </c>
    </row>
    <row r="197" spans="1:18" x14ac:dyDescent="0.35">
      <c r="A197">
        <v>1926</v>
      </c>
      <c r="B197" t="s">
        <v>313</v>
      </c>
      <c r="C197" s="1">
        <v>45177.375</v>
      </c>
      <c r="D197" t="s">
        <v>16</v>
      </c>
      <c r="E197" t="s">
        <v>314</v>
      </c>
      <c r="F197" t="s">
        <v>18</v>
      </c>
      <c r="G197" t="s">
        <v>233</v>
      </c>
      <c r="H197">
        <v>181</v>
      </c>
      <c r="I197">
        <v>7</v>
      </c>
      <c r="J197" t="s">
        <v>27</v>
      </c>
      <c r="K197" t="s">
        <v>28</v>
      </c>
      <c r="L197" t="s">
        <v>29</v>
      </c>
      <c r="M197" t="s">
        <v>39</v>
      </c>
      <c r="N197">
        <v>0</v>
      </c>
      <c r="O197">
        <v>0</v>
      </c>
      <c r="P197" s="8">
        <f>INT(Delivery_data[[#This Row],[Order Timestamp]])</f>
        <v>45177</v>
      </c>
      <c r="Q197">
        <f ca="1">IF(Delivery_data[[#This Row],[Order Status]]="In Progress", TODAY()-Delivery_data[[#This Row],[Order Date]], "")</f>
        <v>806</v>
      </c>
      <c r="R197">
        <f>IF(Delivery_data[[#This Row],[On Time]]=1,0,1)</f>
        <v>1</v>
      </c>
    </row>
    <row r="198" spans="1:18" x14ac:dyDescent="0.35">
      <c r="A198">
        <v>1932</v>
      </c>
      <c r="B198" t="s">
        <v>315</v>
      </c>
      <c r="C198" s="1">
        <v>45174.704861111109</v>
      </c>
      <c r="D198" t="s">
        <v>25</v>
      </c>
      <c r="E198" t="s">
        <v>41</v>
      </c>
      <c r="F198" t="s">
        <v>18</v>
      </c>
      <c r="G198" t="s">
        <v>233</v>
      </c>
      <c r="H198">
        <v>168</v>
      </c>
      <c r="I198">
        <v>12</v>
      </c>
      <c r="J198" t="s">
        <v>27</v>
      </c>
      <c r="K198" t="s">
        <v>33</v>
      </c>
      <c r="L198" t="s">
        <v>22</v>
      </c>
      <c r="M198" t="s">
        <v>39</v>
      </c>
      <c r="N198">
        <v>0</v>
      </c>
      <c r="O198">
        <v>0</v>
      </c>
      <c r="P198" s="8">
        <f>INT(Delivery_data[[#This Row],[Order Timestamp]])</f>
        <v>45174</v>
      </c>
      <c r="Q198" t="str">
        <f ca="1">IF(Delivery_data[[#This Row],[Order Status]]="In Progress", TODAY()-Delivery_data[[#This Row],[Order Date]], "")</f>
        <v/>
      </c>
      <c r="R198">
        <f>IF(Delivery_data[[#This Row],[On Time]]=1,0,1)</f>
        <v>1</v>
      </c>
    </row>
    <row r="199" spans="1:18" x14ac:dyDescent="0.35">
      <c r="A199">
        <v>1949</v>
      </c>
      <c r="B199" t="s">
        <v>316</v>
      </c>
      <c r="C199" s="1">
        <v>45173.504166666666</v>
      </c>
      <c r="D199" t="s">
        <v>16</v>
      </c>
      <c r="E199" t="s">
        <v>37</v>
      </c>
      <c r="F199" t="s">
        <v>18</v>
      </c>
      <c r="G199" t="s">
        <v>233</v>
      </c>
      <c r="H199">
        <v>233</v>
      </c>
      <c r="I199">
        <v>24</v>
      </c>
      <c r="J199" t="s">
        <v>35</v>
      </c>
      <c r="K199" t="s">
        <v>21</v>
      </c>
      <c r="L199" t="s">
        <v>42</v>
      </c>
      <c r="M199" t="s">
        <v>23</v>
      </c>
      <c r="N199">
        <v>0</v>
      </c>
      <c r="O199">
        <v>1</v>
      </c>
      <c r="P199" s="8">
        <f>INT(Delivery_data[[#This Row],[Order Timestamp]])</f>
        <v>45173</v>
      </c>
      <c r="Q199">
        <f ca="1">IF(Delivery_data[[#This Row],[Order Status]]="In Progress", TODAY()-Delivery_data[[#This Row],[Order Date]], "")</f>
        <v>810</v>
      </c>
      <c r="R199">
        <f>IF(Delivery_data[[#This Row],[On Time]]=1,0,1)</f>
        <v>1</v>
      </c>
    </row>
    <row r="200" spans="1:18" x14ac:dyDescent="0.35">
      <c r="A200">
        <v>1952</v>
      </c>
      <c r="B200" t="s">
        <v>317</v>
      </c>
      <c r="C200" s="1">
        <v>45175.40347222222</v>
      </c>
      <c r="D200" t="s">
        <v>16</v>
      </c>
      <c r="E200" t="s">
        <v>252</v>
      </c>
      <c r="F200" t="s">
        <v>18</v>
      </c>
      <c r="G200" t="s">
        <v>233</v>
      </c>
      <c r="H200">
        <v>172</v>
      </c>
      <c r="I200">
        <v>24</v>
      </c>
      <c r="J200" t="s">
        <v>35</v>
      </c>
      <c r="K200" t="s">
        <v>51</v>
      </c>
      <c r="L200" t="s">
        <v>29</v>
      </c>
      <c r="M200" t="s">
        <v>39</v>
      </c>
      <c r="N200">
        <v>0</v>
      </c>
      <c r="O200">
        <v>1</v>
      </c>
      <c r="P200" s="8">
        <f>INT(Delivery_data[[#This Row],[Order Timestamp]])</f>
        <v>45175</v>
      </c>
      <c r="Q200">
        <f ca="1">IF(Delivery_data[[#This Row],[Order Status]]="In Progress", TODAY()-Delivery_data[[#This Row],[Order Date]], "")</f>
        <v>808</v>
      </c>
      <c r="R200">
        <f>IF(Delivery_data[[#This Row],[On Time]]=1,0,1)</f>
        <v>1</v>
      </c>
    </row>
    <row r="201" spans="1:18" x14ac:dyDescent="0.35">
      <c r="A201">
        <v>1965</v>
      </c>
      <c r="B201" t="s">
        <v>318</v>
      </c>
      <c r="C201" s="1">
        <v>45176.556250000001</v>
      </c>
      <c r="D201" t="s">
        <v>16</v>
      </c>
      <c r="E201" t="s">
        <v>204</v>
      </c>
      <c r="F201" t="s">
        <v>18</v>
      </c>
      <c r="G201" t="s">
        <v>233</v>
      </c>
      <c r="H201">
        <v>230</v>
      </c>
      <c r="I201">
        <v>14</v>
      </c>
      <c r="J201" t="s">
        <v>27</v>
      </c>
      <c r="K201" t="s">
        <v>38</v>
      </c>
      <c r="L201" t="s">
        <v>42</v>
      </c>
      <c r="M201" t="s">
        <v>30</v>
      </c>
      <c r="N201">
        <v>0</v>
      </c>
      <c r="O201">
        <v>0</v>
      </c>
      <c r="P201" s="8">
        <f>INT(Delivery_data[[#This Row],[Order Timestamp]])</f>
        <v>45176</v>
      </c>
      <c r="Q201">
        <f ca="1">IF(Delivery_data[[#This Row],[Order Status]]="In Progress", TODAY()-Delivery_data[[#This Row],[Order Date]], "")</f>
        <v>807</v>
      </c>
      <c r="R201">
        <f>IF(Delivery_data[[#This Row],[On Time]]=1,0,1)</f>
        <v>1</v>
      </c>
    </row>
    <row r="202" spans="1:18" x14ac:dyDescent="0.35">
      <c r="A202">
        <v>1966</v>
      </c>
      <c r="B202" t="s">
        <v>319</v>
      </c>
      <c r="C202" s="1">
        <v>45171.500694444447</v>
      </c>
      <c r="D202" t="s">
        <v>16</v>
      </c>
      <c r="E202" t="s">
        <v>320</v>
      </c>
      <c r="F202" t="s">
        <v>18</v>
      </c>
      <c r="G202" t="s">
        <v>233</v>
      </c>
      <c r="H202">
        <v>168</v>
      </c>
      <c r="I202">
        <v>28</v>
      </c>
      <c r="J202" t="s">
        <v>20</v>
      </c>
      <c r="K202" t="s">
        <v>51</v>
      </c>
      <c r="L202" t="s">
        <v>22</v>
      </c>
      <c r="M202" t="s">
        <v>39</v>
      </c>
      <c r="N202">
        <v>0</v>
      </c>
      <c r="O202">
        <v>0</v>
      </c>
      <c r="P202" s="8">
        <f>INT(Delivery_data[[#This Row],[Order Timestamp]])</f>
        <v>45171</v>
      </c>
      <c r="Q202">
        <f ca="1">IF(Delivery_data[[#This Row],[Order Status]]="In Progress", TODAY()-Delivery_data[[#This Row],[Order Date]], "")</f>
        <v>812</v>
      </c>
      <c r="R202">
        <f>IF(Delivery_data[[#This Row],[On Time]]=1,0,1)</f>
        <v>1</v>
      </c>
    </row>
    <row r="203" spans="1:18" x14ac:dyDescent="0.35">
      <c r="A203">
        <v>1977</v>
      </c>
      <c r="B203" t="s">
        <v>321</v>
      </c>
      <c r="C203" s="1">
        <v>45176.622916666667</v>
      </c>
      <c r="D203" t="s">
        <v>25</v>
      </c>
      <c r="E203" t="s">
        <v>113</v>
      </c>
      <c r="F203" t="s">
        <v>18</v>
      </c>
      <c r="G203" t="s">
        <v>233</v>
      </c>
      <c r="H203">
        <v>205</v>
      </c>
      <c r="I203">
        <v>21</v>
      </c>
      <c r="J203" t="s">
        <v>27</v>
      </c>
      <c r="K203" t="s">
        <v>28</v>
      </c>
      <c r="L203" t="s">
        <v>29</v>
      </c>
      <c r="M203" t="s">
        <v>30</v>
      </c>
      <c r="N203">
        <v>0</v>
      </c>
      <c r="O203">
        <v>0</v>
      </c>
      <c r="P203" s="8">
        <f>INT(Delivery_data[[#This Row],[Order Timestamp]])</f>
        <v>45176</v>
      </c>
      <c r="Q203" t="str">
        <f ca="1">IF(Delivery_data[[#This Row],[Order Status]]="In Progress", TODAY()-Delivery_data[[#This Row],[Order Date]], "")</f>
        <v/>
      </c>
      <c r="R203">
        <f>IF(Delivery_data[[#This Row],[On Time]]=1,0,1)</f>
        <v>1</v>
      </c>
    </row>
    <row r="204" spans="1:18" x14ac:dyDescent="0.35">
      <c r="A204">
        <v>1986</v>
      </c>
      <c r="B204" t="s">
        <v>322</v>
      </c>
      <c r="C204" s="1">
        <v>45175.68472222222</v>
      </c>
      <c r="D204" t="s">
        <v>16</v>
      </c>
      <c r="E204" t="s">
        <v>248</v>
      </c>
      <c r="F204" t="s">
        <v>18</v>
      </c>
      <c r="G204" t="s">
        <v>233</v>
      </c>
      <c r="H204">
        <v>160</v>
      </c>
      <c r="I204">
        <v>6</v>
      </c>
      <c r="J204" t="s">
        <v>20</v>
      </c>
      <c r="K204" t="s">
        <v>33</v>
      </c>
      <c r="L204" t="s">
        <v>29</v>
      </c>
      <c r="M204" t="s">
        <v>23</v>
      </c>
      <c r="N204">
        <v>0</v>
      </c>
      <c r="O204">
        <v>0</v>
      </c>
      <c r="P204" s="8">
        <f>INT(Delivery_data[[#This Row],[Order Timestamp]])</f>
        <v>45175</v>
      </c>
      <c r="Q204">
        <f ca="1">IF(Delivery_data[[#This Row],[Order Status]]="In Progress", TODAY()-Delivery_data[[#This Row],[Order Date]], "")</f>
        <v>808</v>
      </c>
      <c r="R204">
        <f>IF(Delivery_data[[#This Row],[On Time]]=1,0,1)</f>
        <v>1</v>
      </c>
    </row>
    <row r="205" spans="1:18" x14ac:dyDescent="0.35">
      <c r="A205">
        <v>1991</v>
      </c>
      <c r="B205" t="s">
        <v>323</v>
      </c>
      <c r="C205" s="1">
        <v>45175.355555555558</v>
      </c>
      <c r="D205" t="s">
        <v>25</v>
      </c>
      <c r="E205" t="s">
        <v>191</v>
      </c>
      <c r="F205" t="s">
        <v>18</v>
      </c>
      <c r="G205" t="s">
        <v>233</v>
      </c>
      <c r="H205">
        <v>88</v>
      </c>
      <c r="I205">
        <v>13</v>
      </c>
      <c r="J205" t="s">
        <v>27</v>
      </c>
      <c r="K205" t="s">
        <v>28</v>
      </c>
      <c r="L205" t="s">
        <v>29</v>
      </c>
      <c r="M205" t="s">
        <v>39</v>
      </c>
      <c r="N205">
        <v>0</v>
      </c>
      <c r="O205">
        <v>0</v>
      </c>
      <c r="P205" s="8">
        <f>INT(Delivery_data[[#This Row],[Order Timestamp]])</f>
        <v>45175</v>
      </c>
      <c r="Q205" t="str">
        <f ca="1">IF(Delivery_data[[#This Row],[Order Status]]="In Progress", TODAY()-Delivery_data[[#This Row],[Order Date]], "")</f>
        <v/>
      </c>
      <c r="R205">
        <f>IF(Delivery_data[[#This Row],[On Time]]=1,0,1)</f>
        <v>1</v>
      </c>
    </row>
    <row r="206" spans="1:18" x14ac:dyDescent="0.35">
      <c r="A206">
        <v>2012</v>
      </c>
      <c r="B206" t="s">
        <v>324</v>
      </c>
      <c r="C206" s="1">
        <v>45173.479166666664</v>
      </c>
      <c r="D206" t="s">
        <v>16</v>
      </c>
      <c r="E206" t="s">
        <v>325</v>
      </c>
      <c r="F206" t="s">
        <v>18</v>
      </c>
      <c r="G206" t="s">
        <v>233</v>
      </c>
      <c r="H206">
        <v>192</v>
      </c>
      <c r="I206">
        <v>8</v>
      </c>
      <c r="J206" t="s">
        <v>27</v>
      </c>
      <c r="K206" t="s">
        <v>28</v>
      </c>
      <c r="L206" t="s">
        <v>22</v>
      </c>
      <c r="M206" t="s">
        <v>30</v>
      </c>
      <c r="N206">
        <v>0</v>
      </c>
      <c r="O206">
        <v>0</v>
      </c>
      <c r="P206" s="8">
        <f>INT(Delivery_data[[#This Row],[Order Timestamp]])</f>
        <v>45173</v>
      </c>
      <c r="Q206">
        <f ca="1">IF(Delivery_data[[#This Row],[Order Status]]="In Progress", TODAY()-Delivery_data[[#This Row],[Order Date]], "")</f>
        <v>810</v>
      </c>
      <c r="R206">
        <f>IF(Delivery_data[[#This Row],[On Time]]=1,0,1)</f>
        <v>1</v>
      </c>
    </row>
    <row r="207" spans="1:18" x14ac:dyDescent="0.35">
      <c r="A207">
        <v>2013</v>
      </c>
      <c r="B207" t="s">
        <v>326</v>
      </c>
      <c r="C207" s="1">
        <v>45176.359027777777</v>
      </c>
      <c r="D207" t="s">
        <v>16</v>
      </c>
      <c r="E207" t="s">
        <v>181</v>
      </c>
      <c r="F207" t="s">
        <v>18</v>
      </c>
      <c r="G207" t="s">
        <v>233</v>
      </c>
      <c r="H207">
        <v>94</v>
      </c>
      <c r="I207">
        <v>28</v>
      </c>
      <c r="J207" t="s">
        <v>20</v>
      </c>
      <c r="K207" t="s">
        <v>33</v>
      </c>
      <c r="L207" t="s">
        <v>22</v>
      </c>
      <c r="M207" t="s">
        <v>30</v>
      </c>
      <c r="N207">
        <v>0</v>
      </c>
      <c r="O207">
        <v>0</v>
      </c>
      <c r="P207" s="8">
        <f>INT(Delivery_data[[#This Row],[Order Timestamp]])</f>
        <v>45176</v>
      </c>
      <c r="Q207">
        <f ca="1">IF(Delivery_data[[#This Row],[Order Status]]="In Progress", TODAY()-Delivery_data[[#This Row],[Order Date]], "")</f>
        <v>807</v>
      </c>
      <c r="R207">
        <f>IF(Delivery_data[[#This Row],[On Time]]=1,0,1)</f>
        <v>1</v>
      </c>
    </row>
    <row r="208" spans="1:18" x14ac:dyDescent="0.35">
      <c r="A208">
        <v>2021</v>
      </c>
      <c r="B208" t="s">
        <v>327</v>
      </c>
      <c r="C208" s="1">
        <v>45175.432638888888</v>
      </c>
      <c r="D208" t="s">
        <v>25</v>
      </c>
      <c r="E208" t="s">
        <v>110</v>
      </c>
      <c r="F208" t="s">
        <v>18</v>
      </c>
      <c r="G208" t="s">
        <v>233</v>
      </c>
      <c r="H208">
        <v>78</v>
      </c>
      <c r="I208">
        <v>17</v>
      </c>
      <c r="J208" t="s">
        <v>20</v>
      </c>
      <c r="K208" t="s">
        <v>21</v>
      </c>
      <c r="L208" t="s">
        <v>42</v>
      </c>
      <c r="M208" t="s">
        <v>39</v>
      </c>
      <c r="N208">
        <v>0</v>
      </c>
      <c r="O208">
        <v>0</v>
      </c>
      <c r="P208" s="8">
        <f>INT(Delivery_data[[#This Row],[Order Timestamp]])</f>
        <v>45175</v>
      </c>
      <c r="Q208" t="str">
        <f ca="1">IF(Delivery_data[[#This Row],[Order Status]]="In Progress", TODAY()-Delivery_data[[#This Row],[Order Date]], "")</f>
        <v/>
      </c>
      <c r="R208">
        <f>IF(Delivery_data[[#This Row],[On Time]]=1,0,1)</f>
        <v>1</v>
      </c>
    </row>
    <row r="209" spans="1:18" x14ac:dyDescent="0.35">
      <c r="A209">
        <v>2036</v>
      </c>
      <c r="B209" t="s">
        <v>328</v>
      </c>
      <c r="C209" s="1">
        <v>45174.509722222225</v>
      </c>
      <c r="D209" t="s">
        <v>16</v>
      </c>
      <c r="E209" t="s">
        <v>245</v>
      </c>
      <c r="F209" t="s">
        <v>18</v>
      </c>
      <c r="G209" t="s">
        <v>233</v>
      </c>
      <c r="H209">
        <v>173</v>
      </c>
      <c r="I209">
        <v>2</v>
      </c>
      <c r="J209" t="s">
        <v>20</v>
      </c>
      <c r="K209" t="s">
        <v>51</v>
      </c>
      <c r="L209" t="s">
        <v>29</v>
      </c>
      <c r="M209" t="s">
        <v>23</v>
      </c>
      <c r="N209">
        <v>0</v>
      </c>
      <c r="O209">
        <v>0</v>
      </c>
      <c r="P209" s="8">
        <f>INT(Delivery_data[[#This Row],[Order Timestamp]])</f>
        <v>45174</v>
      </c>
      <c r="Q209">
        <f ca="1">IF(Delivery_data[[#This Row],[Order Status]]="In Progress", TODAY()-Delivery_data[[#This Row],[Order Date]], "")</f>
        <v>809</v>
      </c>
      <c r="R209">
        <f>IF(Delivery_data[[#This Row],[On Time]]=1,0,1)</f>
        <v>1</v>
      </c>
    </row>
    <row r="210" spans="1:18" x14ac:dyDescent="0.35">
      <c r="A210">
        <v>2046</v>
      </c>
      <c r="B210" t="s">
        <v>329</v>
      </c>
      <c r="C210" s="1">
        <v>45177.413194444445</v>
      </c>
      <c r="D210" t="s">
        <v>25</v>
      </c>
      <c r="E210" t="s">
        <v>152</v>
      </c>
      <c r="F210" t="s">
        <v>18</v>
      </c>
      <c r="G210" t="s">
        <v>233</v>
      </c>
      <c r="H210">
        <v>102</v>
      </c>
      <c r="I210">
        <v>24</v>
      </c>
      <c r="J210" t="s">
        <v>27</v>
      </c>
      <c r="K210" t="s">
        <v>33</v>
      </c>
      <c r="L210" t="s">
        <v>29</v>
      </c>
      <c r="M210" t="s">
        <v>39</v>
      </c>
      <c r="N210">
        <v>0</v>
      </c>
      <c r="O210">
        <v>0</v>
      </c>
      <c r="P210" s="8">
        <f>INT(Delivery_data[[#This Row],[Order Timestamp]])</f>
        <v>45177</v>
      </c>
      <c r="Q210" t="str">
        <f ca="1">IF(Delivery_data[[#This Row],[Order Status]]="In Progress", TODAY()-Delivery_data[[#This Row],[Order Date]], "")</f>
        <v/>
      </c>
      <c r="R210">
        <f>IF(Delivery_data[[#This Row],[On Time]]=1,0,1)</f>
        <v>1</v>
      </c>
    </row>
    <row r="211" spans="1:18" x14ac:dyDescent="0.35">
      <c r="A211">
        <v>2049</v>
      </c>
      <c r="B211" t="s">
        <v>330</v>
      </c>
      <c r="C211" s="1">
        <v>45176.470833333333</v>
      </c>
      <c r="D211" t="s">
        <v>25</v>
      </c>
      <c r="E211" t="s">
        <v>17</v>
      </c>
      <c r="F211" t="s">
        <v>18</v>
      </c>
      <c r="G211" t="s">
        <v>233</v>
      </c>
      <c r="H211">
        <v>100</v>
      </c>
      <c r="I211">
        <v>12</v>
      </c>
      <c r="J211" t="s">
        <v>35</v>
      </c>
      <c r="K211" t="s">
        <v>28</v>
      </c>
      <c r="L211" t="s">
        <v>29</v>
      </c>
      <c r="M211" t="s">
        <v>30</v>
      </c>
      <c r="N211">
        <v>0</v>
      </c>
      <c r="O211">
        <v>1</v>
      </c>
      <c r="P211" s="8">
        <f>INT(Delivery_data[[#This Row],[Order Timestamp]])</f>
        <v>45176</v>
      </c>
      <c r="Q211" t="str">
        <f ca="1">IF(Delivery_data[[#This Row],[Order Status]]="In Progress", TODAY()-Delivery_data[[#This Row],[Order Date]], "")</f>
        <v/>
      </c>
      <c r="R211">
        <f>IF(Delivery_data[[#This Row],[On Time]]=1,0,1)</f>
        <v>1</v>
      </c>
    </row>
    <row r="212" spans="1:18" x14ac:dyDescent="0.35">
      <c r="A212">
        <v>2133</v>
      </c>
      <c r="B212" t="s">
        <v>331</v>
      </c>
      <c r="C212" s="1">
        <v>45177.451388888891</v>
      </c>
      <c r="D212" t="s">
        <v>16</v>
      </c>
      <c r="E212" t="s">
        <v>104</v>
      </c>
      <c r="F212" t="s">
        <v>18</v>
      </c>
      <c r="G212" t="s">
        <v>233</v>
      </c>
      <c r="H212">
        <v>198</v>
      </c>
      <c r="I212">
        <v>24</v>
      </c>
      <c r="J212" t="s">
        <v>35</v>
      </c>
      <c r="K212" t="s">
        <v>21</v>
      </c>
      <c r="L212" t="s">
        <v>22</v>
      </c>
      <c r="M212" t="s">
        <v>39</v>
      </c>
      <c r="N212">
        <v>0</v>
      </c>
      <c r="O212">
        <v>1</v>
      </c>
      <c r="P212" s="8">
        <f>INT(Delivery_data[[#This Row],[Order Timestamp]])</f>
        <v>45177</v>
      </c>
      <c r="Q212">
        <f ca="1">IF(Delivery_data[[#This Row],[Order Status]]="In Progress", TODAY()-Delivery_data[[#This Row],[Order Date]], "")</f>
        <v>806</v>
      </c>
      <c r="R212">
        <f>IF(Delivery_data[[#This Row],[On Time]]=1,0,1)</f>
        <v>1</v>
      </c>
    </row>
    <row r="213" spans="1:18" x14ac:dyDescent="0.35">
      <c r="A213">
        <v>2169</v>
      </c>
      <c r="B213" t="s">
        <v>332</v>
      </c>
      <c r="C213" s="1">
        <v>45172.368750000001</v>
      </c>
      <c r="D213" t="s">
        <v>25</v>
      </c>
      <c r="E213" t="s">
        <v>60</v>
      </c>
      <c r="F213" t="s">
        <v>18</v>
      </c>
      <c r="G213" t="s">
        <v>233</v>
      </c>
      <c r="H213">
        <v>99</v>
      </c>
      <c r="I213">
        <v>13</v>
      </c>
      <c r="J213" t="s">
        <v>27</v>
      </c>
      <c r="K213" t="s">
        <v>51</v>
      </c>
      <c r="L213" t="s">
        <v>22</v>
      </c>
      <c r="M213" t="s">
        <v>39</v>
      </c>
      <c r="N213">
        <v>0</v>
      </c>
      <c r="O213">
        <v>0</v>
      </c>
      <c r="P213" s="8">
        <f>INT(Delivery_data[[#This Row],[Order Timestamp]])</f>
        <v>45172</v>
      </c>
      <c r="Q213" t="str">
        <f ca="1">IF(Delivery_data[[#This Row],[Order Status]]="In Progress", TODAY()-Delivery_data[[#This Row],[Order Date]], "")</f>
        <v/>
      </c>
      <c r="R213">
        <f>IF(Delivery_data[[#This Row],[On Time]]=1,0,1)</f>
        <v>1</v>
      </c>
    </row>
    <row r="214" spans="1:18" x14ac:dyDescent="0.35">
      <c r="A214">
        <v>2182</v>
      </c>
      <c r="B214" t="s">
        <v>333</v>
      </c>
      <c r="C214" s="1">
        <v>45176.413888888892</v>
      </c>
      <c r="D214" t="s">
        <v>16</v>
      </c>
      <c r="E214" t="s">
        <v>50</v>
      </c>
      <c r="F214" t="s">
        <v>18</v>
      </c>
      <c r="G214" t="s">
        <v>233</v>
      </c>
      <c r="H214">
        <v>173</v>
      </c>
      <c r="I214">
        <v>28</v>
      </c>
      <c r="J214" t="s">
        <v>20</v>
      </c>
      <c r="K214" t="s">
        <v>21</v>
      </c>
      <c r="L214" t="s">
        <v>42</v>
      </c>
      <c r="M214" t="s">
        <v>30</v>
      </c>
      <c r="N214">
        <v>0</v>
      </c>
      <c r="O214">
        <v>0</v>
      </c>
      <c r="P214" s="8">
        <f>INT(Delivery_data[[#This Row],[Order Timestamp]])</f>
        <v>45176</v>
      </c>
      <c r="Q214">
        <f ca="1">IF(Delivery_data[[#This Row],[Order Status]]="In Progress", TODAY()-Delivery_data[[#This Row],[Order Date]], "")</f>
        <v>807</v>
      </c>
      <c r="R214">
        <f>IF(Delivery_data[[#This Row],[On Time]]=1,0,1)</f>
        <v>1</v>
      </c>
    </row>
    <row r="215" spans="1:18" x14ac:dyDescent="0.35">
      <c r="A215">
        <v>2189</v>
      </c>
      <c r="B215" t="s">
        <v>334</v>
      </c>
      <c r="C215" s="1">
        <v>45175.442361111112</v>
      </c>
      <c r="D215" t="s">
        <v>25</v>
      </c>
      <c r="E215" t="s">
        <v>37</v>
      </c>
      <c r="F215" t="s">
        <v>18</v>
      </c>
      <c r="G215" t="s">
        <v>233</v>
      </c>
      <c r="H215">
        <v>98</v>
      </c>
      <c r="I215">
        <v>10</v>
      </c>
      <c r="J215" t="s">
        <v>35</v>
      </c>
      <c r="K215" t="s">
        <v>33</v>
      </c>
      <c r="L215" t="s">
        <v>29</v>
      </c>
      <c r="M215" t="s">
        <v>39</v>
      </c>
      <c r="N215">
        <v>0</v>
      </c>
      <c r="O215">
        <v>1</v>
      </c>
      <c r="P215" s="8">
        <f>INT(Delivery_data[[#This Row],[Order Timestamp]])</f>
        <v>45175</v>
      </c>
      <c r="Q215" t="str">
        <f ca="1">IF(Delivery_data[[#This Row],[Order Status]]="In Progress", TODAY()-Delivery_data[[#This Row],[Order Date]], "")</f>
        <v/>
      </c>
      <c r="R215">
        <f>IF(Delivery_data[[#This Row],[On Time]]=1,0,1)</f>
        <v>1</v>
      </c>
    </row>
    <row r="216" spans="1:18" x14ac:dyDescent="0.35">
      <c r="A216">
        <v>2198</v>
      </c>
      <c r="B216" t="s">
        <v>335</v>
      </c>
      <c r="C216" s="1">
        <v>45171.467361111114</v>
      </c>
      <c r="D216" t="s">
        <v>25</v>
      </c>
      <c r="E216" t="s">
        <v>245</v>
      </c>
      <c r="F216" t="s">
        <v>18</v>
      </c>
      <c r="G216" t="s">
        <v>233</v>
      </c>
      <c r="H216">
        <v>225</v>
      </c>
      <c r="I216">
        <v>11</v>
      </c>
      <c r="J216" t="s">
        <v>35</v>
      </c>
      <c r="K216" t="s">
        <v>38</v>
      </c>
      <c r="L216" t="s">
        <v>22</v>
      </c>
      <c r="M216" t="s">
        <v>30</v>
      </c>
      <c r="N216">
        <v>0</v>
      </c>
      <c r="O216">
        <v>1</v>
      </c>
      <c r="P216" s="8">
        <f>INT(Delivery_data[[#This Row],[Order Timestamp]])</f>
        <v>45171</v>
      </c>
      <c r="Q216" t="str">
        <f ca="1">IF(Delivery_data[[#This Row],[Order Status]]="In Progress", TODAY()-Delivery_data[[#This Row],[Order Date]], "")</f>
        <v/>
      </c>
      <c r="R216">
        <f>IF(Delivery_data[[#This Row],[On Time]]=1,0,1)</f>
        <v>1</v>
      </c>
    </row>
    <row r="217" spans="1:18" x14ac:dyDescent="0.35">
      <c r="A217">
        <v>2206</v>
      </c>
      <c r="B217" t="s">
        <v>336</v>
      </c>
      <c r="C217" s="1">
        <v>45172.56527777778</v>
      </c>
      <c r="D217" t="s">
        <v>16</v>
      </c>
      <c r="E217" t="s">
        <v>108</v>
      </c>
      <c r="F217" t="s">
        <v>18</v>
      </c>
      <c r="G217" t="s">
        <v>233</v>
      </c>
      <c r="H217">
        <v>94</v>
      </c>
      <c r="I217">
        <v>24</v>
      </c>
      <c r="J217" t="s">
        <v>27</v>
      </c>
      <c r="K217" t="s">
        <v>33</v>
      </c>
      <c r="L217" t="s">
        <v>42</v>
      </c>
      <c r="M217" t="s">
        <v>39</v>
      </c>
      <c r="N217">
        <v>0</v>
      </c>
      <c r="O217">
        <v>0</v>
      </c>
      <c r="P217" s="8">
        <f>INT(Delivery_data[[#This Row],[Order Timestamp]])</f>
        <v>45172</v>
      </c>
      <c r="Q217">
        <f ca="1">IF(Delivery_data[[#This Row],[Order Status]]="In Progress", TODAY()-Delivery_data[[#This Row],[Order Date]], "")</f>
        <v>811</v>
      </c>
      <c r="R217">
        <f>IF(Delivery_data[[#This Row],[On Time]]=1,0,1)</f>
        <v>1</v>
      </c>
    </row>
    <row r="218" spans="1:18" x14ac:dyDescent="0.35">
      <c r="A218">
        <v>2234</v>
      </c>
      <c r="B218" t="s">
        <v>337</v>
      </c>
      <c r="C218" s="1">
        <v>45176.452777777777</v>
      </c>
      <c r="D218" t="s">
        <v>16</v>
      </c>
      <c r="E218" t="s">
        <v>271</v>
      </c>
      <c r="F218" t="s">
        <v>18</v>
      </c>
      <c r="G218" t="s">
        <v>233</v>
      </c>
      <c r="H218">
        <v>195</v>
      </c>
      <c r="I218">
        <v>10</v>
      </c>
      <c r="J218" t="s">
        <v>20</v>
      </c>
      <c r="K218" t="s">
        <v>33</v>
      </c>
      <c r="L218" t="s">
        <v>29</v>
      </c>
      <c r="M218" t="s">
        <v>39</v>
      </c>
      <c r="N218">
        <v>0</v>
      </c>
      <c r="O218">
        <v>0</v>
      </c>
      <c r="P218" s="8">
        <f>INT(Delivery_data[[#This Row],[Order Timestamp]])</f>
        <v>45176</v>
      </c>
      <c r="Q218">
        <f ca="1">IF(Delivery_data[[#This Row],[Order Status]]="In Progress", TODAY()-Delivery_data[[#This Row],[Order Date]], "")</f>
        <v>807</v>
      </c>
      <c r="R218">
        <f>IF(Delivery_data[[#This Row],[On Time]]=1,0,1)</f>
        <v>1</v>
      </c>
    </row>
    <row r="219" spans="1:18" x14ac:dyDescent="0.35">
      <c r="A219">
        <v>2241</v>
      </c>
      <c r="B219" t="s">
        <v>338</v>
      </c>
      <c r="C219" s="1">
        <v>45175.333333333336</v>
      </c>
      <c r="D219" t="s">
        <v>16</v>
      </c>
      <c r="E219" t="s">
        <v>212</v>
      </c>
      <c r="F219" t="s">
        <v>18</v>
      </c>
      <c r="G219" t="s">
        <v>233</v>
      </c>
      <c r="H219">
        <v>161</v>
      </c>
      <c r="I219">
        <v>7</v>
      </c>
      <c r="J219" t="s">
        <v>20</v>
      </c>
      <c r="K219" t="s">
        <v>21</v>
      </c>
      <c r="L219" t="s">
        <v>42</v>
      </c>
      <c r="M219" t="s">
        <v>23</v>
      </c>
      <c r="N219">
        <v>0</v>
      </c>
      <c r="O219">
        <v>0</v>
      </c>
      <c r="P219" s="8">
        <f>INT(Delivery_data[[#This Row],[Order Timestamp]])</f>
        <v>45175</v>
      </c>
      <c r="Q219">
        <f ca="1">IF(Delivery_data[[#This Row],[Order Status]]="In Progress", TODAY()-Delivery_data[[#This Row],[Order Date]], "")</f>
        <v>808</v>
      </c>
      <c r="R219">
        <f>IF(Delivery_data[[#This Row],[On Time]]=1,0,1)</f>
        <v>1</v>
      </c>
    </row>
    <row r="220" spans="1:18" x14ac:dyDescent="0.35">
      <c r="A220">
        <v>2244</v>
      </c>
      <c r="B220" t="s">
        <v>339</v>
      </c>
      <c r="C220" s="1">
        <v>45173.684027777781</v>
      </c>
      <c r="D220" t="s">
        <v>25</v>
      </c>
      <c r="E220" t="s">
        <v>48</v>
      </c>
      <c r="F220" t="s">
        <v>18</v>
      </c>
      <c r="G220" t="s">
        <v>233</v>
      </c>
      <c r="H220">
        <v>193</v>
      </c>
      <c r="I220">
        <v>24</v>
      </c>
      <c r="J220" t="s">
        <v>20</v>
      </c>
      <c r="K220" t="s">
        <v>51</v>
      </c>
      <c r="L220" t="s">
        <v>29</v>
      </c>
      <c r="M220" t="s">
        <v>23</v>
      </c>
      <c r="N220">
        <v>0</v>
      </c>
      <c r="O220">
        <v>0</v>
      </c>
      <c r="P220" s="8">
        <f>INT(Delivery_data[[#This Row],[Order Timestamp]])</f>
        <v>45173</v>
      </c>
      <c r="Q220" t="str">
        <f ca="1">IF(Delivery_data[[#This Row],[Order Status]]="In Progress", TODAY()-Delivery_data[[#This Row],[Order Date]], "")</f>
        <v/>
      </c>
      <c r="R220">
        <f>IF(Delivery_data[[#This Row],[On Time]]=1,0,1)</f>
        <v>1</v>
      </c>
    </row>
    <row r="221" spans="1:18" x14ac:dyDescent="0.35">
      <c r="A221">
        <v>2265</v>
      </c>
      <c r="B221" t="s">
        <v>340</v>
      </c>
      <c r="C221" s="1">
        <v>45172.445833333331</v>
      </c>
      <c r="D221" t="s">
        <v>16</v>
      </c>
      <c r="E221" t="s">
        <v>254</v>
      </c>
      <c r="F221" t="s">
        <v>18</v>
      </c>
      <c r="G221" t="s">
        <v>233</v>
      </c>
      <c r="H221">
        <v>177</v>
      </c>
      <c r="I221">
        <v>16</v>
      </c>
      <c r="J221" t="s">
        <v>35</v>
      </c>
      <c r="K221" t="s">
        <v>51</v>
      </c>
      <c r="L221" t="s">
        <v>22</v>
      </c>
      <c r="M221" t="s">
        <v>23</v>
      </c>
      <c r="N221">
        <v>0</v>
      </c>
      <c r="O221">
        <v>1</v>
      </c>
      <c r="P221" s="8">
        <f>INT(Delivery_data[[#This Row],[Order Timestamp]])</f>
        <v>45172</v>
      </c>
      <c r="Q221">
        <f ca="1">IF(Delivery_data[[#This Row],[Order Status]]="In Progress", TODAY()-Delivery_data[[#This Row],[Order Date]], "")</f>
        <v>811</v>
      </c>
      <c r="R221">
        <f>IF(Delivery_data[[#This Row],[On Time]]=1,0,1)</f>
        <v>1</v>
      </c>
    </row>
    <row r="222" spans="1:18" x14ac:dyDescent="0.35">
      <c r="A222">
        <v>2302</v>
      </c>
      <c r="B222" t="s">
        <v>341</v>
      </c>
      <c r="C222" s="1">
        <v>45174.517361111109</v>
      </c>
      <c r="D222" t="s">
        <v>16</v>
      </c>
      <c r="E222" t="s">
        <v>342</v>
      </c>
      <c r="F222" t="s">
        <v>18</v>
      </c>
      <c r="G222" t="s">
        <v>233</v>
      </c>
      <c r="H222">
        <v>230</v>
      </c>
      <c r="I222">
        <v>25</v>
      </c>
      <c r="J222" t="s">
        <v>20</v>
      </c>
      <c r="K222" t="s">
        <v>21</v>
      </c>
      <c r="L222" t="s">
        <v>42</v>
      </c>
      <c r="M222" t="s">
        <v>30</v>
      </c>
      <c r="N222">
        <v>0</v>
      </c>
      <c r="O222">
        <v>0</v>
      </c>
      <c r="P222" s="8">
        <f>INT(Delivery_data[[#This Row],[Order Timestamp]])</f>
        <v>45174</v>
      </c>
      <c r="Q222">
        <f ca="1">IF(Delivery_data[[#This Row],[Order Status]]="In Progress", TODAY()-Delivery_data[[#This Row],[Order Date]], "")</f>
        <v>809</v>
      </c>
      <c r="R222">
        <f>IF(Delivery_data[[#This Row],[On Time]]=1,0,1)</f>
        <v>1</v>
      </c>
    </row>
    <row r="223" spans="1:18" x14ac:dyDescent="0.35">
      <c r="A223">
        <v>2311</v>
      </c>
      <c r="B223" t="s">
        <v>343</v>
      </c>
      <c r="C223" s="1">
        <v>45172.368055555555</v>
      </c>
      <c r="D223" t="s">
        <v>16</v>
      </c>
      <c r="E223" t="s">
        <v>184</v>
      </c>
      <c r="F223" t="s">
        <v>18</v>
      </c>
      <c r="G223" t="s">
        <v>233</v>
      </c>
      <c r="H223">
        <v>61</v>
      </c>
      <c r="I223">
        <v>4</v>
      </c>
      <c r="J223" t="s">
        <v>27</v>
      </c>
      <c r="K223" t="s">
        <v>21</v>
      </c>
      <c r="L223" t="s">
        <v>29</v>
      </c>
      <c r="M223" t="s">
        <v>30</v>
      </c>
      <c r="N223">
        <v>0</v>
      </c>
      <c r="O223">
        <v>0</v>
      </c>
      <c r="P223" s="8">
        <f>INT(Delivery_data[[#This Row],[Order Timestamp]])</f>
        <v>45172</v>
      </c>
      <c r="Q223">
        <f ca="1">IF(Delivery_data[[#This Row],[Order Status]]="In Progress", TODAY()-Delivery_data[[#This Row],[Order Date]], "")</f>
        <v>811</v>
      </c>
      <c r="R223">
        <f>IF(Delivery_data[[#This Row],[On Time]]=1,0,1)</f>
        <v>1</v>
      </c>
    </row>
    <row r="224" spans="1:18" x14ac:dyDescent="0.35">
      <c r="A224">
        <v>2314</v>
      </c>
      <c r="B224" t="s">
        <v>344</v>
      </c>
      <c r="C224" s="1">
        <v>45170.411805555559</v>
      </c>
      <c r="D224" t="s">
        <v>16</v>
      </c>
      <c r="E224" t="s">
        <v>178</v>
      </c>
      <c r="F224" t="s">
        <v>18</v>
      </c>
      <c r="G224" t="s">
        <v>233</v>
      </c>
      <c r="H224">
        <v>132</v>
      </c>
      <c r="I224">
        <v>28</v>
      </c>
      <c r="J224" t="s">
        <v>35</v>
      </c>
      <c r="K224" t="s">
        <v>21</v>
      </c>
      <c r="L224" t="s">
        <v>22</v>
      </c>
      <c r="M224" t="s">
        <v>30</v>
      </c>
      <c r="N224">
        <v>0</v>
      </c>
      <c r="O224">
        <v>1</v>
      </c>
      <c r="P224" s="8">
        <f>INT(Delivery_data[[#This Row],[Order Timestamp]])</f>
        <v>45170</v>
      </c>
      <c r="Q224">
        <f ca="1">IF(Delivery_data[[#This Row],[Order Status]]="In Progress", TODAY()-Delivery_data[[#This Row],[Order Date]], "")</f>
        <v>813</v>
      </c>
      <c r="R224">
        <f>IF(Delivery_data[[#This Row],[On Time]]=1,0,1)</f>
        <v>1</v>
      </c>
    </row>
    <row r="225" spans="1:18" x14ac:dyDescent="0.35">
      <c r="A225">
        <v>2328</v>
      </c>
      <c r="B225" t="s">
        <v>345</v>
      </c>
      <c r="C225" s="1">
        <v>45170.335416666669</v>
      </c>
      <c r="D225" t="s">
        <v>25</v>
      </c>
      <c r="E225" t="s">
        <v>346</v>
      </c>
      <c r="F225" t="s">
        <v>18</v>
      </c>
      <c r="G225" t="s">
        <v>233</v>
      </c>
      <c r="H225">
        <v>103</v>
      </c>
      <c r="I225">
        <v>6</v>
      </c>
      <c r="J225" t="s">
        <v>27</v>
      </c>
      <c r="K225" t="s">
        <v>38</v>
      </c>
      <c r="L225" t="s">
        <v>29</v>
      </c>
      <c r="M225" t="s">
        <v>23</v>
      </c>
      <c r="N225">
        <v>0</v>
      </c>
      <c r="O225">
        <v>0</v>
      </c>
      <c r="P225" s="8">
        <f>INT(Delivery_data[[#This Row],[Order Timestamp]])</f>
        <v>45170</v>
      </c>
      <c r="Q225" t="str">
        <f ca="1">IF(Delivery_data[[#This Row],[Order Status]]="In Progress", TODAY()-Delivery_data[[#This Row],[Order Date]], "")</f>
        <v/>
      </c>
      <c r="R225">
        <f>IF(Delivery_data[[#This Row],[On Time]]=1,0,1)</f>
        <v>1</v>
      </c>
    </row>
    <row r="226" spans="1:18" x14ac:dyDescent="0.35">
      <c r="A226">
        <v>2332</v>
      </c>
      <c r="B226" t="s">
        <v>347</v>
      </c>
      <c r="C226" s="1">
        <v>45175.459027777775</v>
      </c>
      <c r="D226" t="s">
        <v>25</v>
      </c>
      <c r="E226" t="s">
        <v>102</v>
      </c>
      <c r="F226" t="s">
        <v>18</v>
      </c>
      <c r="G226" t="s">
        <v>233</v>
      </c>
      <c r="H226">
        <v>213</v>
      </c>
      <c r="I226">
        <v>18</v>
      </c>
      <c r="J226" t="s">
        <v>20</v>
      </c>
      <c r="K226" t="s">
        <v>51</v>
      </c>
      <c r="L226" t="s">
        <v>29</v>
      </c>
      <c r="M226" t="s">
        <v>30</v>
      </c>
      <c r="N226">
        <v>0</v>
      </c>
      <c r="O226">
        <v>0</v>
      </c>
      <c r="P226" s="8">
        <f>INT(Delivery_data[[#This Row],[Order Timestamp]])</f>
        <v>45175</v>
      </c>
      <c r="Q226" t="str">
        <f ca="1">IF(Delivery_data[[#This Row],[Order Status]]="In Progress", TODAY()-Delivery_data[[#This Row],[Order Date]], "")</f>
        <v/>
      </c>
      <c r="R226">
        <f>IF(Delivery_data[[#This Row],[On Time]]=1,0,1)</f>
        <v>1</v>
      </c>
    </row>
    <row r="227" spans="1:18" x14ac:dyDescent="0.35">
      <c r="A227">
        <v>2352</v>
      </c>
      <c r="B227" t="s">
        <v>348</v>
      </c>
      <c r="C227" s="1">
        <v>45175.630555555559</v>
      </c>
      <c r="D227" t="s">
        <v>16</v>
      </c>
      <c r="E227" t="s">
        <v>184</v>
      </c>
      <c r="F227" t="s">
        <v>18</v>
      </c>
      <c r="G227" t="s">
        <v>233</v>
      </c>
      <c r="H227">
        <v>65</v>
      </c>
      <c r="I227">
        <v>13</v>
      </c>
      <c r="J227" t="s">
        <v>20</v>
      </c>
      <c r="K227" t="s">
        <v>38</v>
      </c>
      <c r="L227" t="s">
        <v>42</v>
      </c>
      <c r="M227" t="s">
        <v>30</v>
      </c>
      <c r="N227">
        <v>0</v>
      </c>
      <c r="O227">
        <v>0</v>
      </c>
      <c r="P227" s="8">
        <f>INT(Delivery_data[[#This Row],[Order Timestamp]])</f>
        <v>45175</v>
      </c>
      <c r="Q227">
        <f ca="1">IF(Delivery_data[[#This Row],[Order Status]]="In Progress", TODAY()-Delivery_data[[#This Row],[Order Date]], "")</f>
        <v>808</v>
      </c>
      <c r="R227">
        <f>IF(Delivery_data[[#This Row],[On Time]]=1,0,1)</f>
        <v>1</v>
      </c>
    </row>
    <row r="228" spans="1:18" x14ac:dyDescent="0.35">
      <c r="A228">
        <v>2376</v>
      </c>
      <c r="B228" t="s">
        <v>349</v>
      </c>
      <c r="C228" s="1">
        <v>45175.565972222219</v>
      </c>
      <c r="D228" t="s">
        <v>25</v>
      </c>
      <c r="E228" t="s">
        <v>314</v>
      </c>
      <c r="F228" t="s">
        <v>18</v>
      </c>
      <c r="G228" t="s">
        <v>233</v>
      </c>
      <c r="H228">
        <v>229</v>
      </c>
      <c r="I228">
        <v>2</v>
      </c>
      <c r="J228" t="s">
        <v>27</v>
      </c>
      <c r="K228" t="s">
        <v>33</v>
      </c>
      <c r="L228" t="s">
        <v>29</v>
      </c>
      <c r="M228" t="s">
        <v>23</v>
      </c>
      <c r="N228">
        <v>0</v>
      </c>
      <c r="O228">
        <v>0</v>
      </c>
      <c r="P228" s="8">
        <f>INT(Delivery_data[[#This Row],[Order Timestamp]])</f>
        <v>45175</v>
      </c>
      <c r="Q228" t="str">
        <f ca="1">IF(Delivery_data[[#This Row],[Order Status]]="In Progress", TODAY()-Delivery_data[[#This Row],[Order Date]], "")</f>
        <v/>
      </c>
      <c r="R228">
        <f>IF(Delivery_data[[#This Row],[On Time]]=1,0,1)</f>
        <v>1</v>
      </c>
    </row>
    <row r="229" spans="1:18" x14ac:dyDescent="0.35">
      <c r="A229">
        <v>2414</v>
      </c>
      <c r="B229" t="s">
        <v>350</v>
      </c>
      <c r="C229" s="1">
        <v>45170.660416666666</v>
      </c>
      <c r="D229" t="s">
        <v>25</v>
      </c>
      <c r="E229" t="s">
        <v>178</v>
      </c>
      <c r="F229" t="s">
        <v>18</v>
      </c>
      <c r="G229" t="s">
        <v>233</v>
      </c>
      <c r="H229">
        <v>126</v>
      </c>
      <c r="I229">
        <v>12</v>
      </c>
      <c r="J229" t="s">
        <v>35</v>
      </c>
      <c r="K229" t="s">
        <v>21</v>
      </c>
      <c r="L229" t="s">
        <v>22</v>
      </c>
      <c r="M229" t="s">
        <v>23</v>
      </c>
      <c r="N229">
        <v>0</v>
      </c>
      <c r="O229">
        <v>1</v>
      </c>
      <c r="P229" s="8">
        <f>INT(Delivery_data[[#This Row],[Order Timestamp]])</f>
        <v>45170</v>
      </c>
      <c r="Q229" t="str">
        <f ca="1">IF(Delivery_data[[#This Row],[Order Status]]="In Progress", TODAY()-Delivery_data[[#This Row],[Order Date]], "")</f>
        <v/>
      </c>
      <c r="R229">
        <f>IF(Delivery_data[[#This Row],[On Time]]=1,0,1)</f>
        <v>1</v>
      </c>
    </row>
    <row r="230" spans="1:18" x14ac:dyDescent="0.35">
      <c r="A230">
        <v>2418</v>
      </c>
      <c r="B230" t="s">
        <v>351</v>
      </c>
      <c r="C230" s="1">
        <v>45171.604861111111</v>
      </c>
      <c r="D230" t="s">
        <v>16</v>
      </c>
      <c r="E230" t="s">
        <v>352</v>
      </c>
      <c r="F230" t="s">
        <v>18</v>
      </c>
      <c r="G230" t="s">
        <v>233</v>
      </c>
      <c r="H230">
        <v>115</v>
      </c>
      <c r="I230">
        <v>12</v>
      </c>
      <c r="J230" t="s">
        <v>20</v>
      </c>
      <c r="K230" t="s">
        <v>33</v>
      </c>
      <c r="L230" t="s">
        <v>29</v>
      </c>
      <c r="M230" t="s">
        <v>23</v>
      </c>
      <c r="N230">
        <v>0</v>
      </c>
      <c r="O230">
        <v>0</v>
      </c>
      <c r="P230" s="8">
        <f>INT(Delivery_data[[#This Row],[Order Timestamp]])</f>
        <v>45171</v>
      </c>
      <c r="Q230">
        <f ca="1">IF(Delivery_data[[#This Row],[Order Status]]="In Progress", TODAY()-Delivery_data[[#This Row],[Order Date]], "")</f>
        <v>812</v>
      </c>
      <c r="R230">
        <f>IF(Delivery_data[[#This Row],[On Time]]=1,0,1)</f>
        <v>1</v>
      </c>
    </row>
    <row r="231" spans="1:18" x14ac:dyDescent="0.35">
      <c r="A231">
        <v>2434</v>
      </c>
      <c r="B231" t="s">
        <v>353</v>
      </c>
      <c r="C231" s="1">
        <v>45174.445138888892</v>
      </c>
      <c r="D231" t="s">
        <v>25</v>
      </c>
      <c r="E231" t="s">
        <v>110</v>
      </c>
      <c r="F231" t="s">
        <v>18</v>
      </c>
      <c r="G231" t="s">
        <v>233</v>
      </c>
      <c r="H231">
        <v>171</v>
      </c>
      <c r="I231">
        <v>12</v>
      </c>
      <c r="J231" t="s">
        <v>27</v>
      </c>
      <c r="K231" t="s">
        <v>21</v>
      </c>
      <c r="L231" t="s">
        <v>22</v>
      </c>
      <c r="M231" t="s">
        <v>30</v>
      </c>
      <c r="N231">
        <v>0</v>
      </c>
      <c r="O231">
        <v>0</v>
      </c>
      <c r="P231" s="8">
        <f>INT(Delivery_data[[#This Row],[Order Timestamp]])</f>
        <v>45174</v>
      </c>
      <c r="Q231" t="str">
        <f ca="1">IF(Delivery_data[[#This Row],[Order Status]]="In Progress", TODAY()-Delivery_data[[#This Row],[Order Date]], "")</f>
        <v/>
      </c>
      <c r="R231">
        <f>IF(Delivery_data[[#This Row],[On Time]]=1,0,1)</f>
        <v>1</v>
      </c>
    </row>
    <row r="232" spans="1:18" x14ac:dyDescent="0.35">
      <c r="A232">
        <v>2436</v>
      </c>
      <c r="B232" t="s">
        <v>354</v>
      </c>
      <c r="C232" s="1">
        <v>45175.650694444441</v>
      </c>
      <c r="D232" t="s">
        <v>16</v>
      </c>
      <c r="E232" t="s">
        <v>74</v>
      </c>
      <c r="F232" t="s">
        <v>18</v>
      </c>
      <c r="G232" t="s">
        <v>233</v>
      </c>
      <c r="H232">
        <v>185</v>
      </c>
      <c r="I232">
        <v>7</v>
      </c>
      <c r="J232" t="s">
        <v>20</v>
      </c>
      <c r="K232" t="s">
        <v>51</v>
      </c>
      <c r="L232" t="s">
        <v>22</v>
      </c>
      <c r="M232" t="s">
        <v>23</v>
      </c>
      <c r="N232">
        <v>0</v>
      </c>
      <c r="O232">
        <v>0</v>
      </c>
      <c r="P232" s="8">
        <f>INT(Delivery_data[[#This Row],[Order Timestamp]])</f>
        <v>45175</v>
      </c>
      <c r="Q232">
        <f ca="1">IF(Delivery_data[[#This Row],[Order Status]]="In Progress", TODAY()-Delivery_data[[#This Row],[Order Date]], "")</f>
        <v>808</v>
      </c>
      <c r="R232">
        <f>IF(Delivery_data[[#This Row],[On Time]]=1,0,1)</f>
        <v>1</v>
      </c>
    </row>
    <row r="233" spans="1:18" x14ac:dyDescent="0.35">
      <c r="A233">
        <v>2442</v>
      </c>
      <c r="B233" t="s">
        <v>355</v>
      </c>
      <c r="C233" s="1">
        <v>45171.693055555559</v>
      </c>
      <c r="D233" t="s">
        <v>16</v>
      </c>
      <c r="E233" t="s">
        <v>356</v>
      </c>
      <c r="F233" t="s">
        <v>18</v>
      </c>
      <c r="G233" t="s">
        <v>233</v>
      </c>
      <c r="H233">
        <v>79</v>
      </c>
      <c r="I233">
        <v>6</v>
      </c>
      <c r="J233" t="s">
        <v>27</v>
      </c>
      <c r="K233" t="s">
        <v>51</v>
      </c>
      <c r="L233" t="s">
        <v>42</v>
      </c>
      <c r="M233" t="s">
        <v>23</v>
      </c>
      <c r="N233">
        <v>0</v>
      </c>
      <c r="O233">
        <v>0</v>
      </c>
      <c r="P233" s="8">
        <f>INT(Delivery_data[[#This Row],[Order Timestamp]])</f>
        <v>45171</v>
      </c>
      <c r="Q233">
        <f ca="1">IF(Delivery_data[[#This Row],[Order Status]]="In Progress", TODAY()-Delivery_data[[#This Row],[Order Date]], "")</f>
        <v>812</v>
      </c>
      <c r="R233">
        <f>IF(Delivery_data[[#This Row],[On Time]]=1,0,1)</f>
        <v>1</v>
      </c>
    </row>
    <row r="234" spans="1:18" x14ac:dyDescent="0.35">
      <c r="A234">
        <v>2463</v>
      </c>
      <c r="B234" t="s">
        <v>357</v>
      </c>
      <c r="C234" s="1">
        <v>45175.494444444441</v>
      </c>
      <c r="D234" t="s">
        <v>16</v>
      </c>
      <c r="E234" t="s">
        <v>72</v>
      </c>
      <c r="F234" t="s">
        <v>18</v>
      </c>
      <c r="G234" t="s">
        <v>233</v>
      </c>
      <c r="H234">
        <v>189</v>
      </c>
      <c r="I234">
        <v>27</v>
      </c>
      <c r="J234" t="s">
        <v>20</v>
      </c>
      <c r="K234" t="s">
        <v>21</v>
      </c>
      <c r="L234" t="s">
        <v>42</v>
      </c>
      <c r="M234" t="s">
        <v>23</v>
      </c>
      <c r="N234">
        <v>0</v>
      </c>
      <c r="O234">
        <v>0</v>
      </c>
      <c r="P234" s="8">
        <f>INT(Delivery_data[[#This Row],[Order Timestamp]])</f>
        <v>45175</v>
      </c>
      <c r="Q234">
        <f ca="1">IF(Delivery_data[[#This Row],[Order Status]]="In Progress", TODAY()-Delivery_data[[#This Row],[Order Date]], "")</f>
        <v>808</v>
      </c>
      <c r="R234">
        <f>IF(Delivery_data[[#This Row],[On Time]]=1,0,1)</f>
        <v>1</v>
      </c>
    </row>
    <row r="235" spans="1:18" x14ac:dyDescent="0.35">
      <c r="A235">
        <v>2490</v>
      </c>
      <c r="B235" t="s">
        <v>358</v>
      </c>
      <c r="C235" s="1">
        <v>45174.390972222223</v>
      </c>
      <c r="D235" t="s">
        <v>25</v>
      </c>
      <c r="E235" t="s">
        <v>48</v>
      </c>
      <c r="F235" t="s">
        <v>18</v>
      </c>
      <c r="G235" t="s">
        <v>233</v>
      </c>
      <c r="H235">
        <v>103</v>
      </c>
      <c r="I235">
        <v>4</v>
      </c>
      <c r="J235" t="s">
        <v>27</v>
      </c>
      <c r="K235" t="s">
        <v>33</v>
      </c>
      <c r="L235" t="s">
        <v>42</v>
      </c>
      <c r="M235" t="s">
        <v>30</v>
      </c>
      <c r="N235">
        <v>0</v>
      </c>
      <c r="O235">
        <v>0</v>
      </c>
      <c r="P235" s="8">
        <f>INT(Delivery_data[[#This Row],[Order Timestamp]])</f>
        <v>45174</v>
      </c>
      <c r="Q235" t="str">
        <f ca="1">IF(Delivery_data[[#This Row],[Order Status]]="In Progress", TODAY()-Delivery_data[[#This Row],[Order Date]], "")</f>
        <v/>
      </c>
      <c r="R235">
        <f>IF(Delivery_data[[#This Row],[On Time]]=1,0,1)</f>
        <v>1</v>
      </c>
    </row>
    <row r="236" spans="1:18" x14ac:dyDescent="0.35">
      <c r="A236">
        <v>2497</v>
      </c>
      <c r="B236" t="s">
        <v>359</v>
      </c>
      <c r="C236" s="1">
        <v>45176.510416666664</v>
      </c>
      <c r="D236" t="s">
        <v>16</v>
      </c>
      <c r="E236" t="s">
        <v>360</v>
      </c>
      <c r="F236" t="s">
        <v>18</v>
      </c>
      <c r="G236" t="s">
        <v>233</v>
      </c>
      <c r="H236">
        <v>142</v>
      </c>
      <c r="I236">
        <v>21</v>
      </c>
      <c r="J236" t="s">
        <v>27</v>
      </c>
      <c r="K236" t="s">
        <v>38</v>
      </c>
      <c r="L236" t="s">
        <v>42</v>
      </c>
      <c r="M236" t="s">
        <v>23</v>
      </c>
      <c r="N236">
        <v>0</v>
      </c>
      <c r="O236">
        <v>0</v>
      </c>
      <c r="P236" s="8">
        <f>INT(Delivery_data[[#This Row],[Order Timestamp]])</f>
        <v>45176</v>
      </c>
      <c r="Q236">
        <f ca="1">IF(Delivery_data[[#This Row],[Order Status]]="In Progress", TODAY()-Delivery_data[[#This Row],[Order Date]], "")</f>
        <v>807</v>
      </c>
      <c r="R236">
        <f>IF(Delivery_data[[#This Row],[On Time]]=1,0,1)</f>
        <v>1</v>
      </c>
    </row>
    <row r="237" spans="1:18" x14ac:dyDescent="0.35">
      <c r="A237">
        <v>1026</v>
      </c>
      <c r="B237" t="s">
        <v>361</v>
      </c>
      <c r="C237" s="1">
        <v>45173.609027777777</v>
      </c>
      <c r="D237" t="s">
        <v>16</v>
      </c>
      <c r="E237" t="s">
        <v>91</v>
      </c>
      <c r="F237" t="s">
        <v>18</v>
      </c>
      <c r="G237" t="s">
        <v>362</v>
      </c>
      <c r="H237">
        <v>154</v>
      </c>
      <c r="I237">
        <v>7</v>
      </c>
      <c r="J237" t="s">
        <v>27</v>
      </c>
      <c r="K237" t="s">
        <v>33</v>
      </c>
      <c r="L237" t="s">
        <v>29</v>
      </c>
      <c r="M237" t="s">
        <v>39</v>
      </c>
      <c r="N237">
        <v>0</v>
      </c>
      <c r="O237">
        <v>0</v>
      </c>
      <c r="P237" s="8">
        <f>INT(Delivery_data[[#This Row],[Order Timestamp]])</f>
        <v>45173</v>
      </c>
      <c r="Q237">
        <f ca="1">IF(Delivery_data[[#This Row],[Order Status]]="In Progress", TODAY()-Delivery_data[[#This Row],[Order Date]], "")</f>
        <v>810</v>
      </c>
      <c r="R237">
        <f>IF(Delivery_data[[#This Row],[On Time]]=1,0,1)</f>
        <v>1</v>
      </c>
    </row>
    <row r="238" spans="1:18" x14ac:dyDescent="0.35">
      <c r="A238">
        <v>1030</v>
      </c>
      <c r="B238" t="s">
        <v>363</v>
      </c>
      <c r="C238" s="1">
        <v>45170.557638888888</v>
      </c>
      <c r="D238" t="s">
        <v>16</v>
      </c>
      <c r="E238" t="s">
        <v>195</v>
      </c>
      <c r="F238" t="s">
        <v>18</v>
      </c>
      <c r="G238" t="s">
        <v>362</v>
      </c>
      <c r="H238">
        <v>80</v>
      </c>
      <c r="I238">
        <v>28</v>
      </c>
      <c r="J238" t="s">
        <v>27</v>
      </c>
      <c r="K238" t="s">
        <v>21</v>
      </c>
      <c r="L238" t="s">
        <v>29</v>
      </c>
      <c r="M238" t="s">
        <v>30</v>
      </c>
      <c r="N238">
        <v>0</v>
      </c>
      <c r="O238">
        <v>0</v>
      </c>
      <c r="P238" s="8">
        <f>INT(Delivery_data[[#This Row],[Order Timestamp]])</f>
        <v>45170</v>
      </c>
      <c r="Q238">
        <f ca="1">IF(Delivery_data[[#This Row],[Order Status]]="In Progress", TODAY()-Delivery_data[[#This Row],[Order Date]], "")</f>
        <v>813</v>
      </c>
      <c r="R238">
        <f>IF(Delivery_data[[#This Row],[On Time]]=1,0,1)</f>
        <v>1</v>
      </c>
    </row>
    <row r="239" spans="1:18" x14ac:dyDescent="0.35">
      <c r="A239">
        <v>1038</v>
      </c>
      <c r="B239" t="s">
        <v>364</v>
      </c>
      <c r="C239" s="1">
        <v>45177.415277777778</v>
      </c>
      <c r="D239" t="s">
        <v>16</v>
      </c>
      <c r="E239" t="s">
        <v>32</v>
      </c>
      <c r="F239" t="s">
        <v>18</v>
      </c>
      <c r="G239" t="s">
        <v>362</v>
      </c>
      <c r="H239">
        <v>95</v>
      </c>
      <c r="I239">
        <v>22</v>
      </c>
      <c r="J239" t="s">
        <v>27</v>
      </c>
      <c r="K239" t="s">
        <v>51</v>
      </c>
      <c r="L239" t="s">
        <v>22</v>
      </c>
      <c r="M239" t="s">
        <v>23</v>
      </c>
      <c r="N239">
        <v>0</v>
      </c>
      <c r="O239">
        <v>0</v>
      </c>
      <c r="P239" s="8">
        <f>INT(Delivery_data[[#This Row],[Order Timestamp]])</f>
        <v>45177</v>
      </c>
      <c r="Q239">
        <f ca="1">IF(Delivery_data[[#This Row],[Order Status]]="In Progress", TODAY()-Delivery_data[[#This Row],[Order Date]], "")</f>
        <v>806</v>
      </c>
      <c r="R239">
        <f>IF(Delivery_data[[#This Row],[On Time]]=1,0,1)</f>
        <v>1</v>
      </c>
    </row>
    <row r="240" spans="1:18" x14ac:dyDescent="0.35">
      <c r="A240">
        <v>1060</v>
      </c>
      <c r="B240" t="s">
        <v>365</v>
      </c>
      <c r="C240" s="1">
        <v>45173.547222222223</v>
      </c>
      <c r="D240" t="s">
        <v>16</v>
      </c>
      <c r="E240" t="s">
        <v>100</v>
      </c>
      <c r="F240" t="s">
        <v>18</v>
      </c>
      <c r="G240" t="s">
        <v>362</v>
      </c>
      <c r="H240">
        <v>132</v>
      </c>
      <c r="I240">
        <v>11</v>
      </c>
      <c r="J240" t="s">
        <v>27</v>
      </c>
      <c r="K240" t="s">
        <v>21</v>
      </c>
      <c r="L240" t="s">
        <v>29</v>
      </c>
      <c r="M240" t="s">
        <v>23</v>
      </c>
      <c r="N240">
        <v>0</v>
      </c>
      <c r="O240">
        <v>0</v>
      </c>
      <c r="P240" s="8">
        <f>INT(Delivery_data[[#This Row],[Order Timestamp]])</f>
        <v>45173</v>
      </c>
      <c r="Q240">
        <f ca="1">IF(Delivery_data[[#This Row],[Order Status]]="In Progress", TODAY()-Delivery_data[[#This Row],[Order Date]], "")</f>
        <v>810</v>
      </c>
      <c r="R240">
        <f>IF(Delivery_data[[#This Row],[On Time]]=1,0,1)</f>
        <v>1</v>
      </c>
    </row>
    <row r="241" spans="1:18" x14ac:dyDescent="0.35">
      <c r="A241">
        <v>1073</v>
      </c>
      <c r="B241" t="s">
        <v>366</v>
      </c>
      <c r="C241" s="1">
        <v>45171.527083333334</v>
      </c>
      <c r="D241" t="s">
        <v>16</v>
      </c>
      <c r="E241" t="s">
        <v>181</v>
      </c>
      <c r="F241" t="s">
        <v>18</v>
      </c>
      <c r="G241" t="s">
        <v>362</v>
      </c>
      <c r="H241">
        <v>220</v>
      </c>
      <c r="I241">
        <v>17</v>
      </c>
      <c r="J241" t="s">
        <v>27</v>
      </c>
      <c r="K241" t="s">
        <v>28</v>
      </c>
      <c r="L241" t="s">
        <v>22</v>
      </c>
      <c r="M241" t="s">
        <v>30</v>
      </c>
      <c r="N241">
        <v>0</v>
      </c>
      <c r="O241">
        <v>0</v>
      </c>
      <c r="P241" s="8">
        <f>INT(Delivery_data[[#This Row],[Order Timestamp]])</f>
        <v>45171</v>
      </c>
      <c r="Q241">
        <f ca="1">IF(Delivery_data[[#This Row],[Order Status]]="In Progress", TODAY()-Delivery_data[[#This Row],[Order Date]], "")</f>
        <v>812</v>
      </c>
      <c r="R241">
        <f>IF(Delivery_data[[#This Row],[On Time]]=1,0,1)</f>
        <v>1</v>
      </c>
    </row>
    <row r="242" spans="1:18" x14ac:dyDescent="0.35">
      <c r="A242">
        <v>1079</v>
      </c>
      <c r="B242" t="s">
        <v>367</v>
      </c>
      <c r="C242" s="1">
        <v>45173.461111111108</v>
      </c>
      <c r="D242" t="s">
        <v>25</v>
      </c>
      <c r="E242" t="s">
        <v>206</v>
      </c>
      <c r="F242" t="s">
        <v>18</v>
      </c>
      <c r="G242" t="s">
        <v>362</v>
      </c>
      <c r="H242">
        <v>141</v>
      </c>
      <c r="I242">
        <v>22</v>
      </c>
      <c r="J242" t="s">
        <v>27</v>
      </c>
      <c r="K242" t="s">
        <v>38</v>
      </c>
      <c r="L242" t="s">
        <v>22</v>
      </c>
      <c r="M242" t="s">
        <v>39</v>
      </c>
      <c r="N242">
        <v>0</v>
      </c>
      <c r="O242">
        <v>0</v>
      </c>
      <c r="P242" s="8">
        <f>INT(Delivery_data[[#This Row],[Order Timestamp]])</f>
        <v>45173</v>
      </c>
      <c r="Q242" t="str">
        <f ca="1">IF(Delivery_data[[#This Row],[Order Status]]="In Progress", TODAY()-Delivery_data[[#This Row],[Order Date]], "")</f>
        <v/>
      </c>
      <c r="R242">
        <f>IF(Delivery_data[[#This Row],[On Time]]=1,0,1)</f>
        <v>1</v>
      </c>
    </row>
    <row r="243" spans="1:18" x14ac:dyDescent="0.35">
      <c r="A243">
        <v>1081</v>
      </c>
      <c r="B243" t="s">
        <v>368</v>
      </c>
      <c r="C243" s="1">
        <v>45175.579861111109</v>
      </c>
      <c r="D243" t="s">
        <v>16</v>
      </c>
      <c r="E243" t="s">
        <v>37</v>
      </c>
      <c r="F243" t="s">
        <v>18</v>
      </c>
      <c r="G243" t="s">
        <v>362</v>
      </c>
      <c r="H243">
        <v>157</v>
      </c>
      <c r="I243">
        <v>4</v>
      </c>
      <c r="J243" t="s">
        <v>27</v>
      </c>
      <c r="K243" t="s">
        <v>33</v>
      </c>
      <c r="L243" t="s">
        <v>42</v>
      </c>
      <c r="M243" t="s">
        <v>39</v>
      </c>
      <c r="N243">
        <v>0</v>
      </c>
      <c r="O243">
        <v>0</v>
      </c>
      <c r="P243" s="8">
        <f>INT(Delivery_data[[#This Row],[Order Timestamp]])</f>
        <v>45175</v>
      </c>
      <c r="Q243">
        <f ca="1">IF(Delivery_data[[#This Row],[Order Status]]="In Progress", TODAY()-Delivery_data[[#This Row],[Order Date]], "")</f>
        <v>808</v>
      </c>
      <c r="R243">
        <f>IF(Delivery_data[[#This Row],[On Time]]=1,0,1)</f>
        <v>1</v>
      </c>
    </row>
    <row r="244" spans="1:18" x14ac:dyDescent="0.35">
      <c r="A244">
        <v>1101</v>
      </c>
      <c r="B244" t="s">
        <v>369</v>
      </c>
      <c r="C244" s="1">
        <v>45171.37222222222</v>
      </c>
      <c r="D244" t="s">
        <v>16</v>
      </c>
      <c r="E244" t="s">
        <v>44</v>
      </c>
      <c r="F244" t="s">
        <v>18</v>
      </c>
      <c r="G244" t="s">
        <v>362</v>
      </c>
      <c r="H244">
        <v>172</v>
      </c>
      <c r="I244">
        <v>12</v>
      </c>
      <c r="J244" t="s">
        <v>35</v>
      </c>
      <c r="K244" t="s">
        <v>21</v>
      </c>
      <c r="L244" t="s">
        <v>29</v>
      </c>
      <c r="M244" t="s">
        <v>39</v>
      </c>
      <c r="N244">
        <v>0</v>
      </c>
      <c r="O244">
        <v>1</v>
      </c>
      <c r="P244" s="8">
        <f>INT(Delivery_data[[#This Row],[Order Timestamp]])</f>
        <v>45171</v>
      </c>
      <c r="Q244">
        <f ca="1">IF(Delivery_data[[#This Row],[Order Status]]="In Progress", TODAY()-Delivery_data[[#This Row],[Order Date]], "")</f>
        <v>812</v>
      </c>
      <c r="R244">
        <f>IF(Delivery_data[[#This Row],[On Time]]=1,0,1)</f>
        <v>1</v>
      </c>
    </row>
    <row r="245" spans="1:18" x14ac:dyDescent="0.35">
      <c r="A245">
        <v>1117</v>
      </c>
      <c r="B245" t="s">
        <v>370</v>
      </c>
      <c r="C245" s="1">
        <v>45172.704861111109</v>
      </c>
      <c r="D245" t="s">
        <v>16</v>
      </c>
      <c r="E245" t="s">
        <v>102</v>
      </c>
      <c r="F245" t="s">
        <v>18</v>
      </c>
      <c r="G245" t="s">
        <v>362</v>
      </c>
      <c r="H245">
        <v>191</v>
      </c>
      <c r="I245">
        <v>16</v>
      </c>
      <c r="J245" t="s">
        <v>20</v>
      </c>
      <c r="K245" t="s">
        <v>28</v>
      </c>
      <c r="L245" t="s">
        <v>29</v>
      </c>
      <c r="M245" t="s">
        <v>39</v>
      </c>
      <c r="N245">
        <v>0</v>
      </c>
      <c r="O245">
        <v>0</v>
      </c>
      <c r="P245" s="8">
        <f>INT(Delivery_data[[#This Row],[Order Timestamp]])</f>
        <v>45172</v>
      </c>
      <c r="Q245">
        <f ca="1">IF(Delivery_data[[#This Row],[Order Status]]="In Progress", TODAY()-Delivery_data[[#This Row],[Order Date]], "")</f>
        <v>811</v>
      </c>
      <c r="R245">
        <f>IF(Delivery_data[[#This Row],[On Time]]=1,0,1)</f>
        <v>1</v>
      </c>
    </row>
    <row r="246" spans="1:18" x14ac:dyDescent="0.35">
      <c r="A246">
        <v>1127</v>
      </c>
      <c r="B246" t="s">
        <v>371</v>
      </c>
      <c r="C246" s="1">
        <v>45172.510416666664</v>
      </c>
      <c r="D246" t="s">
        <v>25</v>
      </c>
      <c r="E246" t="s">
        <v>41</v>
      </c>
      <c r="F246" t="s">
        <v>18</v>
      </c>
      <c r="G246" t="s">
        <v>362</v>
      </c>
      <c r="H246">
        <v>175</v>
      </c>
      <c r="I246">
        <v>9</v>
      </c>
      <c r="J246" t="s">
        <v>35</v>
      </c>
      <c r="K246" t="s">
        <v>51</v>
      </c>
      <c r="L246" t="s">
        <v>22</v>
      </c>
      <c r="M246" t="s">
        <v>39</v>
      </c>
      <c r="N246">
        <v>0</v>
      </c>
      <c r="O246">
        <v>1</v>
      </c>
      <c r="P246" s="8">
        <f>INT(Delivery_data[[#This Row],[Order Timestamp]])</f>
        <v>45172</v>
      </c>
      <c r="Q246" t="str">
        <f ca="1">IF(Delivery_data[[#This Row],[Order Status]]="In Progress", TODAY()-Delivery_data[[#This Row],[Order Date]], "")</f>
        <v/>
      </c>
      <c r="R246">
        <f>IF(Delivery_data[[#This Row],[On Time]]=1,0,1)</f>
        <v>1</v>
      </c>
    </row>
    <row r="247" spans="1:18" x14ac:dyDescent="0.35">
      <c r="A247">
        <v>1133</v>
      </c>
      <c r="B247" t="s">
        <v>372</v>
      </c>
      <c r="C247" s="1">
        <v>45177.656944444447</v>
      </c>
      <c r="D247" t="s">
        <v>16</v>
      </c>
      <c r="E247" t="s">
        <v>209</v>
      </c>
      <c r="F247" t="s">
        <v>18</v>
      </c>
      <c r="G247" t="s">
        <v>362</v>
      </c>
      <c r="H247">
        <v>239</v>
      </c>
      <c r="I247">
        <v>18</v>
      </c>
      <c r="J247" t="s">
        <v>35</v>
      </c>
      <c r="K247" t="s">
        <v>51</v>
      </c>
      <c r="L247" t="s">
        <v>22</v>
      </c>
      <c r="M247" t="s">
        <v>30</v>
      </c>
      <c r="N247">
        <v>0</v>
      </c>
      <c r="O247">
        <v>1</v>
      </c>
      <c r="P247" s="8">
        <f>INT(Delivery_data[[#This Row],[Order Timestamp]])</f>
        <v>45177</v>
      </c>
      <c r="Q247">
        <f ca="1">IF(Delivery_data[[#This Row],[Order Status]]="In Progress", TODAY()-Delivery_data[[#This Row],[Order Date]], "")</f>
        <v>806</v>
      </c>
      <c r="R247">
        <f>IF(Delivery_data[[#This Row],[On Time]]=1,0,1)</f>
        <v>1</v>
      </c>
    </row>
    <row r="248" spans="1:18" x14ac:dyDescent="0.35">
      <c r="A248">
        <v>1148</v>
      </c>
      <c r="B248" t="s">
        <v>373</v>
      </c>
      <c r="C248" s="1">
        <v>45175.380555555559</v>
      </c>
      <c r="D248" t="s">
        <v>16</v>
      </c>
      <c r="E248" t="s">
        <v>121</v>
      </c>
      <c r="F248" t="s">
        <v>18</v>
      </c>
      <c r="G248" t="s">
        <v>362</v>
      </c>
      <c r="H248">
        <v>183</v>
      </c>
      <c r="I248">
        <v>14</v>
      </c>
      <c r="J248" t="s">
        <v>20</v>
      </c>
      <c r="K248" t="s">
        <v>33</v>
      </c>
      <c r="L248" t="s">
        <v>22</v>
      </c>
      <c r="M248" t="s">
        <v>30</v>
      </c>
      <c r="N248">
        <v>0</v>
      </c>
      <c r="O248">
        <v>0</v>
      </c>
      <c r="P248" s="8">
        <f>INT(Delivery_data[[#This Row],[Order Timestamp]])</f>
        <v>45175</v>
      </c>
      <c r="Q248">
        <f ca="1">IF(Delivery_data[[#This Row],[Order Status]]="In Progress", TODAY()-Delivery_data[[#This Row],[Order Date]], "")</f>
        <v>808</v>
      </c>
      <c r="R248">
        <f>IF(Delivery_data[[#This Row],[On Time]]=1,0,1)</f>
        <v>1</v>
      </c>
    </row>
    <row r="249" spans="1:18" x14ac:dyDescent="0.35">
      <c r="A249">
        <v>1152</v>
      </c>
      <c r="B249" t="s">
        <v>374</v>
      </c>
      <c r="C249" s="1">
        <v>45177.533333333333</v>
      </c>
      <c r="D249" t="s">
        <v>25</v>
      </c>
      <c r="E249" t="s">
        <v>100</v>
      </c>
      <c r="F249" t="s">
        <v>18</v>
      </c>
      <c r="G249" t="s">
        <v>362</v>
      </c>
      <c r="H249">
        <v>179</v>
      </c>
      <c r="I249">
        <v>19</v>
      </c>
      <c r="J249" t="s">
        <v>35</v>
      </c>
      <c r="K249" t="s">
        <v>21</v>
      </c>
      <c r="L249" t="s">
        <v>42</v>
      </c>
      <c r="M249" t="s">
        <v>23</v>
      </c>
      <c r="N249">
        <v>0</v>
      </c>
      <c r="O249">
        <v>1</v>
      </c>
      <c r="P249" s="8">
        <f>INT(Delivery_data[[#This Row],[Order Timestamp]])</f>
        <v>45177</v>
      </c>
      <c r="Q249" t="str">
        <f ca="1">IF(Delivery_data[[#This Row],[Order Status]]="In Progress", TODAY()-Delivery_data[[#This Row],[Order Date]], "")</f>
        <v/>
      </c>
      <c r="R249">
        <f>IF(Delivery_data[[#This Row],[On Time]]=1,0,1)</f>
        <v>1</v>
      </c>
    </row>
    <row r="250" spans="1:18" x14ac:dyDescent="0.35">
      <c r="A250">
        <v>1165</v>
      </c>
      <c r="B250" t="s">
        <v>375</v>
      </c>
      <c r="C250" s="1">
        <v>45175.450694444444</v>
      </c>
      <c r="D250" t="s">
        <v>16</v>
      </c>
      <c r="E250" t="s">
        <v>216</v>
      </c>
      <c r="F250" t="s">
        <v>18</v>
      </c>
      <c r="G250" t="s">
        <v>362</v>
      </c>
      <c r="H250">
        <v>79</v>
      </c>
      <c r="I250">
        <v>15</v>
      </c>
      <c r="J250" t="s">
        <v>20</v>
      </c>
      <c r="K250" t="s">
        <v>51</v>
      </c>
      <c r="L250" t="s">
        <v>22</v>
      </c>
      <c r="M250" t="s">
        <v>39</v>
      </c>
      <c r="N250">
        <v>0</v>
      </c>
      <c r="O250">
        <v>0</v>
      </c>
      <c r="P250" s="8">
        <f>INT(Delivery_data[[#This Row],[Order Timestamp]])</f>
        <v>45175</v>
      </c>
      <c r="Q250">
        <f ca="1">IF(Delivery_data[[#This Row],[Order Status]]="In Progress", TODAY()-Delivery_data[[#This Row],[Order Date]], "")</f>
        <v>808</v>
      </c>
      <c r="R250">
        <f>IF(Delivery_data[[#This Row],[On Time]]=1,0,1)</f>
        <v>1</v>
      </c>
    </row>
    <row r="251" spans="1:18" x14ac:dyDescent="0.35">
      <c r="A251">
        <v>1181</v>
      </c>
      <c r="B251" t="s">
        <v>376</v>
      </c>
      <c r="C251" s="1">
        <v>45171.418055555558</v>
      </c>
      <c r="D251" t="s">
        <v>25</v>
      </c>
      <c r="E251" t="s">
        <v>258</v>
      </c>
      <c r="F251" t="s">
        <v>18</v>
      </c>
      <c r="G251" t="s">
        <v>362</v>
      </c>
      <c r="H251">
        <v>87</v>
      </c>
      <c r="I251">
        <v>23</v>
      </c>
      <c r="J251" t="s">
        <v>27</v>
      </c>
      <c r="K251" t="s">
        <v>33</v>
      </c>
      <c r="L251" t="s">
        <v>29</v>
      </c>
      <c r="M251" t="s">
        <v>23</v>
      </c>
      <c r="N251">
        <v>0</v>
      </c>
      <c r="O251">
        <v>0</v>
      </c>
      <c r="P251" s="8">
        <f>INT(Delivery_data[[#This Row],[Order Timestamp]])</f>
        <v>45171</v>
      </c>
      <c r="Q251" t="str">
        <f ca="1">IF(Delivery_data[[#This Row],[Order Status]]="In Progress", TODAY()-Delivery_data[[#This Row],[Order Date]], "")</f>
        <v/>
      </c>
      <c r="R251">
        <f>IF(Delivery_data[[#This Row],[On Time]]=1,0,1)</f>
        <v>1</v>
      </c>
    </row>
    <row r="252" spans="1:18" x14ac:dyDescent="0.35">
      <c r="A252">
        <v>1199</v>
      </c>
      <c r="B252" t="s">
        <v>377</v>
      </c>
      <c r="C252" s="1">
        <v>45170.410416666666</v>
      </c>
      <c r="D252" t="s">
        <v>16</v>
      </c>
      <c r="E252" t="s">
        <v>195</v>
      </c>
      <c r="F252" t="s">
        <v>18</v>
      </c>
      <c r="G252" t="s">
        <v>362</v>
      </c>
      <c r="H252">
        <v>215</v>
      </c>
      <c r="I252">
        <v>4</v>
      </c>
      <c r="J252" t="s">
        <v>35</v>
      </c>
      <c r="K252" t="s">
        <v>21</v>
      </c>
      <c r="L252" t="s">
        <v>42</v>
      </c>
      <c r="M252" t="s">
        <v>39</v>
      </c>
      <c r="N252">
        <v>0</v>
      </c>
      <c r="O252">
        <v>1</v>
      </c>
      <c r="P252" s="8">
        <f>INT(Delivery_data[[#This Row],[Order Timestamp]])</f>
        <v>45170</v>
      </c>
      <c r="Q252">
        <f ca="1">IF(Delivery_data[[#This Row],[Order Status]]="In Progress", TODAY()-Delivery_data[[#This Row],[Order Date]], "")</f>
        <v>813</v>
      </c>
      <c r="R252">
        <f>IF(Delivery_data[[#This Row],[On Time]]=1,0,1)</f>
        <v>1</v>
      </c>
    </row>
    <row r="253" spans="1:18" x14ac:dyDescent="0.35">
      <c r="A253">
        <v>1200</v>
      </c>
      <c r="B253" t="s">
        <v>378</v>
      </c>
      <c r="C253" s="1">
        <v>45175.489583333336</v>
      </c>
      <c r="D253" t="s">
        <v>25</v>
      </c>
      <c r="E253" t="s">
        <v>62</v>
      </c>
      <c r="F253" t="s">
        <v>18</v>
      </c>
      <c r="G253" t="s">
        <v>362</v>
      </c>
      <c r="H253">
        <v>85</v>
      </c>
      <c r="I253">
        <v>14</v>
      </c>
      <c r="J253" t="s">
        <v>35</v>
      </c>
      <c r="K253" t="s">
        <v>51</v>
      </c>
      <c r="L253" t="s">
        <v>29</v>
      </c>
      <c r="M253" t="s">
        <v>23</v>
      </c>
      <c r="N253">
        <v>0</v>
      </c>
      <c r="O253">
        <v>1</v>
      </c>
      <c r="P253" s="8">
        <f>INT(Delivery_data[[#This Row],[Order Timestamp]])</f>
        <v>45175</v>
      </c>
      <c r="Q253" t="str">
        <f ca="1">IF(Delivery_data[[#This Row],[Order Status]]="In Progress", TODAY()-Delivery_data[[#This Row],[Order Date]], "")</f>
        <v/>
      </c>
      <c r="R253">
        <f>IF(Delivery_data[[#This Row],[On Time]]=1,0,1)</f>
        <v>1</v>
      </c>
    </row>
    <row r="254" spans="1:18" x14ac:dyDescent="0.35">
      <c r="A254">
        <v>1201</v>
      </c>
      <c r="B254" t="s">
        <v>379</v>
      </c>
      <c r="C254" s="1">
        <v>45177.450694444444</v>
      </c>
      <c r="D254" t="s">
        <v>16</v>
      </c>
      <c r="E254" t="s">
        <v>17</v>
      </c>
      <c r="F254" t="s">
        <v>18</v>
      </c>
      <c r="G254" t="s">
        <v>362</v>
      </c>
      <c r="H254">
        <v>67</v>
      </c>
      <c r="I254">
        <v>16</v>
      </c>
      <c r="J254" t="s">
        <v>27</v>
      </c>
      <c r="K254" t="s">
        <v>51</v>
      </c>
      <c r="L254" t="s">
        <v>42</v>
      </c>
      <c r="M254" t="s">
        <v>39</v>
      </c>
      <c r="N254">
        <v>0</v>
      </c>
      <c r="O254">
        <v>0</v>
      </c>
      <c r="P254" s="8">
        <f>INT(Delivery_data[[#This Row],[Order Timestamp]])</f>
        <v>45177</v>
      </c>
      <c r="Q254">
        <f ca="1">IF(Delivery_data[[#This Row],[Order Status]]="In Progress", TODAY()-Delivery_data[[#This Row],[Order Date]], "")</f>
        <v>806</v>
      </c>
      <c r="R254">
        <f>IF(Delivery_data[[#This Row],[On Time]]=1,0,1)</f>
        <v>1</v>
      </c>
    </row>
    <row r="255" spans="1:18" x14ac:dyDescent="0.35">
      <c r="A255">
        <v>1228</v>
      </c>
      <c r="B255" t="s">
        <v>380</v>
      </c>
      <c r="C255" s="1">
        <v>45174.557638888888</v>
      </c>
      <c r="D255" t="s">
        <v>25</v>
      </c>
      <c r="E255" t="s">
        <v>352</v>
      </c>
      <c r="F255" t="s">
        <v>18</v>
      </c>
      <c r="G255" t="s">
        <v>362</v>
      </c>
      <c r="H255">
        <v>148</v>
      </c>
      <c r="I255">
        <v>9</v>
      </c>
      <c r="J255" t="s">
        <v>35</v>
      </c>
      <c r="K255" t="s">
        <v>51</v>
      </c>
      <c r="L255" t="s">
        <v>42</v>
      </c>
      <c r="M255" t="s">
        <v>23</v>
      </c>
      <c r="N255">
        <v>0</v>
      </c>
      <c r="O255">
        <v>1</v>
      </c>
      <c r="P255" s="8">
        <f>INT(Delivery_data[[#This Row],[Order Timestamp]])</f>
        <v>45174</v>
      </c>
      <c r="Q255" t="str">
        <f ca="1">IF(Delivery_data[[#This Row],[Order Status]]="In Progress", TODAY()-Delivery_data[[#This Row],[Order Date]], "")</f>
        <v/>
      </c>
      <c r="R255">
        <f>IF(Delivery_data[[#This Row],[On Time]]=1,0,1)</f>
        <v>1</v>
      </c>
    </row>
    <row r="256" spans="1:18" x14ac:dyDescent="0.35">
      <c r="A256">
        <v>1294</v>
      </c>
      <c r="B256" t="s">
        <v>381</v>
      </c>
      <c r="C256" s="1">
        <v>45173.417361111111</v>
      </c>
      <c r="D256" t="s">
        <v>16</v>
      </c>
      <c r="E256" t="s">
        <v>104</v>
      </c>
      <c r="F256" t="s">
        <v>18</v>
      </c>
      <c r="G256" t="s">
        <v>362</v>
      </c>
      <c r="H256">
        <v>77</v>
      </c>
      <c r="I256">
        <v>8</v>
      </c>
      <c r="J256" t="s">
        <v>20</v>
      </c>
      <c r="K256" t="s">
        <v>28</v>
      </c>
      <c r="L256" t="s">
        <v>29</v>
      </c>
      <c r="M256" t="s">
        <v>23</v>
      </c>
      <c r="N256">
        <v>0</v>
      </c>
      <c r="O256">
        <v>0</v>
      </c>
      <c r="P256" s="8">
        <f>INT(Delivery_data[[#This Row],[Order Timestamp]])</f>
        <v>45173</v>
      </c>
      <c r="Q256">
        <f ca="1">IF(Delivery_data[[#This Row],[Order Status]]="In Progress", TODAY()-Delivery_data[[#This Row],[Order Date]], "")</f>
        <v>810</v>
      </c>
      <c r="R256">
        <f>IF(Delivery_data[[#This Row],[On Time]]=1,0,1)</f>
        <v>1</v>
      </c>
    </row>
    <row r="257" spans="1:18" x14ac:dyDescent="0.35">
      <c r="A257">
        <v>1327</v>
      </c>
      <c r="B257" t="s">
        <v>382</v>
      </c>
      <c r="C257" s="1">
        <v>45171.489583333336</v>
      </c>
      <c r="D257" t="s">
        <v>16</v>
      </c>
      <c r="E257" t="s">
        <v>62</v>
      </c>
      <c r="F257" t="s">
        <v>18</v>
      </c>
      <c r="G257" t="s">
        <v>362</v>
      </c>
      <c r="H257">
        <v>178</v>
      </c>
      <c r="I257">
        <v>24</v>
      </c>
      <c r="J257" t="s">
        <v>27</v>
      </c>
      <c r="K257" t="s">
        <v>33</v>
      </c>
      <c r="L257" t="s">
        <v>22</v>
      </c>
      <c r="M257" t="s">
        <v>30</v>
      </c>
      <c r="N257">
        <v>0</v>
      </c>
      <c r="O257">
        <v>0</v>
      </c>
      <c r="P257" s="8">
        <f>INT(Delivery_data[[#This Row],[Order Timestamp]])</f>
        <v>45171</v>
      </c>
      <c r="Q257">
        <f ca="1">IF(Delivery_data[[#This Row],[Order Status]]="In Progress", TODAY()-Delivery_data[[#This Row],[Order Date]], "")</f>
        <v>812</v>
      </c>
      <c r="R257">
        <f>IF(Delivery_data[[#This Row],[On Time]]=1,0,1)</f>
        <v>1</v>
      </c>
    </row>
    <row r="258" spans="1:18" x14ac:dyDescent="0.35">
      <c r="A258">
        <v>1362</v>
      </c>
      <c r="B258" t="s">
        <v>383</v>
      </c>
      <c r="C258" s="1">
        <v>45172.347916666666</v>
      </c>
      <c r="D258" t="s">
        <v>25</v>
      </c>
      <c r="E258" t="s">
        <v>70</v>
      </c>
      <c r="F258" t="s">
        <v>18</v>
      </c>
      <c r="G258" t="s">
        <v>362</v>
      </c>
      <c r="H258">
        <v>136</v>
      </c>
      <c r="I258">
        <v>14</v>
      </c>
      <c r="J258" t="s">
        <v>27</v>
      </c>
      <c r="K258" t="s">
        <v>38</v>
      </c>
      <c r="L258" t="s">
        <v>22</v>
      </c>
      <c r="M258" t="s">
        <v>23</v>
      </c>
      <c r="N258">
        <v>0</v>
      </c>
      <c r="O258">
        <v>0</v>
      </c>
      <c r="P258" s="8">
        <f>INT(Delivery_data[[#This Row],[Order Timestamp]])</f>
        <v>45172</v>
      </c>
      <c r="Q258" t="str">
        <f ca="1">IF(Delivery_data[[#This Row],[Order Status]]="In Progress", TODAY()-Delivery_data[[#This Row],[Order Date]], "")</f>
        <v/>
      </c>
      <c r="R258">
        <f>IF(Delivery_data[[#This Row],[On Time]]=1,0,1)</f>
        <v>1</v>
      </c>
    </row>
    <row r="259" spans="1:18" x14ac:dyDescent="0.35">
      <c r="A259">
        <v>1364</v>
      </c>
      <c r="B259" t="s">
        <v>384</v>
      </c>
      <c r="C259" s="1">
        <v>45171.565972222219</v>
      </c>
      <c r="D259" t="s">
        <v>25</v>
      </c>
      <c r="E259" t="s">
        <v>53</v>
      </c>
      <c r="F259" t="s">
        <v>18</v>
      </c>
      <c r="G259" t="s">
        <v>362</v>
      </c>
      <c r="H259">
        <v>171</v>
      </c>
      <c r="I259">
        <v>20</v>
      </c>
      <c r="J259" t="s">
        <v>27</v>
      </c>
      <c r="K259" t="s">
        <v>33</v>
      </c>
      <c r="L259" t="s">
        <v>22</v>
      </c>
      <c r="M259" t="s">
        <v>30</v>
      </c>
      <c r="N259">
        <v>0</v>
      </c>
      <c r="O259">
        <v>0</v>
      </c>
      <c r="P259" s="8">
        <f>INT(Delivery_data[[#This Row],[Order Timestamp]])</f>
        <v>45171</v>
      </c>
      <c r="Q259" t="str">
        <f ca="1">IF(Delivery_data[[#This Row],[Order Status]]="In Progress", TODAY()-Delivery_data[[#This Row],[Order Date]], "")</f>
        <v/>
      </c>
      <c r="R259">
        <f>IF(Delivery_data[[#This Row],[On Time]]=1,0,1)</f>
        <v>1</v>
      </c>
    </row>
    <row r="260" spans="1:18" x14ac:dyDescent="0.35">
      <c r="A260">
        <v>1366</v>
      </c>
      <c r="B260" t="s">
        <v>385</v>
      </c>
      <c r="C260" s="1">
        <v>45174.432638888888</v>
      </c>
      <c r="D260" t="s">
        <v>16</v>
      </c>
      <c r="E260" t="s">
        <v>248</v>
      </c>
      <c r="F260" t="s">
        <v>18</v>
      </c>
      <c r="G260" t="s">
        <v>362</v>
      </c>
      <c r="H260">
        <v>62</v>
      </c>
      <c r="I260">
        <v>19</v>
      </c>
      <c r="J260" t="s">
        <v>20</v>
      </c>
      <c r="K260" t="s">
        <v>51</v>
      </c>
      <c r="L260" t="s">
        <v>42</v>
      </c>
      <c r="M260" t="s">
        <v>39</v>
      </c>
      <c r="N260">
        <v>0</v>
      </c>
      <c r="O260">
        <v>0</v>
      </c>
      <c r="P260" s="8">
        <f>INT(Delivery_data[[#This Row],[Order Timestamp]])</f>
        <v>45174</v>
      </c>
      <c r="Q260">
        <f ca="1">IF(Delivery_data[[#This Row],[Order Status]]="In Progress", TODAY()-Delivery_data[[#This Row],[Order Date]], "")</f>
        <v>809</v>
      </c>
      <c r="R260">
        <f>IF(Delivery_data[[#This Row],[On Time]]=1,0,1)</f>
        <v>1</v>
      </c>
    </row>
    <row r="261" spans="1:18" x14ac:dyDescent="0.35">
      <c r="A261">
        <v>1379</v>
      </c>
      <c r="B261" t="s">
        <v>386</v>
      </c>
      <c r="C261" s="1">
        <v>45176.636805555558</v>
      </c>
      <c r="D261" t="s">
        <v>25</v>
      </c>
      <c r="E261" t="s">
        <v>44</v>
      </c>
      <c r="F261" t="s">
        <v>18</v>
      </c>
      <c r="G261" t="s">
        <v>362</v>
      </c>
      <c r="H261">
        <v>97</v>
      </c>
      <c r="I261">
        <v>28</v>
      </c>
      <c r="J261" t="s">
        <v>27</v>
      </c>
      <c r="K261" t="s">
        <v>33</v>
      </c>
      <c r="L261" t="s">
        <v>42</v>
      </c>
      <c r="M261" t="s">
        <v>23</v>
      </c>
      <c r="N261">
        <v>0</v>
      </c>
      <c r="O261">
        <v>0</v>
      </c>
      <c r="P261" s="8">
        <f>INT(Delivery_data[[#This Row],[Order Timestamp]])</f>
        <v>45176</v>
      </c>
      <c r="Q261" t="str">
        <f ca="1">IF(Delivery_data[[#This Row],[Order Status]]="In Progress", TODAY()-Delivery_data[[#This Row],[Order Date]], "")</f>
        <v/>
      </c>
      <c r="R261">
        <f>IF(Delivery_data[[#This Row],[On Time]]=1,0,1)</f>
        <v>1</v>
      </c>
    </row>
    <row r="262" spans="1:18" x14ac:dyDescent="0.35">
      <c r="A262">
        <v>1414</v>
      </c>
      <c r="B262" t="s">
        <v>387</v>
      </c>
      <c r="C262" s="1">
        <v>45173.551388888889</v>
      </c>
      <c r="D262" t="s">
        <v>25</v>
      </c>
      <c r="E262" t="s">
        <v>169</v>
      </c>
      <c r="F262" t="s">
        <v>18</v>
      </c>
      <c r="G262" t="s">
        <v>362</v>
      </c>
      <c r="H262">
        <v>89</v>
      </c>
      <c r="I262">
        <v>1</v>
      </c>
      <c r="J262" t="s">
        <v>27</v>
      </c>
      <c r="K262" t="s">
        <v>21</v>
      </c>
      <c r="L262" t="s">
        <v>29</v>
      </c>
      <c r="M262" t="s">
        <v>23</v>
      </c>
      <c r="N262">
        <v>0</v>
      </c>
      <c r="O262">
        <v>0</v>
      </c>
      <c r="P262" s="8">
        <f>INT(Delivery_data[[#This Row],[Order Timestamp]])</f>
        <v>45173</v>
      </c>
      <c r="Q262" t="str">
        <f ca="1">IF(Delivery_data[[#This Row],[Order Status]]="In Progress", TODAY()-Delivery_data[[#This Row],[Order Date]], "")</f>
        <v/>
      </c>
      <c r="R262">
        <f>IF(Delivery_data[[#This Row],[On Time]]=1,0,1)</f>
        <v>1</v>
      </c>
    </row>
    <row r="263" spans="1:18" x14ac:dyDescent="0.35">
      <c r="A263">
        <v>1416</v>
      </c>
      <c r="B263" t="s">
        <v>388</v>
      </c>
      <c r="C263" s="1">
        <v>45173.588888888888</v>
      </c>
      <c r="D263" t="s">
        <v>25</v>
      </c>
      <c r="E263" t="s">
        <v>271</v>
      </c>
      <c r="F263" t="s">
        <v>18</v>
      </c>
      <c r="G263" t="s">
        <v>362</v>
      </c>
      <c r="H263">
        <v>105</v>
      </c>
      <c r="I263">
        <v>18</v>
      </c>
      <c r="J263" t="s">
        <v>20</v>
      </c>
      <c r="K263" t="s">
        <v>38</v>
      </c>
      <c r="L263" t="s">
        <v>22</v>
      </c>
      <c r="M263" t="s">
        <v>39</v>
      </c>
      <c r="N263">
        <v>0</v>
      </c>
      <c r="O263">
        <v>0</v>
      </c>
      <c r="P263" s="8">
        <f>INT(Delivery_data[[#This Row],[Order Timestamp]])</f>
        <v>45173</v>
      </c>
      <c r="Q263" t="str">
        <f ca="1">IF(Delivery_data[[#This Row],[Order Status]]="In Progress", TODAY()-Delivery_data[[#This Row],[Order Date]], "")</f>
        <v/>
      </c>
      <c r="R263">
        <f>IF(Delivery_data[[#This Row],[On Time]]=1,0,1)</f>
        <v>1</v>
      </c>
    </row>
    <row r="264" spans="1:18" x14ac:dyDescent="0.35">
      <c r="A264">
        <v>1419</v>
      </c>
      <c r="B264" t="s">
        <v>389</v>
      </c>
      <c r="C264" s="1">
        <v>45176.450694444444</v>
      </c>
      <c r="D264" t="s">
        <v>25</v>
      </c>
      <c r="E264" t="s">
        <v>68</v>
      </c>
      <c r="F264" t="s">
        <v>18</v>
      </c>
      <c r="G264" t="s">
        <v>362</v>
      </c>
      <c r="H264">
        <v>231</v>
      </c>
      <c r="I264">
        <v>11</v>
      </c>
      <c r="J264" t="s">
        <v>27</v>
      </c>
      <c r="K264" t="s">
        <v>28</v>
      </c>
      <c r="L264" t="s">
        <v>22</v>
      </c>
      <c r="M264" t="s">
        <v>23</v>
      </c>
      <c r="N264">
        <v>0</v>
      </c>
      <c r="O264">
        <v>0</v>
      </c>
      <c r="P264" s="8">
        <f>INT(Delivery_data[[#This Row],[Order Timestamp]])</f>
        <v>45176</v>
      </c>
      <c r="Q264" t="str">
        <f ca="1">IF(Delivery_data[[#This Row],[Order Status]]="In Progress", TODAY()-Delivery_data[[#This Row],[Order Date]], "")</f>
        <v/>
      </c>
      <c r="R264">
        <f>IF(Delivery_data[[#This Row],[On Time]]=1,0,1)</f>
        <v>1</v>
      </c>
    </row>
    <row r="265" spans="1:18" x14ac:dyDescent="0.35">
      <c r="A265">
        <v>1464</v>
      </c>
      <c r="B265" t="s">
        <v>390</v>
      </c>
      <c r="C265" s="1">
        <v>45177.53402777778</v>
      </c>
      <c r="D265" t="s">
        <v>25</v>
      </c>
      <c r="E265" t="s">
        <v>104</v>
      </c>
      <c r="F265" t="s">
        <v>18</v>
      </c>
      <c r="G265" t="s">
        <v>362</v>
      </c>
      <c r="H265">
        <v>95</v>
      </c>
      <c r="I265">
        <v>10</v>
      </c>
      <c r="J265" t="s">
        <v>20</v>
      </c>
      <c r="K265" t="s">
        <v>21</v>
      </c>
      <c r="L265" t="s">
        <v>22</v>
      </c>
      <c r="M265" t="s">
        <v>39</v>
      </c>
      <c r="N265">
        <v>0</v>
      </c>
      <c r="O265">
        <v>0</v>
      </c>
      <c r="P265" s="8">
        <f>INT(Delivery_data[[#This Row],[Order Timestamp]])</f>
        <v>45177</v>
      </c>
      <c r="Q265" t="str">
        <f ca="1">IF(Delivery_data[[#This Row],[Order Status]]="In Progress", TODAY()-Delivery_data[[#This Row],[Order Date]], "")</f>
        <v/>
      </c>
      <c r="R265">
        <f>IF(Delivery_data[[#This Row],[On Time]]=1,0,1)</f>
        <v>1</v>
      </c>
    </row>
    <row r="266" spans="1:18" x14ac:dyDescent="0.35">
      <c r="A266">
        <v>1486</v>
      </c>
      <c r="B266" t="s">
        <v>391</v>
      </c>
      <c r="C266" s="1">
        <v>45173.585416666669</v>
      </c>
      <c r="D266" t="s">
        <v>16</v>
      </c>
      <c r="E266" t="s">
        <v>89</v>
      </c>
      <c r="F266" t="s">
        <v>18</v>
      </c>
      <c r="G266" t="s">
        <v>362</v>
      </c>
      <c r="H266">
        <v>116</v>
      </c>
      <c r="I266">
        <v>11</v>
      </c>
      <c r="J266" t="s">
        <v>27</v>
      </c>
      <c r="K266" t="s">
        <v>33</v>
      </c>
      <c r="L266" t="s">
        <v>22</v>
      </c>
      <c r="M266" t="s">
        <v>30</v>
      </c>
      <c r="N266">
        <v>0</v>
      </c>
      <c r="O266">
        <v>0</v>
      </c>
      <c r="P266" s="8">
        <f>INT(Delivery_data[[#This Row],[Order Timestamp]])</f>
        <v>45173</v>
      </c>
      <c r="Q266">
        <f ca="1">IF(Delivery_data[[#This Row],[Order Status]]="In Progress", TODAY()-Delivery_data[[#This Row],[Order Date]], "")</f>
        <v>810</v>
      </c>
      <c r="R266">
        <f>IF(Delivery_data[[#This Row],[On Time]]=1,0,1)</f>
        <v>1</v>
      </c>
    </row>
    <row r="267" spans="1:18" x14ac:dyDescent="0.35">
      <c r="A267">
        <v>1497</v>
      </c>
      <c r="B267" t="s">
        <v>392</v>
      </c>
      <c r="C267" s="1">
        <v>45172.650694444441</v>
      </c>
      <c r="D267" t="s">
        <v>25</v>
      </c>
      <c r="E267" t="s">
        <v>216</v>
      </c>
      <c r="F267" t="s">
        <v>18</v>
      </c>
      <c r="G267" t="s">
        <v>362</v>
      </c>
      <c r="H267">
        <v>182</v>
      </c>
      <c r="I267">
        <v>14</v>
      </c>
      <c r="J267" t="s">
        <v>20</v>
      </c>
      <c r="K267" t="s">
        <v>51</v>
      </c>
      <c r="L267" t="s">
        <v>22</v>
      </c>
      <c r="M267" t="s">
        <v>39</v>
      </c>
      <c r="N267">
        <v>0</v>
      </c>
      <c r="O267">
        <v>0</v>
      </c>
      <c r="P267" s="8">
        <f>INT(Delivery_data[[#This Row],[Order Timestamp]])</f>
        <v>45172</v>
      </c>
      <c r="Q267" t="str">
        <f ca="1">IF(Delivery_data[[#This Row],[Order Status]]="In Progress", TODAY()-Delivery_data[[#This Row],[Order Date]], "")</f>
        <v/>
      </c>
      <c r="R267">
        <f>IF(Delivery_data[[#This Row],[On Time]]=1,0,1)</f>
        <v>1</v>
      </c>
    </row>
    <row r="268" spans="1:18" x14ac:dyDescent="0.35">
      <c r="A268">
        <v>1512</v>
      </c>
      <c r="B268" t="s">
        <v>393</v>
      </c>
      <c r="C268" s="1">
        <v>45171.42291666667</v>
      </c>
      <c r="D268" t="s">
        <v>16</v>
      </c>
      <c r="E268" t="s">
        <v>360</v>
      </c>
      <c r="F268" t="s">
        <v>18</v>
      </c>
      <c r="G268" t="s">
        <v>362</v>
      </c>
      <c r="H268">
        <v>129</v>
      </c>
      <c r="I268">
        <v>8</v>
      </c>
      <c r="J268" t="s">
        <v>27</v>
      </c>
      <c r="K268" t="s">
        <v>28</v>
      </c>
      <c r="L268" t="s">
        <v>22</v>
      </c>
      <c r="M268" t="s">
        <v>30</v>
      </c>
      <c r="N268">
        <v>0</v>
      </c>
      <c r="O268">
        <v>0</v>
      </c>
      <c r="P268" s="8">
        <f>INT(Delivery_data[[#This Row],[Order Timestamp]])</f>
        <v>45171</v>
      </c>
      <c r="Q268">
        <f ca="1">IF(Delivery_data[[#This Row],[Order Status]]="In Progress", TODAY()-Delivery_data[[#This Row],[Order Date]], "")</f>
        <v>812</v>
      </c>
      <c r="R268">
        <f>IF(Delivery_data[[#This Row],[On Time]]=1,0,1)</f>
        <v>1</v>
      </c>
    </row>
    <row r="269" spans="1:18" x14ac:dyDescent="0.35">
      <c r="A269">
        <v>1515</v>
      </c>
      <c r="B269" t="s">
        <v>394</v>
      </c>
      <c r="C269" s="1">
        <v>45170.455555555556</v>
      </c>
      <c r="D269" t="s">
        <v>16</v>
      </c>
      <c r="E269" t="s">
        <v>83</v>
      </c>
      <c r="F269" t="s">
        <v>18</v>
      </c>
      <c r="G269" t="s">
        <v>362</v>
      </c>
      <c r="H269">
        <v>188</v>
      </c>
      <c r="I269">
        <v>16</v>
      </c>
      <c r="J269" t="s">
        <v>20</v>
      </c>
      <c r="K269" t="s">
        <v>51</v>
      </c>
      <c r="L269" t="s">
        <v>42</v>
      </c>
      <c r="M269" t="s">
        <v>30</v>
      </c>
      <c r="N269">
        <v>0</v>
      </c>
      <c r="O269">
        <v>0</v>
      </c>
      <c r="P269" s="8">
        <f>INT(Delivery_data[[#This Row],[Order Timestamp]])</f>
        <v>45170</v>
      </c>
      <c r="Q269">
        <f ca="1">IF(Delivery_data[[#This Row],[Order Status]]="In Progress", TODAY()-Delivery_data[[#This Row],[Order Date]], "")</f>
        <v>813</v>
      </c>
      <c r="R269">
        <f>IF(Delivery_data[[#This Row],[On Time]]=1,0,1)</f>
        <v>1</v>
      </c>
    </row>
    <row r="270" spans="1:18" x14ac:dyDescent="0.35">
      <c r="A270">
        <v>1538</v>
      </c>
      <c r="B270" t="s">
        <v>395</v>
      </c>
      <c r="C270" s="1">
        <v>45176.602083333331</v>
      </c>
      <c r="D270" t="s">
        <v>25</v>
      </c>
      <c r="E270" t="s">
        <v>66</v>
      </c>
      <c r="F270" t="s">
        <v>18</v>
      </c>
      <c r="G270" t="s">
        <v>362</v>
      </c>
      <c r="H270">
        <v>192</v>
      </c>
      <c r="I270">
        <v>14</v>
      </c>
      <c r="J270" t="s">
        <v>20</v>
      </c>
      <c r="K270" t="s">
        <v>21</v>
      </c>
      <c r="L270" t="s">
        <v>29</v>
      </c>
      <c r="M270" t="s">
        <v>23</v>
      </c>
      <c r="N270">
        <v>0</v>
      </c>
      <c r="O270">
        <v>0</v>
      </c>
      <c r="P270" s="8">
        <f>INT(Delivery_data[[#This Row],[Order Timestamp]])</f>
        <v>45176</v>
      </c>
      <c r="Q270" t="str">
        <f ca="1">IF(Delivery_data[[#This Row],[Order Status]]="In Progress", TODAY()-Delivery_data[[#This Row],[Order Date]], "")</f>
        <v/>
      </c>
      <c r="R270">
        <f>IF(Delivery_data[[#This Row],[On Time]]=1,0,1)</f>
        <v>1</v>
      </c>
    </row>
    <row r="271" spans="1:18" x14ac:dyDescent="0.35">
      <c r="A271">
        <v>1585</v>
      </c>
      <c r="B271" t="s">
        <v>396</v>
      </c>
      <c r="C271" s="1">
        <v>45170.365277777775</v>
      </c>
      <c r="D271" t="s">
        <v>16</v>
      </c>
      <c r="E271" t="s">
        <v>181</v>
      </c>
      <c r="F271" t="s">
        <v>18</v>
      </c>
      <c r="G271" t="s">
        <v>362</v>
      </c>
      <c r="H271">
        <v>66</v>
      </c>
      <c r="I271">
        <v>21</v>
      </c>
      <c r="J271" t="s">
        <v>20</v>
      </c>
      <c r="K271" t="s">
        <v>38</v>
      </c>
      <c r="L271" t="s">
        <v>29</v>
      </c>
      <c r="M271" t="s">
        <v>23</v>
      </c>
      <c r="N271">
        <v>0</v>
      </c>
      <c r="O271">
        <v>0</v>
      </c>
      <c r="P271" s="8">
        <f>INT(Delivery_data[[#This Row],[Order Timestamp]])</f>
        <v>45170</v>
      </c>
      <c r="Q271">
        <f ca="1">IF(Delivery_data[[#This Row],[Order Status]]="In Progress", TODAY()-Delivery_data[[#This Row],[Order Date]], "")</f>
        <v>813</v>
      </c>
      <c r="R271">
        <f>IF(Delivery_data[[#This Row],[On Time]]=1,0,1)</f>
        <v>1</v>
      </c>
    </row>
    <row r="272" spans="1:18" x14ac:dyDescent="0.35">
      <c r="A272">
        <v>1586</v>
      </c>
      <c r="B272" t="s">
        <v>397</v>
      </c>
      <c r="C272" s="1">
        <v>45176.402777777781</v>
      </c>
      <c r="D272" t="s">
        <v>25</v>
      </c>
      <c r="E272" t="s">
        <v>46</v>
      </c>
      <c r="F272" t="s">
        <v>18</v>
      </c>
      <c r="G272" t="s">
        <v>362</v>
      </c>
      <c r="H272">
        <v>173</v>
      </c>
      <c r="I272">
        <v>12</v>
      </c>
      <c r="J272" t="s">
        <v>20</v>
      </c>
      <c r="K272" t="s">
        <v>33</v>
      </c>
      <c r="L272" t="s">
        <v>42</v>
      </c>
      <c r="M272" t="s">
        <v>39</v>
      </c>
      <c r="N272">
        <v>0</v>
      </c>
      <c r="O272">
        <v>0</v>
      </c>
      <c r="P272" s="8">
        <f>INT(Delivery_data[[#This Row],[Order Timestamp]])</f>
        <v>45176</v>
      </c>
      <c r="Q272" t="str">
        <f ca="1">IF(Delivery_data[[#This Row],[Order Status]]="In Progress", TODAY()-Delivery_data[[#This Row],[Order Date]], "")</f>
        <v/>
      </c>
      <c r="R272">
        <f>IF(Delivery_data[[#This Row],[On Time]]=1,0,1)</f>
        <v>1</v>
      </c>
    </row>
    <row r="273" spans="1:18" x14ac:dyDescent="0.35">
      <c r="A273">
        <v>1593</v>
      </c>
      <c r="B273" t="s">
        <v>398</v>
      </c>
      <c r="C273" s="1">
        <v>45170.5</v>
      </c>
      <c r="D273" t="s">
        <v>16</v>
      </c>
      <c r="E273" t="s">
        <v>209</v>
      </c>
      <c r="F273" t="s">
        <v>18</v>
      </c>
      <c r="G273" t="s">
        <v>362</v>
      </c>
      <c r="H273">
        <v>187</v>
      </c>
      <c r="I273">
        <v>9</v>
      </c>
      <c r="J273" t="s">
        <v>35</v>
      </c>
      <c r="K273" t="s">
        <v>51</v>
      </c>
      <c r="L273" t="s">
        <v>42</v>
      </c>
      <c r="M273" t="s">
        <v>30</v>
      </c>
      <c r="N273">
        <v>0</v>
      </c>
      <c r="O273">
        <v>1</v>
      </c>
      <c r="P273" s="8">
        <f>INT(Delivery_data[[#This Row],[Order Timestamp]])</f>
        <v>45170</v>
      </c>
      <c r="Q273">
        <f ca="1">IF(Delivery_data[[#This Row],[Order Status]]="In Progress", TODAY()-Delivery_data[[#This Row],[Order Date]], "")</f>
        <v>813</v>
      </c>
      <c r="R273">
        <f>IF(Delivery_data[[#This Row],[On Time]]=1,0,1)</f>
        <v>1</v>
      </c>
    </row>
    <row r="274" spans="1:18" x14ac:dyDescent="0.35">
      <c r="A274">
        <v>1621</v>
      </c>
      <c r="B274" t="s">
        <v>399</v>
      </c>
      <c r="C274" s="1">
        <v>45172.707638888889</v>
      </c>
      <c r="D274" t="s">
        <v>16</v>
      </c>
      <c r="E274" t="s">
        <v>209</v>
      </c>
      <c r="F274" t="s">
        <v>18</v>
      </c>
      <c r="G274" t="s">
        <v>362</v>
      </c>
      <c r="H274">
        <v>168</v>
      </c>
      <c r="I274">
        <v>6</v>
      </c>
      <c r="J274" t="s">
        <v>27</v>
      </c>
      <c r="K274" t="s">
        <v>21</v>
      </c>
      <c r="L274" t="s">
        <v>29</v>
      </c>
      <c r="M274" t="s">
        <v>23</v>
      </c>
      <c r="N274">
        <v>0</v>
      </c>
      <c r="O274">
        <v>0</v>
      </c>
      <c r="P274" s="8">
        <f>INT(Delivery_data[[#This Row],[Order Timestamp]])</f>
        <v>45172</v>
      </c>
      <c r="Q274">
        <f ca="1">IF(Delivery_data[[#This Row],[Order Status]]="In Progress", TODAY()-Delivery_data[[#This Row],[Order Date]], "")</f>
        <v>811</v>
      </c>
      <c r="R274">
        <f>IF(Delivery_data[[#This Row],[On Time]]=1,0,1)</f>
        <v>1</v>
      </c>
    </row>
    <row r="275" spans="1:18" x14ac:dyDescent="0.35">
      <c r="A275">
        <v>1628</v>
      </c>
      <c r="B275" t="s">
        <v>400</v>
      </c>
      <c r="C275" s="1">
        <v>45174.395138888889</v>
      </c>
      <c r="D275" t="s">
        <v>16</v>
      </c>
      <c r="E275" t="s">
        <v>342</v>
      </c>
      <c r="F275" t="s">
        <v>18</v>
      </c>
      <c r="G275" t="s">
        <v>362</v>
      </c>
      <c r="H275">
        <v>141</v>
      </c>
      <c r="I275">
        <v>13</v>
      </c>
      <c r="J275" t="s">
        <v>20</v>
      </c>
      <c r="K275" t="s">
        <v>51</v>
      </c>
      <c r="L275" t="s">
        <v>42</v>
      </c>
      <c r="M275" t="s">
        <v>30</v>
      </c>
      <c r="N275">
        <v>0</v>
      </c>
      <c r="O275">
        <v>0</v>
      </c>
      <c r="P275" s="8">
        <f>INT(Delivery_data[[#This Row],[Order Timestamp]])</f>
        <v>45174</v>
      </c>
      <c r="Q275">
        <f ca="1">IF(Delivery_data[[#This Row],[Order Status]]="In Progress", TODAY()-Delivery_data[[#This Row],[Order Date]], "")</f>
        <v>809</v>
      </c>
      <c r="R275">
        <f>IF(Delivery_data[[#This Row],[On Time]]=1,0,1)</f>
        <v>1</v>
      </c>
    </row>
    <row r="276" spans="1:18" x14ac:dyDescent="0.35">
      <c r="A276">
        <v>1642</v>
      </c>
      <c r="B276" t="s">
        <v>401</v>
      </c>
      <c r="C276" s="1">
        <v>45175.668749999997</v>
      </c>
      <c r="D276" t="s">
        <v>16</v>
      </c>
      <c r="E276" t="s">
        <v>292</v>
      </c>
      <c r="F276" t="s">
        <v>18</v>
      </c>
      <c r="G276" t="s">
        <v>362</v>
      </c>
      <c r="H276">
        <v>73</v>
      </c>
      <c r="I276">
        <v>8</v>
      </c>
      <c r="J276" t="s">
        <v>20</v>
      </c>
      <c r="K276" t="s">
        <v>38</v>
      </c>
      <c r="L276" t="s">
        <v>22</v>
      </c>
      <c r="M276" t="s">
        <v>39</v>
      </c>
      <c r="N276">
        <v>0</v>
      </c>
      <c r="O276">
        <v>0</v>
      </c>
      <c r="P276" s="8">
        <f>INT(Delivery_data[[#This Row],[Order Timestamp]])</f>
        <v>45175</v>
      </c>
      <c r="Q276">
        <f ca="1">IF(Delivery_data[[#This Row],[Order Status]]="In Progress", TODAY()-Delivery_data[[#This Row],[Order Date]], "")</f>
        <v>808</v>
      </c>
      <c r="R276">
        <f>IF(Delivery_data[[#This Row],[On Time]]=1,0,1)</f>
        <v>1</v>
      </c>
    </row>
    <row r="277" spans="1:18" x14ac:dyDescent="0.35">
      <c r="A277">
        <v>1643</v>
      </c>
      <c r="B277" t="s">
        <v>402</v>
      </c>
      <c r="C277" s="1">
        <v>45177.543749999997</v>
      </c>
      <c r="D277" t="s">
        <v>25</v>
      </c>
      <c r="E277" t="s">
        <v>342</v>
      </c>
      <c r="F277" t="s">
        <v>18</v>
      </c>
      <c r="G277" t="s">
        <v>362</v>
      </c>
      <c r="H277">
        <v>155</v>
      </c>
      <c r="I277">
        <v>22</v>
      </c>
      <c r="J277" t="s">
        <v>27</v>
      </c>
      <c r="K277" t="s">
        <v>33</v>
      </c>
      <c r="L277" t="s">
        <v>42</v>
      </c>
      <c r="M277" t="s">
        <v>39</v>
      </c>
      <c r="N277">
        <v>0</v>
      </c>
      <c r="O277">
        <v>0</v>
      </c>
      <c r="P277" s="8">
        <f>INT(Delivery_data[[#This Row],[Order Timestamp]])</f>
        <v>45177</v>
      </c>
      <c r="Q277" t="str">
        <f ca="1">IF(Delivery_data[[#This Row],[Order Status]]="In Progress", TODAY()-Delivery_data[[#This Row],[Order Date]], "")</f>
        <v/>
      </c>
      <c r="R277">
        <f>IF(Delivery_data[[#This Row],[On Time]]=1,0,1)</f>
        <v>1</v>
      </c>
    </row>
    <row r="278" spans="1:18" x14ac:dyDescent="0.35">
      <c r="A278">
        <v>1660</v>
      </c>
      <c r="B278" t="s">
        <v>403</v>
      </c>
      <c r="C278" s="1">
        <v>45170.444444444445</v>
      </c>
      <c r="D278" t="s">
        <v>25</v>
      </c>
      <c r="E278" t="s">
        <v>158</v>
      </c>
      <c r="F278" t="s">
        <v>18</v>
      </c>
      <c r="G278" t="s">
        <v>362</v>
      </c>
      <c r="H278">
        <v>138</v>
      </c>
      <c r="I278">
        <v>6</v>
      </c>
      <c r="J278" t="s">
        <v>35</v>
      </c>
      <c r="K278" t="s">
        <v>28</v>
      </c>
      <c r="L278" t="s">
        <v>22</v>
      </c>
      <c r="M278" t="s">
        <v>39</v>
      </c>
      <c r="N278">
        <v>0</v>
      </c>
      <c r="O278">
        <v>1</v>
      </c>
      <c r="P278" s="8">
        <f>INT(Delivery_data[[#This Row],[Order Timestamp]])</f>
        <v>45170</v>
      </c>
      <c r="Q278" t="str">
        <f ca="1">IF(Delivery_data[[#This Row],[Order Status]]="In Progress", TODAY()-Delivery_data[[#This Row],[Order Date]], "")</f>
        <v/>
      </c>
      <c r="R278">
        <f>IF(Delivery_data[[#This Row],[On Time]]=1,0,1)</f>
        <v>1</v>
      </c>
    </row>
    <row r="279" spans="1:18" x14ac:dyDescent="0.35">
      <c r="A279">
        <v>1730</v>
      </c>
      <c r="B279" t="s">
        <v>404</v>
      </c>
      <c r="C279" s="1">
        <v>45176.506944444445</v>
      </c>
      <c r="D279" t="s">
        <v>25</v>
      </c>
      <c r="E279" t="s">
        <v>56</v>
      </c>
      <c r="F279" t="s">
        <v>18</v>
      </c>
      <c r="G279" t="s">
        <v>362</v>
      </c>
      <c r="H279">
        <v>138</v>
      </c>
      <c r="I279">
        <v>14</v>
      </c>
      <c r="J279" t="s">
        <v>35</v>
      </c>
      <c r="K279" t="s">
        <v>51</v>
      </c>
      <c r="L279" t="s">
        <v>42</v>
      </c>
      <c r="M279" t="s">
        <v>30</v>
      </c>
      <c r="N279">
        <v>0</v>
      </c>
      <c r="O279">
        <v>1</v>
      </c>
      <c r="P279" s="8">
        <f>INT(Delivery_data[[#This Row],[Order Timestamp]])</f>
        <v>45176</v>
      </c>
      <c r="Q279" t="str">
        <f ca="1">IF(Delivery_data[[#This Row],[Order Status]]="In Progress", TODAY()-Delivery_data[[#This Row],[Order Date]], "")</f>
        <v/>
      </c>
      <c r="R279">
        <f>IF(Delivery_data[[#This Row],[On Time]]=1,0,1)</f>
        <v>1</v>
      </c>
    </row>
    <row r="280" spans="1:18" x14ac:dyDescent="0.35">
      <c r="A280">
        <v>1744</v>
      </c>
      <c r="B280" t="s">
        <v>405</v>
      </c>
      <c r="C280" s="1">
        <v>45177.691666666666</v>
      </c>
      <c r="D280" t="s">
        <v>16</v>
      </c>
      <c r="E280" t="s">
        <v>212</v>
      </c>
      <c r="F280" t="s">
        <v>18</v>
      </c>
      <c r="G280" t="s">
        <v>362</v>
      </c>
      <c r="H280">
        <v>163</v>
      </c>
      <c r="I280">
        <v>2</v>
      </c>
      <c r="J280" t="s">
        <v>27</v>
      </c>
      <c r="K280" t="s">
        <v>28</v>
      </c>
      <c r="L280" t="s">
        <v>42</v>
      </c>
      <c r="M280" t="s">
        <v>39</v>
      </c>
      <c r="N280">
        <v>0</v>
      </c>
      <c r="O280">
        <v>0</v>
      </c>
      <c r="P280" s="8">
        <f>INT(Delivery_data[[#This Row],[Order Timestamp]])</f>
        <v>45177</v>
      </c>
      <c r="Q280">
        <f ca="1">IF(Delivery_data[[#This Row],[Order Status]]="In Progress", TODAY()-Delivery_data[[#This Row],[Order Date]], "")</f>
        <v>806</v>
      </c>
      <c r="R280">
        <f>IF(Delivery_data[[#This Row],[On Time]]=1,0,1)</f>
        <v>1</v>
      </c>
    </row>
    <row r="281" spans="1:18" x14ac:dyDescent="0.35">
      <c r="A281">
        <v>1751</v>
      </c>
      <c r="B281" t="s">
        <v>406</v>
      </c>
      <c r="C281" s="1">
        <v>45171.631944444445</v>
      </c>
      <c r="D281" t="s">
        <v>16</v>
      </c>
      <c r="E281" t="s">
        <v>216</v>
      </c>
      <c r="F281" t="s">
        <v>18</v>
      </c>
      <c r="G281" t="s">
        <v>362</v>
      </c>
      <c r="H281">
        <v>169</v>
      </c>
      <c r="I281">
        <v>8</v>
      </c>
      <c r="J281" t="s">
        <v>35</v>
      </c>
      <c r="K281" t="s">
        <v>51</v>
      </c>
      <c r="L281" t="s">
        <v>42</v>
      </c>
      <c r="M281" t="s">
        <v>23</v>
      </c>
      <c r="N281">
        <v>0</v>
      </c>
      <c r="O281">
        <v>1</v>
      </c>
      <c r="P281" s="8">
        <f>INT(Delivery_data[[#This Row],[Order Timestamp]])</f>
        <v>45171</v>
      </c>
      <c r="Q281">
        <f ca="1">IF(Delivery_data[[#This Row],[Order Status]]="In Progress", TODAY()-Delivery_data[[#This Row],[Order Date]], "")</f>
        <v>812</v>
      </c>
      <c r="R281">
        <f>IF(Delivery_data[[#This Row],[On Time]]=1,0,1)</f>
        <v>1</v>
      </c>
    </row>
    <row r="282" spans="1:18" x14ac:dyDescent="0.35">
      <c r="A282">
        <v>1752</v>
      </c>
      <c r="B282" t="s">
        <v>407</v>
      </c>
      <c r="C282" s="1">
        <v>45170.607638888891</v>
      </c>
      <c r="D282" t="s">
        <v>25</v>
      </c>
      <c r="E282" t="s">
        <v>204</v>
      </c>
      <c r="F282" t="s">
        <v>18</v>
      </c>
      <c r="G282" t="s">
        <v>362</v>
      </c>
      <c r="H282">
        <v>128</v>
      </c>
      <c r="I282">
        <v>4</v>
      </c>
      <c r="J282" t="s">
        <v>20</v>
      </c>
      <c r="K282" t="s">
        <v>21</v>
      </c>
      <c r="L282" t="s">
        <v>29</v>
      </c>
      <c r="M282" t="s">
        <v>39</v>
      </c>
      <c r="N282">
        <v>0</v>
      </c>
      <c r="O282">
        <v>0</v>
      </c>
      <c r="P282" s="8">
        <f>INT(Delivery_data[[#This Row],[Order Timestamp]])</f>
        <v>45170</v>
      </c>
      <c r="Q282" t="str">
        <f ca="1">IF(Delivery_data[[#This Row],[Order Status]]="In Progress", TODAY()-Delivery_data[[#This Row],[Order Date]], "")</f>
        <v/>
      </c>
      <c r="R282">
        <f>IF(Delivery_data[[#This Row],[On Time]]=1,0,1)</f>
        <v>1</v>
      </c>
    </row>
    <row r="283" spans="1:18" x14ac:dyDescent="0.35">
      <c r="A283">
        <v>1756</v>
      </c>
      <c r="B283" t="s">
        <v>408</v>
      </c>
      <c r="C283" s="1">
        <v>45177.438888888886</v>
      </c>
      <c r="D283" t="s">
        <v>16</v>
      </c>
      <c r="E283" t="s">
        <v>225</v>
      </c>
      <c r="F283" t="s">
        <v>18</v>
      </c>
      <c r="G283" t="s">
        <v>362</v>
      </c>
      <c r="H283">
        <v>100</v>
      </c>
      <c r="I283">
        <v>12</v>
      </c>
      <c r="J283" t="s">
        <v>35</v>
      </c>
      <c r="K283" t="s">
        <v>51</v>
      </c>
      <c r="L283" t="s">
        <v>22</v>
      </c>
      <c r="M283" t="s">
        <v>39</v>
      </c>
      <c r="N283">
        <v>0</v>
      </c>
      <c r="O283">
        <v>1</v>
      </c>
      <c r="P283" s="8">
        <f>INT(Delivery_data[[#This Row],[Order Timestamp]])</f>
        <v>45177</v>
      </c>
      <c r="Q283">
        <f ca="1">IF(Delivery_data[[#This Row],[Order Status]]="In Progress", TODAY()-Delivery_data[[#This Row],[Order Date]], "")</f>
        <v>806</v>
      </c>
      <c r="R283">
        <f>IF(Delivery_data[[#This Row],[On Time]]=1,0,1)</f>
        <v>1</v>
      </c>
    </row>
    <row r="284" spans="1:18" x14ac:dyDescent="0.35">
      <c r="A284">
        <v>1768</v>
      </c>
      <c r="B284" t="s">
        <v>409</v>
      </c>
      <c r="C284" s="1">
        <v>45171.457638888889</v>
      </c>
      <c r="D284" t="s">
        <v>25</v>
      </c>
      <c r="E284" t="s">
        <v>209</v>
      </c>
      <c r="F284" t="s">
        <v>18</v>
      </c>
      <c r="G284" t="s">
        <v>362</v>
      </c>
      <c r="H284">
        <v>61</v>
      </c>
      <c r="I284">
        <v>6</v>
      </c>
      <c r="J284" t="s">
        <v>35</v>
      </c>
      <c r="K284" t="s">
        <v>28</v>
      </c>
      <c r="L284" t="s">
        <v>22</v>
      </c>
      <c r="M284" t="s">
        <v>39</v>
      </c>
      <c r="N284">
        <v>0</v>
      </c>
      <c r="O284">
        <v>1</v>
      </c>
      <c r="P284" s="8">
        <f>INT(Delivery_data[[#This Row],[Order Timestamp]])</f>
        <v>45171</v>
      </c>
      <c r="Q284" t="str">
        <f ca="1">IF(Delivery_data[[#This Row],[Order Status]]="In Progress", TODAY()-Delivery_data[[#This Row],[Order Date]], "")</f>
        <v/>
      </c>
      <c r="R284">
        <f>IF(Delivery_data[[#This Row],[On Time]]=1,0,1)</f>
        <v>1</v>
      </c>
    </row>
    <row r="285" spans="1:18" x14ac:dyDescent="0.35">
      <c r="A285">
        <v>1772</v>
      </c>
      <c r="B285" t="s">
        <v>410</v>
      </c>
      <c r="C285" s="1">
        <v>45173.418055555558</v>
      </c>
      <c r="D285" t="s">
        <v>25</v>
      </c>
      <c r="E285" t="s">
        <v>274</v>
      </c>
      <c r="F285" t="s">
        <v>18</v>
      </c>
      <c r="G285" t="s">
        <v>362</v>
      </c>
      <c r="H285">
        <v>114</v>
      </c>
      <c r="I285">
        <v>3</v>
      </c>
      <c r="J285" t="s">
        <v>27</v>
      </c>
      <c r="K285" t="s">
        <v>28</v>
      </c>
      <c r="L285" t="s">
        <v>29</v>
      </c>
      <c r="M285" t="s">
        <v>39</v>
      </c>
      <c r="N285">
        <v>0</v>
      </c>
      <c r="O285">
        <v>0</v>
      </c>
      <c r="P285" s="8">
        <f>INT(Delivery_data[[#This Row],[Order Timestamp]])</f>
        <v>45173</v>
      </c>
      <c r="Q285" t="str">
        <f ca="1">IF(Delivery_data[[#This Row],[Order Status]]="In Progress", TODAY()-Delivery_data[[#This Row],[Order Date]], "")</f>
        <v/>
      </c>
      <c r="R285">
        <f>IF(Delivery_data[[#This Row],[On Time]]=1,0,1)</f>
        <v>1</v>
      </c>
    </row>
    <row r="286" spans="1:18" x14ac:dyDescent="0.35">
      <c r="A286">
        <v>1773</v>
      </c>
      <c r="B286" t="s">
        <v>411</v>
      </c>
      <c r="C286" s="1">
        <v>45172.345138888886</v>
      </c>
      <c r="D286" t="s">
        <v>16</v>
      </c>
      <c r="E286" t="s">
        <v>227</v>
      </c>
      <c r="F286" t="s">
        <v>18</v>
      </c>
      <c r="G286" t="s">
        <v>362</v>
      </c>
      <c r="H286">
        <v>238</v>
      </c>
      <c r="I286">
        <v>9</v>
      </c>
      <c r="J286" t="s">
        <v>35</v>
      </c>
      <c r="K286" t="s">
        <v>28</v>
      </c>
      <c r="L286" t="s">
        <v>22</v>
      </c>
      <c r="M286" t="s">
        <v>30</v>
      </c>
      <c r="N286">
        <v>0</v>
      </c>
      <c r="O286">
        <v>1</v>
      </c>
      <c r="P286" s="8">
        <f>INT(Delivery_data[[#This Row],[Order Timestamp]])</f>
        <v>45172</v>
      </c>
      <c r="Q286">
        <f ca="1">IF(Delivery_data[[#This Row],[Order Status]]="In Progress", TODAY()-Delivery_data[[#This Row],[Order Date]], "")</f>
        <v>811</v>
      </c>
      <c r="R286">
        <f>IF(Delivery_data[[#This Row],[On Time]]=1,0,1)</f>
        <v>1</v>
      </c>
    </row>
    <row r="287" spans="1:18" x14ac:dyDescent="0.35">
      <c r="A287">
        <v>1777</v>
      </c>
      <c r="B287" t="s">
        <v>412</v>
      </c>
      <c r="C287" s="1">
        <v>45175.385416666664</v>
      </c>
      <c r="D287" t="s">
        <v>25</v>
      </c>
      <c r="E287" t="s">
        <v>230</v>
      </c>
      <c r="F287" t="s">
        <v>18</v>
      </c>
      <c r="G287" t="s">
        <v>362</v>
      </c>
      <c r="H287">
        <v>115</v>
      </c>
      <c r="I287">
        <v>22</v>
      </c>
      <c r="J287" t="s">
        <v>27</v>
      </c>
      <c r="K287" t="s">
        <v>38</v>
      </c>
      <c r="L287" t="s">
        <v>42</v>
      </c>
      <c r="M287" t="s">
        <v>30</v>
      </c>
      <c r="N287">
        <v>0</v>
      </c>
      <c r="O287">
        <v>0</v>
      </c>
      <c r="P287" s="8">
        <f>INT(Delivery_data[[#This Row],[Order Timestamp]])</f>
        <v>45175</v>
      </c>
      <c r="Q287" t="str">
        <f ca="1">IF(Delivery_data[[#This Row],[Order Status]]="In Progress", TODAY()-Delivery_data[[#This Row],[Order Date]], "")</f>
        <v/>
      </c>
      <c r="R287">
        <f>IF(Delivery_data[[#This Row],[On Time]]=1,0,1)</f>
        <v>1</v>
      </c>
    </row>
    <row r="288" spans="1:18" x14ac:dyDescent="0.35">
      <c r="A288">
        <v>1791</v>
      </c>
      <c r="B288" t="s">
        <v>351</v>
      </c>
      <c r="C288" s="1">
        <v>45172.371527777781</v>
      </c>
      <c r="D288" t="s">
        <v>16</v>
      </c>
      <c r="E288" t="s">
        <v>91</v>
      </c>
      <c r="F288" t="s">
        <v>18</v>
      </c>
      <c r="G288" t="s">
        <v>362</v>
      </c>
      <c r="H288">
        <v>140</v>
      </c>
      <c r="I288">
        <v>9</v>
      </c>
      <c r="J288" t="s">
        <v>35</v>
      </c>
      <c r="K288" t="s">
        <v>51</v>
      </c>
      <c r="L288" t="s">
        <v>29</v>
      </c>
      <c r="M288" t="s">
        <v>39</v>
      </c>
      <c r="N288">
        <v>0</v>
      </c>
      <c r="O288">
        <v>1</v>
      </c>
      <c r="P288" s="8">
        <f>INT(Delivery_data[[#This Row],[Order Timestamp]])</f>
        <v>45172</v>
      </c>
      <c r="Q288">
        <f ca="1">IF(Delivery_data[[#This Row],[Order Status]]="In Progress", TODAY()-Delivery_data[[#This Row],[Order Date]], "")</f>
        <v>811</v>
      </c>
      <c r="R288">
        <f>IF(Delivery_data[[#This Row],[On Time]]=1,0,1)</f>
        <v>1</v>
      </c>
    </row>
    <row r="289" spans="1:18" x14ac:dyDescent="0.35">
      <c r="A289">
        <v>1792</v>
      </c>
      <c r="B289" t="s">
        <v>413</v>
      </c>
      <c r="C289" s="1">
        <v>45171.675694444442</v>
      </c>
      <c r="D289" t="s">
        <v>25</v>
      </c>
      <c r="E289" t="s">
        <v>89</v>
      </c>
      <c r="F289" t="s">
        <v>18</v>
      </c>
      <c r="G289" t="s">
        <v>362</v>
      </c>
      <c r="H289">
        <v>198</v>
      </c>
      <c r="I289">
        <v>5</v>
      </c>
      <c r="J289" t="s">
        <v>20</v>
      </c>
      <c r="K289" t="s">
        <v>51</v>
      </c>
      <c r="L289" t="s">
        <v>22</v>
      </c>
      <c r="M289" t="s">
        <v>23</v>
      </c>
      <c r="N289">
        <v>0</v>
      </c>
      <c r="O289">
        <v>0</v>
      </c>
      <c r="P289" s="8">
        <f>INT(Delivery_data[[#This Row],[Order Timestamp]])</f>
        <v>45171</v>
      </c>
      <c r="Q289" t="str">
        <f ca="1">IF(Delivery_data[[#This Row],[Order Status]]="In Progress", TODAY()-Delivery_data[[#This Row],[Order Date]], "")</f>
        <v/>
      </c>
      <c r="R289">
        <f>IF(Delivery_data[[#This Row],[On Time]]=1,0,1)</f>
        <v>1</v>
      </c>
    </row>
    <row r="290" spans="1:18" x14ac:dyDescent="0.35">
      <c r="A290">
        <v>1801</v>
      </c>
      <c r="B290" t="s">
        <v>414</v>
      </c>
      <c r="C290" s="1">
        <v>45176.620138888888</v>
      </c>
      <c r="D290" t="s">
        <v>16</v>
      </c>
      <c r="E290" t="s">
        <v>70</v>
      </c>
      <c r="F290" t="s">
        <v>18</v>
      </c>
      <c r="G290" t="s">
        <v>362</v>
      </c>
      <c r="H290">
        <v>121</v>
      </c>
      <c r="I290">
        <v>16</v>
      </c>
      <c r="J290" t="s">
        <v>20</v>
      </c>
      <c r="K290" t="s">
        <v>28</v>
      </c>
      <c r="L290" t="s">
        <v>22</v>
      </c>
      <c r="M290" t="s">
        <v>39</v>
      </c>
      <c r="N290">
        <v>0</v>
      </c>
      <c r="O290">
        <v>0</v>
      </c>
      <c r="P290" s="8">
        <f>INT(Delivery_data[[#This Row],[Order Timestamp]])</f>
        <v>45176</v>
      </c>
      <c r="Q290">
        <f ca="1">IF(Delivery_data[[#This Row],[Order Status]]="In Progress", TODAY()-Delivery_data[[#This Row],[Order Date]], "")</f>
        <v>807</v>
      </c>
      <c r="R290">
        <f>IF(Delivery_data[[#This Row],[On Time]]=1,0,1)</f>
        <v>1</v>
      </c>
    </row>
    <row r="291" spans="1:18" x14ac:dyDescent="0.35">
      <c r="A291">
        <v>1803</v>
      </c>
      <c r="B291" t="s">
        <v>415</v>
      </c>
      <c r="C291" s="1">
        <v>45176.593055555553</v>
      </c>
      <c r="D291" t="s">
        <v>16</v>
      </c>
      <c r="E291" t="s">
        <v>416</v>
      </c>
      <c r="F291" t="s">
        <v>18</v>
      </c>
      <c r="G291" t="s">
        <v>362</v>
      </c>
      <c r="H291">
        <v>125</v>
      </c>
      <c r="I291">
        <v>10</v>
      </c>
      <c r="J291" t="s">
        <v>20</v>
      </c>
      <c r="K291" t="s">
        <v>51</v>
      </c>
      <c r="L291" t="s">
        <v>42</v>
      </c>
      <c r="M291" t="s">
        <v>23</v>
      </c>
      <c r="N291">
        <v>0</v>
      </c>
      <c r="O291">
        <v>0</v>
      </c>
      <c r="P291" s="8">
        <f>INT(Delivery_data[[#This Row],[Order Timestamp]])</f>
        <v>45176</v>
      </c>
      <c r="Q291">
        <f ca="1">IF(Delivery_data[[#This Row],[Order Status]]="In Progress", TODAY()-Delivery_data[[#This Row],[Order Date]], "")</f>
        <v>807</v>
      </c>
      <c r="R291">
        <f>IF(Delivery_data[[#This Row],[On Time]]=1,0,1)</f>
        <v>1</v>
      </c>
    </row>
    <row r="292" spans="1:18" x14ac:dyDescent="0.35">
      <c r="A292">
        <v>1808</v>
      </c>
      <c r="B292" t="s">
        <v>417</v>
      </c>
      <c r="C292" s="1">
        <v>45176.643750000003</v>
      </c>
      <c r="D292" t="s">
        <v>25</v>
      </c>
      <c r="E292" t="s">
        <v>80</v>
      </c>
      <c r="F292" t="s">
        <v>18</v>
      </c>
      <c r="G292" t="s">
        <v>362</v>
      </c>
      <c r="H292">
        <v>150</v>
      </c>
      <c r="I292">
        <v>6</v>
      </c>
      <c r="J292" t="s">
        <v>20</v>
      </c>
      <c r="K292" t="s">
        <v>33</v>
      </c>
      <c r="L292" t="s">
        <v>42</v>
      </c>
      <c r="M292" t="s">
        <v>23</v>
      </c>
      <c r="N292">
        <v>0</v>
      </c>
      <c r="O292">
        <v>0</v>
      </c>
      <c r="P292" s="8">
        <f>INT(Delivery_data[[#This Row],[Order Timestamp]])</f>
        <v>45176</v>
      </c>
      <c r="Q292" t="str">
        <f ca="1">IF(Delivery_data[[#This Row],[Order Status]]="In Progress", TODAY()-Delivery_data[[#This Row],[Order Date]], "")</f>
        <v/>
      </c>
      <c r="R292">
        <f>IF(Delivery_data[[#This Row],[On Time]]=1,0,1)</f>
        <v>1</v>
      </c>
    </row>
    <row r="293" spans="1:18" x14ac:dyDescent="0.35">
      <c r="A293">
        <v>1823</v>
      </c>
      <c r="B293" t="s">
        <v>418</v>
      </c>
      <c r="C293" s="1">
        <v>45176.407638888886</v>
      </c>
      <c r="D293" t="s">
        <v>16</v>
      </c>
      <c r="E293" t="s">
        <v>175</v>
      </c>
      <c r="F293" t="s">
        <v>18</v>
      </c>
      <c r="G293" t="s">
        <v>362</v>
      </c>
      <c r="H293">
        <v>231</v>
      </c>
      <c r="I293">
        <v>9</v>
      </c>
      <c r="J293" t="s">
        <v>27</v>
      </c>
      <c r="K293" t="s">
        <v>33</v>
      </c>
      <c r="L293" t="s">
        <v>29</v>
      </c>
      <c r="M293" t="s">
        <v>23</v>
      </c>
      <c r="N293">
        <v>0</v>
      </c>
      <c r="O293">
        <v>0</v>
      </c>
      <c r="P293" s="8">
        <f>INT(Delivery_data[[#This Row],[Order Timestamp]])</f>
        <v>45176</v>
      </c>
      <c r="Q293">
        <f ca="1">IF(Delivery_data[[#This Row],[Order Status]]="In Progress", TODAY()-Delivery_data[[#This Row],[Order Date]], "")</f>
        <v>807</v>
      </c>
      <c r="R293">
        <f>IF(Delivery_data[[#This Row],[On Time]]=1,0,1)</f>
        <v>1</v>
      </c>
    </row>
    <row r="294" spans="1:18" x14ac:dyDescent="0.35">
      <c r="A294">
        <v>1824</v>
      </c>
      <c r="B294" t="s">
        <v>419</v>
      </c>
      <c r="C294" s="1">
        <v>45173.444444444445</v>
      </c>
      <c r="D294" t="s">
        <v>25</v>
      </c>
      <c r="E294" t="s">
        <v>346</v>
      </c>
      <c r="F294" t="s">
        <v>18</v>
      </c>
      <c r="G294" t="s">
        <v>362</v>
      </c>
      <c r="H294">
        <v>203</v>
      </c>
      <c r="I294">
        <v>10</v>
      </c>
      <c r="J294" t="s">
        <v>35</v>
      </c>
      <c r="K294" t="s">
        <v>33</v>
      </c>
      <c r="L294" t="s">
        <v>22</v>
      </c>
      <c r="M294" t="s">
        <v>30</v>
      </c>
      <c r="N294">
        <v>0</v>
      </c>
      <c r="O294">
        <v>1</v>
      </c>
      <c r="P294" s="8">
        <f>INT(Delivery_data[[#This Row],[Order Timestamp]])</f>
        <v>45173</v>
      </c>
      <c r="Q294" t="str">
        <f ca="1">IF(Delivery_data[[#This Row],[Order Status]]="In Progress", TODAY()-Delivery_data[[#This Row],[Order Date]], "")</f>
        <v/>
      </c>
      <c r="R294">
        <f>IF(Delivery_data[[#This Row],[On Time]]=1,0,1)</f>
        <v>1</v>
      </c>
    </row>
    <row r="295" spans="1:18" x14ac:dyDescent="0.35">
      <c r="A295">
        <v>1829</v>
      </c>
      <c r="B295" t="s">
        <v>420</v>
      </c>
      <c r="C295" s="1">
        <v>45172.520138888889</v>
      </c>
      <c r="D295" t="s">
        <v>25</v>
      </c>
      <c r="E295" t="s">
        <v>50</v>
      </c>
      <c r="F295" t="s">
        <v>18</v>
      </c>
      <c r="G295" t="s">
        <v>362</v>
      </c>
      <c r="H295">
        <v>131</v>
      </c>
      <c r="I295">
        <v>3</v>
      </c>
      <c r="J295" t="s">
        <v>20</v>
      </c>
      <c r="K295" t="s">
        <v>33</v>
      </c>
      <c r="L295" t="s">
        <v>42</v>
      </c>
      <c r="M295" t="s">
        <v>23</v>
      </c>
      <c r="N295">
        <v>0</v>
      </c>
      <c r="O295">
        <v>0</v>
      </c>
      <c r="P295" s="8">
        <f>INT(Delivery_data[[#This Row],[Order Timestamp]])</f>
        <v>45172</v>
      </c>
      <c r="Q295" t="str">
        <f ca="1">IF(Delivery_data[[#This Row],[Order Status]]="In Progress", TODAY()-Delivery_data[[#This Row],[Order Date]], "")</f>
        <v/>
      </c>
      <c r="R295">
        <f>IF(Delivery_data[[#This Row],[On Time]]=1,0,1)</f>
        <v>1</v>
      </c>
    </row>
    <row r="296" spans="1:18" x14ac:dyDescent="0.35">
      <c r="A296">
        <v>1836</v>
      </c>
      <c r="B296" t="s">
        <v>421</v>
      </c>
      <c r="C296" s="1">
        <v>45175.584027777775</v>
      </c>
      <c r="D296" t="s">
        <v>16</v>
      </c>
      <c r="E296" t="s">
        <v>360</v>
      </c>
      <c r="F296" t="s">
        <v>18</v>
      </c>
      <c r="G296" t="s">
        <v>362</v>
      </c>
      <c r="H296">
        <v>70</v>
      </c>
      <c r="I296">
        <v>21</v>
      </c>
      <c r="J296" t="s">
        <v>20</v>
      </c>
      <c r="K296" t="s">
        <v>38</v>
      </c>
      <c r="L296" t="s">
        <v>42</v>
      </c>
      <c r="M296" t="s">
        <v>23</v>
      </c>
      <c r="N296">
        <v>0</v>
      </c>
      <c r="O296">
        <v>0</v>
      </c>
      <c r="P296" s="8">
        <f>INT(Delivery_data[[#This Row],[Order Timestamp]])</f>
        <v>45175</v>
      </c>
      <c r="Q296">
        <f ca="1">IF(Delivery_data[[#This Row],[Order Status]]="In Progress", TODAY()-Delivery_data[[#This Row],[Order Date]], "")</f>
        <v>808</v>
      </c>
      <c r="R296">
        <f>IF(Delivery_data[[#This Row],[On Time]]=1,0,1)</f>
        <v>1</v>
      </c>
    </row>
    <row r="297" spans="1:18" x14ac:dyDescent="0.35">
      <c r="A297">
        <v>1844</v>
      </c>
      <c r="B297" t="s">
        <v>422</v>
      </c>
      <c r="C297" s="1">
        <v>45176.6</v>
      </c>
      <c r="D297" t="s">
        <v>25</v>
      </c>
      <c r="E297" t="s">
        <v>225</v>
      </c>
      <c r="F297" t="s">
        <v>18</v>
      </c>
      <c r="G297" t="s">
        <v>362</v>
      </c>
      <c r="H297">
        <v>95</v>
      </c>
      <c r="I297">
        <v>4</v>
      </c>
      <c r="J297" t="s">
        <v>35</v>
      </c>
      <c r="K297" t="s">
        <v>21</v>
      </c>
      <c r="L297" t="s">
        <v>42</v>
      </c>
      <c r="M297" t="s">
        <v>30</v>
      </c>
      <c r="N297">
        <v>0</v>
      </c>
      <c r="O297">
        <v>1</v>
      </c>
      <c r="P297" s="8">
        <f>INT(Delivery_data[[#This Row],[Order Timestamp]])</f>
        <v>45176</v>
      </c>
      <c r="Q297" t="str">
        <f ca="1">IF(Delivery_data[[#This Row],[Order Status]]="In Progress", TODAY()-Delivery_data[[#This Row],[Order Date]], "")</f>
        <v/>
      </c>
      <c r="R297">
        <f>IF(Delivery_data[[#This Row],[On Time]]=1,0,1)</f>
        <v>1</v>
      </c>
    </row>
    <row r="298" spans="1:18" x14ac:dyDescent="0.35">
      <c r="A298">
        <v>1854</v>
      </c>
      <c r="B298" t="s">
        <v>423</v>
      </c>
      <c r="C298" s="1">
        <v>45171.632638888892</v>
      </c>
      <c r="D298" t="s">
        <v>16</v>
      </c>
      <c r="E298" t="s">
        <v>56</v>
      </c>
      <c r="F298" t="s">
        <v>18</v>
      </c>
      <c r="G298" t="s">
        <v>362</v>
      </c>
      <c r="H298">
        <v>173</v>
      </c>
      <c r="I298">
        <v>29</v>
      </c>
      <c r="J298" t="s">
        <v>20</v>
      </c>
      <c r="K298" t="s">
        <v>33</v>
      </c>
      <c r="L298" t="s">
        <v>22</v>
      </c>
      <c r="M298" t="s">
        <v>30</v>
      </c>
      <c r="N298">
        <v>0</v>
      </c>
      <c r="O298">
        <v>0</v>
      </c>
      <c r="P298" s="8">
        <f>INT(Delivery_data[[#This Row],[Order Timestamp]])</f>
        <v>45171</v>
      </c>
      <c r="Q298">
        <f ca="1">IF(Delivery_data[[#This Row],[Order Status]]="In Progress", TODAY()-Delivery_data[[#This Row],[Order Date]], "")</f>
        <v>812</v>
      </c>
      <c r="R298">
        <f>IF(Delivery_data[[#This Row],[On Time]]=1,0,1)</f>
        <v>1</v>
      </c>
    </row>
    <row r="299" spans="1:18" x14ac:dyDescent="0.35">
      <c r="A299">
        <v>1880</v>
      </c>
      <c r="B299" t="s">
        <v>424</v>
      </c>
      <c r="C299" s="1">
        <v>45176.363888888889</v>
      </c>
      <c r="D299" t="s">
        <v>16</v>
      </c>
      <c r="E299" t="s">
        <v>416</v>
      </c>
      <c r="F299" t="s">
        <v>18</v>
      </c>
      <c r="G299" t="s">
        <v>362</v>
      </c>
      <c r="H299">
        <v>167</v>
      </c>
      <c r="I299">
        <v>4</v>
      </c>
      <c r="J299" t="s">
        <v>35</v>
      </c>
      <c r="K299" t="s">
        <v>38</v>
      </c>
      <c r="L299" t="s">
        <v>42</v>
      </c>
      <c r="M299" t="s">
        <v>30</v>
      </c>
      <c r="N299">
        <v>0</v>
      </c>
      <c r="O299">
        <v>1</v>
      </c>
      <c r="P299" s="8">
        <f>INT(Delivery_data[[#This Row],[Order Timestamp]])</f>
        <v>45176</v>
      </c>
      <c r="Q299">
        <f ca="1">IF(Delivery_data[[#This Row],[Order Status]]="In Progress", TODAY()-Delivery_data[[#This Row],[Order Date]], "")</f>
        <v>807</v>
      </c>
      <c r="R299">
        <f>IF(Delivery_data[[#This Row],[On Time]]=1,0,1)</f>
        <v>1</v>
      </c>
    </row>
    <row r="300" spans="1:18" x14ac:dyDescent="0.35">
      <c r="A300">
        <v>1883</v>
      </c>
      <c r="B300" t="s">
        <v>425</v>
      </c>
      <c r="C300" s="1">
        <v>45172.644444444442</v>
      </c>
      <c r="D300" t="s">
        <v>16</v>
      </c>
      <c r="E300" t="s">
        <v>50</v>
      </c>
      <c r="F300" t="s">
        <v>18</v>
      </c>
      <c r="G300" t="s">
        <v>362</v>
      </c>
      <c r="H300">
        <v>74</v>
      </c>
      <c r="I300">
        <v>24</v>
      </c>
      <c r="J300" t="s">
        <v>27</v>
      </c>
      <c r="K300" t="s">
        <v>21</v>
      </c>
      <c r="L300" t="s">
        <v>42</v>
      </c>
      <c r="M300" t="s">
        <v>39</v>
      </c>
      <c r="N300">
        <v>0</v>
      </c>
      <c r="O300">
        <v>0</v>
      </c>
      <c r="P300" s="8">
        <f>INT(Delivery_data[[#This Row],[Order Timestamp]])</f>
        <v>45172</v>
      </c>
      <c r="Q300">
        <f ca="1">IF(Delivery_data[[#This Row],[Order Status]]="In Progress", TODAY()-Delivery_data[[#This Row],[Order Date]], "")</f>
        <v>811</v>
      </c>
      <c r="R300">
        <f>IF(Delivery_data[[#This Row],[On Time]]=1,0,1)</f>
        <v>1</v>
      </c>
    </row>
    <row r="301" spans="1:18" x14ac:dyDescent="0.35">
      <c r="A301">
        <v>1884</v>
      </c>
      <c r="B301" t="s">
        <v>426</v>
      </c>
      <c r="C301" s="1">
        <v>45175.600694444445</v>
      </c>
      <c r="D301" t="s">
        <v>25</v>
      </c>
      <c r="E301" t="s">
        <v>104</v>
      </c>
      <c r="F301" t="s">
        <v>18</v>
      </c>
      <c r="G301" t="s">
        <v>362</v>
      </c>
      <c r="H301">
        <v>209</v>
      </c>
      <c r="I301">
        <v>8</v>
      </c>
      <c r="J301" t="s">
        <v>20</v>
      </c>
      <c r="K301" t="s">
        <v>28</v>
      </c>
      <c r="L301" t="s">
        <v>22</v>
      </c>
      <c r="M301" t="s">
        <v>39</v>
      </c>
      <c r="N301">
        <v>0</v>
      </c>
      <c r="O301">
        <v>0</v>
      </c>
      <c r="P301" s="8">
        <f>INT(Delivery_data[[#This Row],[Order Timestamp]])</f>
        <v>45175</v>
      </c>
      <c r="Q301" t="str">
        <f ca="1">IF(Delivery_data[[#This Row],[Order Status]]="In Progress", TODAY()-Delivery_data[[#This Row],[Order Date]], "")</f>
        <v/>
      </c>
      <c r="R301">
        <f>IF(Delivery_data[[#This Row],[On Time]]=1,0,1)</f>
        <v>1</v>
      </c>
    </row>
    <row r="302" spans="1:18" x14ac:dyDescent="0.35">
      <c r="A302">
        <v>1886</v>
      </c>
      <c r="B302" t="s">
        <v>427</v>
      </c>
      <c r="C302" s="1">
        <v>45171.625</v>
      </c>
      <c r="D302" t="s">
        <v>16</v>
      </c>
      <c r="E302" t="s">
        <v>53</v>
      </c>
      <c r="F302" t="s">
        <v>18</v>
      </c>
      <c r="G302" t="s">
        <v>362</v>
      </c>
      <c r="H302">
        <v>71</v>
      </c>
      <c r="I302">
        <v>25</v>
      </c>
      <c r="J302" t="s">
        <v>35</v>
      </c>
      <c r="K302" t="s">
        <v>28</v>
      </c>
      <c r="L302" t="s">
        <v>29</v>
      </c>
      <c r="M302" t="s">
        <v>23</v>
      </c>
      <c r="N302">
        <v>0</v>
      </c>
      <c r="O302">
        <v>1</v>
      </c>
      <c r="P302" s="8">
        <f>INT(Delivery_data[[#This Row],[Order Timestamp]])</f>
        <v>45171</v>
      </c>
      <c r="Q302">
        <f ca="1">IF(Delivery_data[[#This Row],[Order Status]]="In Progress", TODAY()-Delivery_data[[#This Row],[Order Date]], "")</f>
        <v>812</v>
      </c>
      <c r="R302">
        <f>IF(Delivery_data[[#This Row],[On Time]]=1,0,1)</f>
        <v>1</v>
      </c>
    </row>
    <row r="303" spans="1:18" x14ac:dyDescent="0.35">
      <c r="A303">
        <v>1907</v>
      </c>
      <c r="B303" t="s">
        <v>428</v>
      </c>
      <c r="C303" s="1">
        <v>45177.441666666666</v>
      </c>
      <c r="D303" t="s">
        <v>25</v>
      </c>
      <c r="E303" t="s">
        <v>60</v>
      </c>
      <c r="F303" t="s">
        <v>18</v>
      </c>
      <c r="G303" t="s">
        <v>362</v>
      </c>
      <c r="H303">
        <v>125</v>
      </c>
      <c r="I303">
        <v>8</v>
      </c>
      <c r="J303" t="s">
        <v>27</v>
      </c>
      <c r="K303" t="s">
        <v>33</v>
      </c>
      <c r="L303" t="s">
        <v>42</v>
      </c>
      <c r="M303" t="s">
        <v>30</v>
      </c>
      <c r="N303">
        <v>0</v>
      </c>
      <c r="O303">
        <v>0</v>
      </c>
      <c r="P303" s="8">
        <f>INT(Delivery_data[[#This Row],[Order Timestamp]])</f>
        <v>45177</v>
      </c>
      <c r="Q303" t="str">
        <f ca="1">IF(Delivery_data[[#This Row],[Order Status]]="In Progress", TODAY()-Delivery_data[[#This Row],[Order Date]], "")</f>
        <v/>
      </c>
      <c r="R303">
        <f>IF(Delivery_data[[#This Row],[On Time]]=1,0,1)</f>
        <v>1</v>
      </c>
    </row>
    <row r="304" spans="1:18" x14ac:dyDescent="0.35">
      <c r="A304">
        <v>1915</v>
      </c>
      <c r="B304" t="s">
        <v>429</v>
      </c>
      <c r="C304" s="1">
        <v>45173.655555555553</v>
      </c>
      <c r="D304" t="s">
        <v>25</v>
      </c>
      <c r="E304" t="s">
        <v>100</v>
      </c>
      <c r="F304" t="s">
        <v>18</v>
      </c>
      <c r="G304" t="s">
        <v>362</v>
      </c>
      <c r="H304">
        <v>214</v>
      </c>
      <c r="I304">
        <v>13</v>
      </c>
      <c r="J304" t="s">
        <v>35</v>
      </c>
      <c r="K304" t="s">
        <v>21</v>
      </c>
      <c r="L304" t="s">
        <v>42</v>
      </c>
      <c r="M304" t="s">
        <v>30</v>
      </c>
      <c r="N304">
        <v>0</v>
      </c>
      <c r="O304">
        <v>1</v>
      </c>
      <c r="P304" s="8">
        <f>INT(Delivery_data[[#This Row],[Order Timestamp]])</f>
        <v>45173</v>
      </c>
      <c r="Q304" t="str">
        <f ca="1">IF(Delivery_data[[#This Row],[Order Status]]="In Progress", TODAY()-Delivery_data[[#This Row],[Order Date]], "")</f>
        <v/>
      </c>
      <c r="R304">
        <f>IF(Delivery_data[[#This Row],[On Time]]=1,0,1)</f>
        <v>1</v>
      </c>
    </row>
    <row r="305" spans="1:18" x14ac:dyDescent="0.35">
      <c r="A305">
        <v>2001</v>
      </c>
      <c r="B305" t="s">
        <v>430</v>
      </c>
      <c r="C305" s="1">
        <v>45174.59652777778</v>
      </c>
      <c r="D305" t="s">
        <v>16</v>
      </c>
      <c r="E305" t="s">
        <v>222</v>
      </c>
      <c r="F305" t="s">
        <v>18</v>
      </c>
      <c r="G305" t="s">
        <v>362</v>
      </c>
      <c r="H305">
        <v>168</v>
      </c>
      <c r="I305">
        <v>13</v>
      </c>
      <c r="J305" t="s">
        <v>27</v>
      </c>
      <c r="K305" t="s">
        <v>28</v>
      </c>
      <c r="L305" t="s">
        <v>22</v>
      </c>
      <c r="M305" t="s">
        <v>30</v>
      </c>
      <c r="N305">
        <v>0</v>
      </c>
      <c r="O305">
        <v>0</v>
      </c>
      <c r="P305" s="8">
        <f>INT(Delivery_data[[#This Row],[Order Timestamp]])</f>
        <v>45174</v>
      </c>
      <c r="Q305">
        <f ca="1">IF(Delivery_data[[#This Row],[Order Status]]="In Progress", TODAY()-Delivery_data[[#This Row],[Order Date]], "")</f>
        <v>809</v>
      </c>
      <c r="R305">
        <f>IF(Delivery_data[[#This Row],[On Time]]=1,0,1)</f>
        <v>1</v>
      </c>
    </row>
    <row r="306" spans="1:18" x14ac:dyDescent="0.35">
      <c r="A306">
        <v>2024</v>
      </c>
      <c r="B306" t="s">
        <v>431</v>
      </c>
      <c r="C306" s="1">
        <v>45173.59652777778</v>
      </c>
      <c r="D306" t="s">
        <v>25</v>
      </c>
      <c r="E306" t="s">
        <v>158</v>
      </c>
      <c r="F306" t="s">
        <v>18</v>
      </c>
      <c r="G306" t="s">
        <v>362</v>
      </c>
      <c r="H306">
        <v>218</v>
      </c>
      <c r="I306">
        <v>24</v>
      </c>
      <c r="J306" t="s">
        <v>35</v>
      </c>
      <c r="K306" t="s">
        <v>38</v>
      </c>
      <c r="L306" t="s">
        <v>29</v>
      </c>
      <c r="M306" t="s">
        <v>30</v>
      </c>
      <c r="N306">
        <v>0</v>
      </c>
      <c r="O306">
        <v>1</v>
      </c>
      <c r="P306" s="8">
        <f>INT(Delivery_data[[#This Row],[Order Timestamp]])</f>
        <v>45173</v>
      </c>
      <c r="Q306" t="str">
        <f ca="1">IF(Delivery_data[[#This Row],[Order Status]]="In Progress", TODAY()-Delivery_data[[#This Row],[Order Date]], "")</f>
        <v/>
      </c>
      <c r="R306">
        <f>IF(Delivery_data[[#This Row],[On Time]]=1,0,1)</f>
        <v>1</v>
      </c>
    </row>
    <row r="307" spans="1:18" x14ac:dyDescent="0.35">
      <c r="A307">
        <v>2041</v>
      </c>
      <c r="B307" t="s">
        <v>432</v>
      </c>
      <c r="C307" s="1">
        <v>45177.443055555559</v>
      </c>
      <c r="D307" t="s">
        <v>16</v>
      </c>
      <c r="E307" t="s">
        <v>26</v>
      </c>
      <c r="F307" t="s">
        <v>18</v>
      </c>
      <c r="G307" t="s">
        <v>362</v>
      </c>
      <c r="H307">
        <v>218</v>
      </c>
      <c r="I307">
        <v>28</v>
      </c>
      <c r="J307" t="s">
        <v>35</v>
      </c>
      <c r="K307" t="s">
        <v>28</v>
      </c>
      <c r="L307" t="s">
        <v>22</v>
      </c>
      <c r="M307" t="s">
        <v>30</v>
      </c>
      <c r="N307">
        <v>0</v>
      </c>
      <c r="O307">
        <v>1</v>
      </c>
      <c r="P307" s="8">
        <f>INT(Delivery_data[[#This Row],[Order Timestamp]])</f>
        <v>45177</v>
      </c>
      <c r="Q307">
        <f ca="1">IF(Delivery_data[[#This Row],[Order Status]]="In Progress", TODAY()-Delivery_data[[#This Row],[Order Date]], "")</f>
        <v>806</v>
      </c>
      <c r="R307">
        <f>IF(Delivery_data[[#This Row],[On Time]]=1,0,1)</f>
        <v>1</v>
      </c>
    </row>
    <row r="308" spans="1:18" x14ac:dyDescent="0.35">
      <c r="A308">
        <v>2052</v>
      </c>
      <c r="B308" t="s">
        <v>433</v>
      </c>
      <c r="C308" s="1">
        <v>45170.34375</v>
      </c>
      <c r="D308" t="s">
        <v>16</v>
      </c>
      <c r="E308" t="s">
        <v>80</v>
      </c>
      <c r="F308" t="s">
        <v>18</v>
      </c>
      <c r="G308" t="s">
        <v>362</v>
      </c>
      <c r="H308">
        <v>172</v>
      </c>
      <c r="I308">
        <v>3</v>
      </c>
      <c r="J308" t="s">
        <v>27</v>
      </c>
      <c r="K308" t="s">
        <v>21</v>
      </c>
      <c r="L308" t="s">
        <v>29</v>
      </c>
      <c r="M308" t="s">
        <v>39</v>
      </c>
      <c r="N308">
        <v>0</v>
      </c>
      <c r="O308">
        <v>0</v>
      </c>
      <c r="P308" s="8">
        <f>INT(Delivery_data[[#This Row],[Order Timestamp]])</f>
        <v>45170</v>
      </c>
      <c r="Q308">
        <f ca="1">IF(Delivery_data[[#This Row],[Order Status]]="In Progress", TODAY()-Delivery_data[[#This Row],[Order Date]], "")</f>
        <v>813</v>
      </c>
      <c r="R308">
        <f>IF(Delivery_data[[#This Row],[On Time]]=1,0,1)</f>
        <v>1</v>
      </c>
    </row>
    <row r="309" spans="1:18" x14ac:dyDescent="0.35">
      <c r="A309">
        <v>2055</v>
      </c>
      <c r="B309" t="s">
        <v>434</v>
      </c>
      <c r="C309" s="1">
        <v>45171.624305555553</v>
      </c>
      <c r="D309" t="s">
        <v>16</v>
      </c>
      <c r="E309" t="s">
        <v>267</v>
      </c>
      <c r="F309" t="s">
        <v>18</v>
      </c>
      <c r="G309" t="s">
        <v>362</v>
      </c>
      <c r="H309">
        <v>92</v>
      </c>
      <c r="I309">
        <v>29</v>
      </c>
      <c r="J309" t="s">
        <v>35</v>
      </c>
      <c r="K309" t="s">
        <v>21</v>
      </c>
      <c r="L309" t="s">
        <v>29</v>
      </c>
      <c r="M309" t="s">
        <v>39</v>
      </c>
      <c r="N309">
        <v>0</v>
      </c>
      <c r="O309">
        <v>1</v>
      </c>
      <c r="P309" s="8">
        <f>INT(Delivery_data[[#This Row],[Order Timestamp]])</f>
        <v>45171</v>
      </c>
      <c r="Q309">
        <f ca="1">IF(Delivery_data[[#This Row],[Order Status]]="In Progress", TODAY()-Delivery_data[[#This Row],[Order Date]], "")</f>
        <v>812</v>
      </c>
      <c r="R309">
        <f>IF(Delivery_data[[#This Row],[On Time]]=1,0,1)</f>
        <v>1</v>
      </c>
    </row>
    <row r="310" spans="1:18" x14ac:dyDescent="0.35">
      <c r="A310">
        <v>2111</v>
      </c>
      <c r="B310" t="s">
        <v>435</v>
      </c>
      <c r="C310" s="1">
        <v>45175.574999999997</v>
      </c>
      <c r="D310" t="s">
        <v>25</v>
      </c>
      <c r="E310" t="s">
        <v>245</v>
      </c>
      <c r="F310" t="s">
        <v>18</v>
      </c>
      <c r="G310" t="s">
        <v>362</v>
      </c>
      <c r="H310">
        <v>75</v>
      </c>
      <c r="I310">
        <v>3</v>
      </c>
      <c r="J310" t="s">
        <v>20</v>
      </c>
      <c r="K310" t="s">
        <v>28</v>
      </c>
      <c r="L310" t="s">
        <v>42</v>
      </c>
      <c r="M310" t="s">
        <v>39</v>
      </c>
      <c r="N310">
        <v>0</v>
      </c>
      <c r="O310">
        <v>0</v>
      </c>
      <c r="P310" s="8">
        <f>INT(Delivery_data[[#This Row],[Order Timestamp]])</f>
        <v>45175</v>
      </c>
      <c r="Q310" t="str">
        <f ca="1">IF(Delivery_data[[#This Row],[Order Status]]="In Progress", TODAY()-Delivery_data[[#This Row],[Order Date]], "")</f>
        <v/>
      </c>
      <c r="R310">
        <f>IF(Delivery_data[[#This Row],[On Time]]=1,0,1)</f>
        <v>1</v>
      </c>
    </row>
    <row r="311" spans="1:18" x14ac:dyDescent="0.35">
      <c r="A311">
        <v>2115</v>
      </c>
      <c r="B311" t="s">
        <v>436</v>
      </c>
      <c r="C311" s="1">
        <v>45173.456944444442</v>
      </c>
      <c r="D311" t="s">
        <v>25</v>
      </c>
      <c r="E311" t="s">
        <v>115</v>
      </c>
      <c r="F311" t="s">
        <v>18</v>
      </c>
      <c r="G311" t="s">
        <v>362</v>
      </c>
      <c r="H311">
        <v>62</v>
      </c>
      <c r="I311">
        <v>27</v>
      </c>
      <c r="J311" t="s">
        <v>35</v>
      </c>
      <c r="K311" t="s">
        <v>51</v>
      </c>
      <c r="L311" t="s">
        <v>29</v>
      </c>
      <c r="M311" t="s">
        <v>39</v>
      </c>
      <c r="N311">
        <v>0</v>
      </c>
      <c r="O311">
        <v>1</v>
      </c>
      <c r="P311" s="8">
        <f>INT(Delivery_data[[#This Row],[Order Timestamp]])</f>
        <v>45173</v>
      </c>
      <c r="Q311" t="str">
        <f ca="1">IF(Delivery_data[[#This Row],[Order Status]]="In Progress", TODAY()-Delivery_data[[#This Row],[Order Date]], "")</f>
        <v/>
      </c>
      <c r="R311">
        <f>IF(Delivery_data[[#This Row],[On Time]]=1,0,1)</f>
        <v>1</v>
      </c>
    </row>
    <row r="312" spans="1:18" x14ac:dyDescent="0.35">
      <c r="A312">
        <v>2161</v>
      </c>
      <c r="B312" t="s">
        <v>437</v>
      </c>
      <c r="C312" s="1">
        <v>45173.620833333334</v>
      </c>
      <c r="D312" t="s">
        <v>16</v>
      </c>
      <c r="E312" t="s">
        <v>200</v>
      </c>
      <c r="F312" t="s">
        <v>18</v>
      </c>
      <c r="G312" t="s">
        <v>362</v>
      </c>
      <c r="H312">
        <v>60</v>
      </c>
      <c r="I312">
        <v>16</v>
      </c>
      <c r="J312" t="s">
        <v>27</v>
      </c>
      <c r="K312" t="s">
        <v>21</v>
      </c>
      <c r="L312" t="s">
        <v>42</v>
      </c>
      <c r="M312" t="s">
        <v>39</v>
      </c>
      <c r="N312">
        <v>0</v>
      </c>
      <c r="O312">
        <v>0</v>
      </c>
      <c r="P312" s="8">
        <f>INT(Delivery_data[[#This Row],[Order Timestamp]])</f>
        <v>45173</v>
      </c>
      <c r="Q312">
        <f ca="1">IF(Delivery_data[[#This Row],[Order Status]]="In Progress", TODAY()-Delivery_data[[#This Row],[Order Date]], "")</f>
        <v>810</v>
      </c>
      <c r="R312">
        <f>IF(Delivery_data[[#This Row],[On Time]]=1,0,1)</f>
        <v>1</v>
      </c>
    </row>
    <row r="313" spans="1:18" x14ac:dyDescent="0.35">
      <c r="A313">
        <v>2176</v>
      </c>
      <c r="B313" t="s">
        <v>438</v>
      </c>
      <c r="C313" s="1">
        <v>45175.455555555556</v>
      </c>
      <c r="D313" t="s">
        <v>16</v>
      </c>
      <c r="E313" t="s">
        <v>178</v>
      </c>
      <c r="F313" t="s">
        <v>18</v>
      </c>
      <c r="G313" t="s">
        <v>362</v>
      </c>
      <c r="H313">
        <v>105</v>
      </c>
      <c r="I313">
        <v>29</v>
      </c>
      <c r="J313" t="s">
        <v>27</v>
      </c>
      <c r="K313" t="s">
        <v>21</v>
      </c>
      <c r="L313" t="s">
        <v>42</v>
      </c>
      <c r="M313" t="s">
        <v>30</v>
      </c>
      <c r="N313">
        <v>0</v>
      </c>
      <c r="O313">
        <v>0</v>
      </c>
      <c r="P313" s="8">
        <f>INT(Delivery_data[[#This Row],[Order Timestamp]])</f>
        <v>45175</v>
      </c>
      <c r="Q313">
        <f ca="1">IF(Delivery_data[[#This Row],[Order Status]]="In Progress", TODAY()-Delivery_data[[#This Row],[Order Date]], "")</f>
        <v>808</v>
      </c>
      <c r="R313">
        <f>IF(Delivery_data[[#This Row],[On Time]]=1,0,1)</f>
        <v>1</v>
      </c>
    </row>
    <row r="314" spans="1:18" x14ac:dyDescent="0.35">
      <c r="A314">
        <v>2192</v>
      </c>
      <c r="B314" t="s">
        <v>439</v>
      </c>
      <c r="C314" s="1">
        <v>45172.654166666667</v>
      </c>
      <c r="D314" t="s">
        <v>16</v>
      </c>
      <c r="E314" t="s">
        <v>17</v>
      </c>
      <c r="F314" t="s">
        <v>18</v>
      </c>
      <c r="G314" t="s">
        <v>362</v>
      </c>
      <c r="H314">
        <v>174</v>
      </c>
      <c r="I314">
        <v>22</v>
      </c>
      <c r="J314" t="s">
        <v>35</v>
      </c>
      <c r="K314" t="s">
        <v>33</v>
      </c>
      <c r="L314" t="s">
        <v>29</v>
      </c>
      <c r="M314" t="s">
        <v>39</v>
      </c>
      <c r="N314">
        <v>0</v>
      </c>
      <c r="O314">
        <v>1</v>
      </c>
      <c r="P314" s="8">
        <f>INT(Delivery_data[[#This Row],[Order Timestamp]])</f>
        <v>45172</v>
      </c>
      <c r="Q314">
        <f ca="1">IF(Delivery_data[[#This Row],[Order Status]]="In Progress", TODAY()-Delivery_data[[#This Row],[Order Date]], "")</f>
        <v>811</v>
      </c>
      <c r="R314">
        <f>IF(Delivery_data[[#This Row],[On Time]]=1,0,1)</f>
        <v>1</v>
      </c>
    </row>
    <row r="315" spans="1:18" x14ac:dyDescent="0.35">
      <c r="A315">
        <v>2193</v>
      </c>
      <c r="B315" t="s">
        <v>440</v>
      </c>
      <c r="C315" s="1">
        <v>45174.59097222222</v>
      </c>
      <c r="D315" t="s">
        <v>16</v>
      </c>
      <c r="E315" t="s">
        <v>74</v>
      </c>
      <c r="F315" t="s">
        <v>18</v>
      </c>
      <c r="G315" t="s">
        <v>362</v>
      </c>
      <c r="H315">
        <v>155</v>
      </c>
      <c r="I315">
        <v>1</v>
      </c>
      <c r="J315" t="s">
        <v>20</v>
      </c>
      <c r="K315" t="s">
        <v>38</v>
      </c>
      <c r="L315" t="s">
        <v>29</v>
      </c>
      <c r="M315" t="s">
        <v>39</v>
      </c>
      <c r="N315">
        <v>0</v>
      </c>
      <c r="O315">
        <v>0</v>
      </c>
      <c r="P315" s="8">
        <f>INT(Delivery_data[[#This Row],[Order Timestamp]])</f>
        <v>45174</v>
      </c>
      <c r="Q315">
        <f ca="1">IF(Delivery_data[[#This Row],[Order Status]]="In Progress", TODAY()-Delivery_data[[#This Row],[Order Date]], "")</f>
        <v>809</v>
      </c>
      <c r="R315">
        <f>IF(Delivery_data[[#This Row],[On Time]]=1,0,1)</f>
        <v>1</v>
      </c>
    </row>
    <row r="316" spans="1:18" x14ac:dyDescent="0.35">
      <c r="A316">
        <v>2194</v>
      </c>
      <c r="B316" t="s">
        <v>441</v>
      </c>
      <c r="C316" s="1">
        <v>45176.418055555558</v>
      </c>
      <c r="D316" t="s">
        <v>16</v>
      </c>
      <c r="E316" t="s">
        <v>144</v>
      </c>
      <c r="F316" t="s">
        <v>18</v>
      </c>
      <c r="G316" t="s">
        <v>362</v>
      </c>
      <c r="H316">
        <v>138</v>
      </c>
      <c r="I316">
        <v>20</v>
      </c>
      <c r="J316" t="s">
        <v>35</v>
      </c>
      <c r="K316" t="s">
        <v>33</v>
      </c>
      <c r="L316" t="s">
        <v>22</v>
      </c>
      <c r="M316" t="s">
        <v>39</v>
      </c>
      <c r="N316">
        <v>0</v>
      </c>
      <c r="O316">
        <v>1</v>
      </c>
      <c r="P316" s="8">
        <f>INT(Delivery_data[[#This Row],[Order Timestamp]])</f>
        <v>45176</v>
      </c>
      <c r="Q316">
        <f ca="1">IF(Delivery_data[[#This Row],[Order Status]]="In Progress", TODAY()-Delivery_data[[#This Row],[Order Date]], "")</f>
        <v>807</v>
      </c>
      <c r="R316">
        <f>IF(Delivery_data[[#This Row],[On Time]]=1,0,1)</f>
        <v>1</v>
      </c>
    </row>
    <row r="317" spans="1:18" x14ac:dyDescent="0.35">
      <c r="A317">
        <v>2196</v>
      </c>
      <c r="B317" t="s">
        <v>442</v>
      </c>
      <c r="C317" s="1">
        <v>45170.527083333334</v>
      </c>
      <c r="D317" t="s">
        <v>16</v>
      </c>
      <c r="E317" t="s">
        <v>108</v>
      </c>
      <c r="F317" t="s">
        <v>18</v>
      </c>
      <c r="G317" t="s">
        <v>362</v>
      </c>
      <c r="H317">
        <v>183</v>
      </c>
      <c r="I317">
        <v>2</v>
      </c>
      <c r="J317" t="s">
        <v>35</v>
      </c>
      <c r="K317" t="s">
        <v>28</v>
      </c>
      <c r="L317" t="s">
        <v>29</v>
      </c>
      <c r="M317" t="s">
        <v>39</v>
      </c>
      <c r="N317">
        <v>0</v>
      </c>
      <c r="O317">
        <v>1</v>
      </c>
      <c r="P317" s="8">
        <f>INT(Delivery_data[[#This Row],[Order Timestamp]])</f>
        <v>45170</v>
      </c>
      <c r="Q317">
        <f ca="1">IF(Delivery_data[[#This Row],[Order Status]]="In Progress", TODAY()-Delivery_data[[#This Row],[Order Date]], "")</f>
        <v>813</v>
      </c>
      <c r="R317">
        <f>IF(Delivery_data[[#This Row],[On Time]]=1,0,1)</f>
        <v>1</v>
      </c>
    </row>
    <row r="318" spans="1:18" x14ac:dyDescent="0.35">
      <c r="A318">
        <v>2203</v>
      </c>
      <c r="B318" t="s">
        <v>443</v>
      </c>
      <c r="C318" s="1">
        <v>45172.411805555559</v>
      </c>
      <c r="D318" t="s">
        <v>25</v>
      </c>
      <c r="E318" t="s">
        <v>195</v>
      </c>
      <c r="F318" t="s">
        <v>18</v>
      </c>
      <c r="G318" t="s">
        <v>362</v>
      </c>
      <c r="H318">
        <v>105</v>
      </c>
      <c r="I318">
        <v>21</v>
      </c>
      <c r="J318" t="s">
        <v>27</v>
      </c>
      <c r="K318" t="s">
        <v>33</v>
      </c>
      <c r="L318" t="s">
        <v>42</v>
      </c>
      <c r="M318" t="s">
        <v>39</v>
      </c>
      <c r="N318">
        <v>0</v>
      </c>
      <c r="O318">
        <v>0</v>
      </c>
      <c r="P318" s="8">
        <f>INT(Delivery_data[[#This Row],[Order Timestamp]])</f>
        <v>45172</v>
      </c>
      <c r="Q318" t="str">
        <f ca="1">IF(Delivery_data[[#This Row],[Order Status]]="In Progress", TODAY()-Delivery_data[[#This Row],[Order Date]], "")</f>
        <v/>
      </c>
      <c r="R318">
        <f>IF(Delivery_data[[#This Row],[On Time]]=1,0,1)</f>
        <v>1</v>
      </c>
    </row>
    <row r="319" spans="1:18" x14ac:dyDescent="0.35">
      <c r="A319">
        <v>2256</v>
      </c>
      <c r="B319" t="s">
        <v>444</v>
      </c>
      <c r="C319" s="1">
        <v>45176.693749999999</v>
      </c>
      <c r="D319" t="s">
        <v>16</v>
      </c>
      <c r="E319" t="s">
        <v>46</v>
      </c>
      <c r="F319" t="s">
        <v>18</v>
      </c>
      <c r="G319" t="s">
        <v>362</v>
      </c>
      <c r="H319">
        <v>96</v>
      </c>
      <c r="I319">
        <v>27</v>
      </c>
      <c r="J319" t="s">
        <v>27</v>
      </c>
      <c r="K319" t="s">
        <v>28</v>
      </c>
      <c r="L319" t="s">
        <v>22</v>
      </c>
      <c r="M319" t="s">
        <v>39</v>
      </c>
      <c r="N319">
        <v>0</v>
      </c>
      <c r="O319">
        <v>0</v>
      </c>
      <c r="P319" s="8">
        <f>INT(Delivery_data[[#This Row],[Order Timestamp]])</f>
        <v>45176</v>
      </c>
      <c r="Q319">
        <f ca="1">IF(Delivery_data[[#This Row],[Order Status]]="In Progress", TODAY()-Delivery_data[[#This Row],[Order Date]], "")</f>
        <v>807</v>
      </c>
      <c r="R319">
        <f>IF(Delivery_data[[#This Row],[On Time]]=1,0,1)</f>
        <v>1</v>
      </c>
    </row>
    <row r="320" spans="1:18" x14ac:dyDescent="0.35">
      <c r="A320">
        <v>2284</v>
      </c>
      <c r="B320" t="s">
        <v>445</v>
      </c>
      <c r="C320" s="1">
        <v>45176.447222222225</v>
      </c>
      <c r="D320" t="s">
        <v>25</v>
      </c>
      <c r="E320" t="s">
        <v>62</v>
      </c>
      <c r="F320" t="s">
        <v>18</v>
      </c>
      <c r="G320" t="s">
        <v>362</v>
      </c>
      <c r="H320">
        <v>94</v>
      </c>
      <c r="I320">
        <v>13</v>
      </c>
      <c r="J320" t="s">
        <v>20</v>
      </c>
      <c r="K320" t="s">
        <v>33</v>
      </c>
      <c r="L320" t="s">
        <v>42</v>
      </c>
      <c r="M320" t="s">
        <v>30</v>
      </c>
      <c r="N320">
        <v>0</v>
      </c>
      <c r="O320">
        <v>0</v>
      </c>
      <c r="P320" s="8">
        <f>INT(Delivery_data[[#This Row],[Order Timestamp]])</f>
        <v>45176</v>
      </c>
      <c r="Q320" t="str">
        <f ca="1">IF(Delivery_data[[#This Row],[Order Status]]="In Progress", TODAY()-Delivery_data[[#This Row],[Order Date]], "")</f>
        <v/>
      </c>
      <c r="R320">
        <f>IF(Delivery_data[[#This Row],[On Time]]=1,0,1)</f>
        <v>1</v>
      </c>
    </row>
    <row r="321" spans="1:18" x14ac:dyDescent="0.35">
      <c r="A321">
        <v>2312</v>
      </c>
      <c r="B321" t="s">
        <v>446</v>
      </c>
      <c r="C321" s="1">
        <v>45176.70208333333</v>
      </c>
      <c r="D321" t="s">
        <v>25</v>
      </c>
      <c r="E321" t="s">
        <v>447</v>
      </c>
      <c r="F321" t="s">
        <v>18</v>
      </c>
      <c r="G321" t="s">
        <v>362</v>
      </c>
      <c r="H321">
        <v>130</v>
      </c>
      <c r="I321">
        <v>28</v>
      </c>
      <c r="J321" t="s">
        <v>35</v>
      </c>
      <c r="K321" t="s">
        <v>38</v>
      </c>
      <c r="L321" t="s">
        <v>29</v>
      </c>
      <c r="M321" t="s">
        <v>30</v>
      </c>
      <c r="N321">
        <v>0</v>
      </c>
      <c r="O321">
        <v>1</v>
      </c>
      <c r="P321" s="8">
        <f>INT(Delivery_data[[#This Row],[Order Timestamp]])</f>
        <v>45176</v>
      </c>
      <c r="Q321" t="str">
        <f ca="1">IF(Delivery_data[[#This Row],[Order Status]]="In Progress", TODAY()-Delivery_data[[#This Row],[Order Date]], "")</f>
        <v/>
      </c>
      <c r="R321">
        <f>IF(Delivery_data[[#This Row],[On Time]]=1,0,1)</f>
        <v>1</v>
      </c>
    </row>
    <row r="322" spans="1:18" x14ac:dyDescent="0.35">
      <c r="A322">
        <v>2329</v>
      </c>
      <c r="B322" t="s">
        <v>448</v>
      </c>
      <c r="C322" s="1">
        <v>45175.459722222222</v>
      </c>
      <c r="D322" t="s">
        <v>25</v>
      </c>
      <c r="E322" t="s">
        <v>17</v>
      </c>
      <c r="F322" t="s">
        <v>18</v>
      </c>
      <c r="G322" t="s">
        <v>362</v>
      </c>
      <c r="H322">
        <v>127</v>
      </c>
      <c r="I322">
        <v>17</v>
      </c>
      <c r="J322" t="s">
        <v>35</v>
      </c>
      <c r="K322" t="s">
        <v>28</v>
      </c>
      <c r="L322" t="s">
        <v>42</v>
      </c>
      <c r="M322" t="s">
        <v>39</v>
      </c>
      <c r="N322">
        <v>0</v>
      </c>
      <c r="O322">
        <v>1</v>
      </c>
      <c r="P322" s="8">
        <f>INT(Delivery_data[[#This Row],[Order Timestamp]])</f>
        <v>45175</v>
      </c>
      <c r="Q322" t="str">
        <f ca="1">IF(Delivery_data[[#This Row],[Order Status]]="In Progress", TODAY()-Delivery_data[[#This Row],[Order Date]], "")</f>
        <v/>
      </c>
      <c r="R322">
        <f>IF(Delivery_data[[#This Row],[On Time]]=1,0,1)</f>
        <v>1</v>
      </c>
    </row>
    <row r="323" spans="1:18" x14ac:dyDescent="0.35">
      <c r="A323">
        <v>2333</v>
      </c>
      <c r="B323" t="s">
        <v>449</v>
      </c>
      <c r="C323" s="1">
        <v>45171.595833333333</v>
      </c>
      <c r="D323" t="s">
        <v>16</v>
      </c>
      <c r="E323" t="s">
        <v>184</v>
      </c>
      <c r="F323" t="s">
        <v>18</v>
      </c>
      <c r="G323" t="s">
        <v>362</v>
      </c>
      <c r="H323">
        <v>160</v>
      </c>
      <c r="I323">
        <v>11</v>
      </c>
      <c r="J323" t="s">
        <v>35</v>
      </c>
      <c r="K323" t="s">
        <v>38</v>
      </c>
      <c r="L323" t="s">
        <v>42</v>
      </c>
      <c r="M323" t="s">
        <v>23</v>
      </c>
      <c r="N323">
        <v>0</v>
      </c>
      <c r="O323">
        <v>1</v>
      </c>
      <c r="P323" s="8">
        <f>INT(Delivery_data[[#This Row],[Order Timestamp]])</f>
        <v>45171</v>
      </c>
      <c r="Q323">
        <f ca="1">IF(Delivery_data[[#This Row],[Order Status]]="In Progress", TODAY()-Delivery_data[[#This Row],[Order Date]], "")</f>
        <v>812</v>
      </c>
      <c r="R323">
        <f>IF(Delivery_data[[#This Row],[On Time]]=1,0,1)</f>
        <v>1</v>
      </c>
    </row>
    <row r="324" spans="1:18" x14ac:dyDescent="0.35">
      <c r="A324">
        <v>2354</v>
      </c>
      <c r="B324" t="s">
        <v>450</v>
      </c>
      <c r="C324" s="1">
        <v>45172.45416666667</v>
      </c>
      <c r="D324" t="s">
        <v>25</v>
      </c>
      <c r="E324" t="s">
        <v>62</v>
      </c>
      <c r="F324" t="s">
        <v>18</v>
      </c>
      <c r="G324" t="s">
        <v>362</v>
      </c>
      <c r="H324">
        <v>99</v>
      </c>
      <c r="I324">
        <v>7</v>
      </c>
      <c r="J324" t="s">
        <v>27</v>
      </c>
      <c r="K324" t="s">
        <v>38</v>
      </c>
      <c r="L324" t="s">
        <v>29</v>
      </c>
      <c r="M324" t="s">
        <v>30</v>
      </c>
      <c r="N324">
        <v>0</v>
      </c>
      <c r="O324">
        <v>0</v>
      </c>
      <c r="P324" s="8">
        <f>INT(Delivery_data[[#This Row],[Order Timestamp]])</f>
        <v>45172</v>
      </c>
      <c r="Q324" t="str">
        <f ca="1">IF(Delivery_data[[#This Row],[Order Status]]="In Progress", TODAY()-Delivery_data[[#This Row],[Order Date]], "")</f>
        <v/>
      </c>
      <c r="R324">
        <f>IF(Delivery_data[[#This Row],[On Time]]=1,0,1)</f>
        <v>1</v>
      </c>
    </row>
    <row r="325" spans="1:18" x14ac:dyDescent="0.35">
      <c r="A325">
        <v>2364</v>
      </c>
      <c r="B325" t="s">
        <v>451</v>
      </c>
      <c r="C325" s="1">
        <v>45175.676388888889</v>
      </c>
      <c r="D325" t="s">
        <v>16</v>
      </c>
      <c r="E325" t="s">
        <v>181</v>
      </c>
      <c r="F325" t="s">
        <v>18</v>
      </c>
      <c r="G325" t="s">
        <v>362</v>
      </c>
      <c r="H325">
        <v>202</v>
      </c>
      <c r="I325">
        <v>6</v>
      </c>
      <c r="J325" t="s">
        <v>27</v>
      </c>
      <c r="K325" t="s">
        <v>28</v>
      </c>
      <c r="L325" t="s">
        <v>42</v>
      </c>
      <c r="M325" t="s">
        <v>23</v>
      </c>
      <c r="N325">
        <v>0</v>
      </c>
      <c r="O325">
        <v>0</v>
      </c>
      <c r="P325" s="8">
        <f>INT(Delivery_data[[#This Row],[Order Timestamp]])</f>
        <v>45175</v>
      </c>
      <c r="Q325">
        <f ca="1">IF(Delivery_data[[#This Row],[Order Status]]="In Progress", TODAY()-Delivery_data[[#This Row],[Order Date]], "")</f>
        <v>808</v>
      </c>
      <c r="R325">
        <f>IF(Delivery_data[[#This Row],[On Time]]=1,0,1)</f>
        <v>1</v>
      </c>
    </row>
    <row r="326" spans="1:18" x14ac:dyDescent="0.35">
      <c r="A326">
        <v>2382</v>
      </c>
      <c r="B326" t="s">
        <v>452</v>
      </c>
      <c r="C326" s="1">
        <v>45177.680555555555</v>
      </c>
      <c r="D326" t="s">
        <v>16</v>
      </c>
      <c r="E326" t="s">
        <v>320</v>
      </c>
      <c r="F326" t="s">
        <v>18</v>
      </c>
      <c r="G326" t="s">
        <v>362</v>
      </c>
      <c r="H326">
        <v>136</v>
      </c>
      <c r="I326">
        <v>12</v>
      </c>
      <c r="J326" t="s">
        <v>27</v>
      </c>
      <c r="K326" t="s">
        <v>33</v>
      </c>
      <c r="L326" t="s">
        <v>29</v>
      </c>
      <c r="M326" t="s">
        <v>39</v>
      </c>
      <c r="N326">
        <v>0</v>
      </c>
      <c r="O326">
        <v>0</v>
      </c>
      <c r="P326" s="8">
        <f>INT(Delivery_data[[#This Row],[Order Timestamp]])</f>
        <v>45177</v>
      </c>
      <c r="Q326">
        <f ca="1">IF(Delivery_data[[#This Row],[Order Status]]="In Progress", TODAY()-Delivery_data[[#This Row],[Order Date]], "")</f>
        <v>806</v>
      </c>
      <c r="R326">
        <f>IF(Delivery_data[[#This Row],[On Time]]=1,0,1)</f>
        <v>1</v>
      </c>
    </row>
    <row r="327" spans="1:18" x14ac:dyDescent="0.35">
      <c r="A327">
        <v>2393</v>
      </c>
      <c r="B327" t="s">
        <v>453</v>
      </c>
      <c r="C327" s="1">
        <v>45177.411805555559</v>
      </c>
      <c r="D327" t="s">
        <v>16</v>
      </c>
      <c r="E327" t="s">
        <v>76</v>
      </c>
      <c r="F327" t="s">
        <v>18</v>
      </c>
      <c r="G327" t="s">
        <v>362</v>
      </c>
      <c r="H327">
        <v>81</v>
      </c>
      <c r="I327">
        <v>20</v>
      </c>
      <c r="J327" t="s">
        <v>27</v>
      </c>
      <c r="K327" t="s">
        <v>51</v>
      </c>
      <c r="L327" t="s">
        <v>29</v>
      </c>
      <c r="M327" t="s">
        <v>39</v>
      </c>
      <c r="N327">
        <v>0</v>
      </c>
      <c r="O327">
        <v>0</v>
      </c>
      <c r="P327" s="8">
        <f>INT(Delivery_data[[#This Row],[Order Timestamp]])</f>
        <v>45177</v>
      </c>
      <c r="Q327">
        <f ca="1">IF(Delivery_data[[#This Row],[Order Status]]="In Progress", TODAY()-Delivery_data[[#This Row],[Order Date]], "")</f>
        <v>806</v>
      </c>
      <c r="R327">
        <f>IF(Delivery_data[[#This Row],[On Time]]=1,0,1)</f>
        <v>1</v>
      </c>
    </row>
    <row r="328" spans="1:18" x14ac:dyDescent="0.35">
      <c r="A328">
        <v>2399</v>
      </c>
      <c r="B328" t="s">
        <v>454</v>
      </c>
      <c r="C328" s="1">
        <v>45171.466666666667</v>
      </c>
      <c r="D328" t="s">
        <v>16</v>
      </c>
      <c r="E328" t="s">
        <v>195</v>
      </c>
      <c r="F328" t="s">
        <v>18</v>
      </c>
      <c r="G328" t="s">
        <v>362</v>
      </c>
      <c r="H328">
        <v>178</v>
      </c>
      <c r="I328">
        <v>6</v>
      </c>
      <c r="J328" t="s">
        <v>27</v>
      </c>
      <c r="K328" t="s">
        <v>38</v>
      </c>
      <c r="L328" t="s">
        <v>29</v>
      </c>
      <c r="M328" t="s">
        <v>23</v>
      </c>
      <c r="N328">
        <v>0</v>
      </c>
      <c r="O328">
        <v>0</v>
      </c>
      <c r="P328" s="8">
        <f>INT(Delivery_data[[#This Row],[Order Timestamp]])</f>
        <v>45171</v>
      </c>
      <c r="Q328">
        <f ca="1">IF(Delivery_data[[#This Row],[Order Status]]="In Progress", TODAY()-Delivery_data[[#This Row],[Order Date]], "")</f>
        <v>812</v>
      </c>
      <c r="R328">
        <f>IF(Delivery_data[[#This Row],[On Time]]=1,0,1)</f>
        <v>1</v>
      </c>
    </row>
    <row r="329" spans="1:18" x14ac:dyDescent="0.35">
      <c r="A329">
        <v>2404</v>
      </c>
      <c r="B329" t="s">
        <v>455</v>
      </c>
      <c r="C329" s="1">
        <v>45172.6875</v>
      </c>
      <c r="D329" t="s">
        <v>25</v>
      </c>
      <c r="E329" t="s">
        <v>121</v>
      </c>
      <c r="F329" t="s">
        <v>18</v>
      </c>
      <c r="G329" t="s">
        <v>362</v>
      </c>
      <c r="H329">
        <v>187</v>
      </c>
      <c r="I329">
        <v>6</v>
      </c>
      <c r="J329" t="s">
        <v>35</v>
      </c>
      <c r="K329" t="s">
        <v>51</v>
      </c>
      <c r="L329" t="s">
        <v>22</v>
      </c>
      <c r="M329" t="s">
        <v>39</v>
      </c>
      <c r="N329">
        <v>0</v>
      </c>
      <c r="O329">
        <v>1</v>
      </c>
      <c r="P329" s="8">
        <f>INT(Delivery_data[[#This Row],[Order Timestamp]])</f>
        <v>45172</v>
      </c>
      <c r="Q329" t="str">
        <f ca="1">IF(Delivery_data[[#This Row],[Order Status]]="In Progress", TODAY()-Delivery_data[[#This Row],[Order Date]], "")</f>
        <v/>
      </c>
      <c r="R329">
        <f>IF(Delivery_data[[#This Row],[On Time]]=1,0,1)</f>
        <v>1</v>
      </c>
    </row>
    <row r="330" spans="1:18" x14ac:dyDescent="0.35">
      <c r="A330">
        <v>2410</v>
      </c>
      <c r="B330" t="s">
        <v>456</v>
      </c>
      <c r="C330" s="1">
        <v>45171.549305555556</v>
      </c>
      <c r="D330" t="s">
        <v>16</v>
      </c>
      <c r="E330" t="s">
        <v>126</v>
      </c>
      <c r="F330" t="s">
        <v>18</v>
      </c>
      <c r="G330" t="s">
        <v>362</v>
      </c>
      <c r="H330">
        <v>156</v>
      </c>
      <c r="I330">
        <v>16</v>
      </c>
      <c r="J330" t="s">
        <v>20</v>
      </c>
      <c r="K330" t="s">
        <v>21</v>
      </c>
      <c r="L330" t="s">
        <v>42</v>
      </c>
      <c r="M330" t="s">
        <v>23</v>
      </c>
      <c r="N330">
        <v>0</v>
      </c>
      <c r="O330">
        <v>0</v>
      </c>
      <c r="P330" s="8">
        <f>INT(Delivery_data[[#This Row],[Order Timestamp]])</f>
        <v>45171</v>
      </c>
      <c r="Q330">
        <f ca="1">IF(Delivery_data[[#This Row],[Order Status]]="In Progress", TODAY()-Delivery_data[[#This Row],[Order Date]], "")</f>
        <v>812</v>
      </c>
      <c r="R330">
        <f>IF(Delivery_data[[#This Row],[On Time]]=1,0,1)</f>
        <v>1</v>
      </c>
    </row>
    <row r="331" spans="1:18" x14ac:dyDescent="0.35">
      <c r="A331">
        <v>2416</v>
      </c>
      <c r="B331" t="s">
        <v>457</v>
      </c>
      <c r="C331" s="1">
        <v>45177.560416666667</v>
      </c>
      <c r="D331" t="s">
        <v>25</v>
      </c>
      <c r="E331" t="s">
        <v>134</v>
      </c>
      <c r="F331" t="s">
        <v>18</v>
      </c>
      <c r="G331" t="s">
        <v>362</v>
      </c>
      <c r="H331">
        <v>150</v>
      </c>
      <c r="I331">
        <v>14</v>
      </c>
      <c r="J331" t="s">
        <v>27</v>
      </c>
      <c r="K331" t="s">
        <v>21</v>
      </c>
      <c r="L331" t="s">
        <v>42</v>
      </c>
      <c r="M331" t="s">
        <v>23</v>
      </c>
      <c r="N331">
        <v>0</v>
      </c>
      <c r="O331">
        <v>0</v>
      </c>
      <c r="P331" s="8">
        <f>INT(Delivery_data[[#This Row],[Order Timestamp]])</f>
        <v>45177</v>
      </c>
      <c r="Q331" t="str">
        <f ca="1">IF(Delivery_data[[#This Row],[Order Status]]="In Progress", TODAY()-Delivery_data[[#This Row],[Order Date]], "")</f>
        <v/>
      </c>
      <c r="R331">
        <f>IF(Delivery_data[[#This Row],[On Time]]=1,0,1)</f>
        <v>1</v>
      </c>
    </row>
    <row r="332" spans="1:18" x14ac:dyDescent="0.35">
      <c r="A332">
        <v>2446</v>
      </c>
      <c r="B332" t="s">
        <v>458</v>
      </c>
      <c r="C332" s="1">
        <v>45174.679861111108</v>
      </c>
      <c r="D332" t="s">
        <v>16</v>
      </c>
      <c r="E332" t="s">
        <v>74</v>
      </c>
      <c r="F332" t="s">
        <v>18</v>
      </c>
      <c r="G332" t="s">
        <v>362</v>
      </c>
      <c r="H332">
        <v>215</v>
      </c>
      <c r="I332">
        <v>23</v>
      </c>
      <c r="J332" t="s">
        <v>35</v>
      </c>
      <c r="K332" t="s">
        <v>21</v>
      </c>
      <c r="L332" t="s">
        <v>42</v>
      </c>
      <c r="M332" t="s">
        <v>23</v>
      </c>
      <c r="N332">
        <v>0</v>
      </c>
      <c r="O332">
        <v>1</v>
      </c>
      <c r="P332" s="8">
        <f>INT(Delivery_data[[#This Row],[Order Timestamp]])</f>
        <v>45174</v>
      </c>
      <c r="Q332">
        <f ca="1">IF(Delivery_data[[#This Row],[Order Status]]="In Progress", TODAY()-Delivery_data[[#This Row],[Order Date]], "")</f>
        <v>809</v>
      </c>
      <c r="R332">
        <f>IF(Delivery_data[[#This Row],[On Time]]=1,0,1)</f>
        <v>1</v>
      </c>
    </row>
    <row r="333" spans="1:18" x14ac:dyDescent="0.35">
      <c r="A333">
        <v>2450</v>
      </c>
      <c r="B333" t="s">
        <v>459</v>
      </c>
      <c r="C333" s="1">
        <v>45171.684027777781</v>
      </c>
      <c r="D333" t="s">
        <v>16</v>
      </c>
      <c r="E333" t="s">
        <v>96</v>
      </c>
      <c r="F333" t="s">
        <v>18</v>
      </c>
      <c r="G333" t="s">
        <v>362</v>
      </c>
      <c r="H333">
        <v>199</v>
      </c>
      <c r="I333">
        <v>5</v>
      </c>
      <c r="J333" t="s">
        <v>35</v>
      </c>
      <c r="K333" t="s">
        <v>51</v>
      </c>
      <c r="L333" t="s">
        <v>29</v>
      </c>
      <c r="M333" t="s">
        <v>39</v>
      </c>
      <c r="N333">
        <v>0</v>
      </c>
      <c r="O333">
        <v>1</v>
      </c>
      <c r="P333" s="8">
        <f>INT(Delivery_data[[#This Row],[Order Timestamp]])</f>
        <v>45171</v>
      </c>
      <c r="Q333">
        <f ca="1">IF(Delivery_data[[#This Row],[Order Status]]="In Progress", TODAY()-Delivery_data[[#This Row],[Order Date]], "")</f>
        <v>812</v>
      </c>
      <c r="R333">
        <f>IF(Delivery_data[[#This Row],[On Time]]=1,0,1)</f>
        <v>1</v>
      </c>
    </row>
    <row r="334" spans="1:18" x14ac:dyDescent="0.35">
      <c r="A334">
        <v>2457</v>
      </c>
      <c r="B334" t="s">
        <v>460</v>
      </c>
      <c r="C334" s="1">
        <v>45170.37222222222</v>
      </c>
      <c r="D334" t="s">
        <v>16</v>
      </c>
      <c r="E334" t="s">
        <v>230</v>
      </c>
      <c r="F334" t="s">
        <v>18</v>
      </c>
      <c r="G334" t="s">
        <v>362</v>
      </c>
      <c r="H334">
        <v>189</v>
      </c>
      <c r="I334">
        <v>24</v>
      </c>
      <c r="J334" t="s">
        <v>35</v>
      </c>
      <c r="K334" t="s">
        <v>51</v>
      </c>
      <c r="L334" t="s">
        <v>42</v>
      </c>
      <c r="M334" t="s">
        <v>23</v>
      </c>
      <c r="N334">
        <v>0</v>
      </c>
      <c r="O334">
        <v>1</v>
      </c>
      <c r="P334" s="8">
        <f>INT(Delivery_data[[#This Row],[Order Timestamp]])</f>
        <v>45170</v>
      </c>
      <c r="Q334">
        <f ca="1">IF(Delivery_data[[#This Row],[Order Status]]="In Progress", TODAY()-Delivery_data[[#This Row],[Order Date]], "")</f>
        <v>813</v>
      </c>
      <c r="R334">
        <f>IF(Delivery_data[[#This Row],[On Time]]=1,0,1)</f>
        <v>1</v>
      </c>
    </row>
    <row r="335" spans="1:18" x14ac:dyDescent="0.35">
      <c r="A335">
        <v>2484</v>
      </c>
      <c r="B335" t="s">
        <v>461</v>
      </c>
      <c r="C335" s="1">
        <v>45175.384027777778</v>
      </c>
      <c r="D335" t="s">
        <v>25</v>
      </c>
      <c r="E335" t="s">
        <v>287</v>
      </c>
      <c r="F335" t="s">
        <v>18</v>
      </c>
      <c r="G335" t="s">
        <v>362</v>
      </c>
      <c r="H335">
        <v>115</v>
      </c>
      <c r="I335">
        <v>1</v>
      </c>
      <c r="J335" t="s">
        <v>35</v>
      </c>
      <c r="K335" t="s">
        <v>51</v>
      </c>
      <c r="L335" t="s">
        <v>29</v>
      </c>
      <c r="M335" t="s">
        <v>30</v>
      </c>
      <c r="N335">
        <v>0</v>
      </c>
      <c r="O335">
        <v>1</v>
      </c>
      <c r="P335" s="8">
        <f>INT(Delivery_data[[#This Row],[Order Timestamp]])</f>
        <v>45175</v>
      </c>
      <c r="Q335" t="str">
        <f ca="1">IF(Delivery_data[[#This Row],[Order Status]]="In Progress", TODAY()-Delivery_data[[#This Row],[Order Date]], "")</f>
        <v/>
      </c>
      <c r="R335">
        <f>IF(Delivery_data[[#This Row],[On Time]]=1,0,1)</f>
        <v>1</v>
      </c>
    </row>
    <row r="336" spans="1:18" x14ac:dyDescent="0.35">
      <c r="A336">
        <v>2495</v>
      </c>
      <c r="B336" t="s">
        <v>226</v>
      </c>
      <c r="C336" s="1">
        <v>45175.431944444441</v>
      </c>
      <c r="D336" t="s">
        <v>25</v>
      </c>
      <c r="E336" t="s">
        <v>254</v>
      </c>
      <c r="F336" t="s">
        <v>18</v>
      </c>
      <c r="G336" t="s">
        <v>362</v>
      </c>
      <c r="H336">
        <v>226</v>
      </c>
      <c r="I336">
        <v>8</v>
      </c>
      <c r="J336" t="s">
        <v>35</v>
      </c>
      <c r="K336" t="s">
        <v>28</v>
      </c>
      <c r="L336" t="s">
        <v>22</v>
      </c>
      <c r="M336" t="s">
        <v>23</v>
      </c>
      <c r="N336">
        <v>0</v>
      </c>
      <c r="O336">
        <v>1</v>
      </c>
      <c r="P336" s="8">
        <f>INT(Delivery_data[[#This Row],[Order Timestamp]])</f>
        <v>45175</v>
      </c>
      <c r="Q336" t="str">
        <f ca="1">IF(Delivery_data[[#This Row],[Order Status]]="In Progress", TODAY()-Delivery_data[[#This Row],[Order Date]], "")</f>
        <v/>
      </c>
      <c r="R336">
        <f>IF(Delivery_data[[#This Row],[On Time]]=1,0,1)</f>
        <v>1</v>
      </c>
    </row>
    <row r="337" spans="1:18" x14ac:dyDescent="0.35">
      <c r="A337">
        <v>1017</v>
      </c>
      <c r="B337" t="s">
        <v>462</v>
      </c>
      <c r="C337" s="1">
        <v>45173.444444444445</v>
      </c>
      <c r="D337" t="s">
        <v>16</v>
      </c>
      <c r="E337" t="s">
        <v>416</v>
      </c>
      <c r="F337" t="s">
        <v>18</v>
      </c>
      <c r="G337" t="s">
        <v>463</v>
      </c>
      <c r="H337">
        <v>174</v>
      </c>
      <c r="I337">
        <v>16</v>
      </c>
      <c r="J337" t="s">
        <v>35</v>
      </c>
      <c r="K337" t="s">
        <v>28</v>
      </c>
      <c r="L337" t="s">
        <v>22</v>
      </c>
      <c r="M337" t="s">
        <v>30</v>
      </c>
      <c r="N337">
        <v>0</v>
      </c>
      <c r="O337">
        <v>1</v>
      </c>
      <c r="P337" s="8">
        <f>INT(Delivery_data[[#This Row],[Order Timestamp]])</f>
        <v>45173</v>
      </c>
      <c r="Q337">
        <f ca="1">IF(Delivery_data[[#This Row],[Order Status]]="In Progress", TODAY()-Delivery_data[[#This Row],[Order Date]], "")</f>
        <v>810</v>
      </c>
      <c r="R337">
        <f>IF(Delivery_data[[#This Row],[On Time]]=1,0,1)</f>
        <v>1</v>
      </c>
    </row>
    <row r="338" spans="1:18" x14ac:dyDescent="0.35">
      <c r="A338">
        <v>1019</v>
      </c>
      <c r="B338" t="s">
        <v>464</v>
      </c>
      <c r="C338" s="1">
        <v>45173.620138888888</v>
      </c>
      <c r="D338" t="s">
        <v>16</v>
      </c>
      <c r="E338" t="s">
        <v>117</v>
      </c>
      <c r="F338" t="s">
        <v>18</v>
      </c>
      <c r="G338" t="s">
        <v>463</v>
      </c>
      <c r="H338">
        <v>219</v>
      </c>
      <c r="I338">
        <v>13</v>
      </c>
      <c r="J338" t="s">
        <v>35</v>
      </c>
      <c r="K338" t="s">
        <v>33</v>
      </c>
      <c r="L338" t="s">
        <v>22</v>
      </c>
      <c r="M338" t="s">
        <v>30</v>
      </c>
      <c r="N338">
        <v>0</v>
      </c>
      <c r="O338">
        <v>1</v>
      </c>
      <c r="P338" s="8">
        <f>INT(Delivery_data[[#This Row],[Order Timestamp]])</f>
        <v>45173</v>
      </c>
      <c r="Q338">
        <f ca="1">IF(Delivery_data[[#This Row],[Order Status]]="In Progress", TODAY()-Delivery_data[[#This Row],[Order Date]], "")</f>
        <v>810</v>
      </c>
      <c r="R338">
        <f>IF(Delivery_data[[#This Row],[On Time]]=1,0,1)</f>
        <v>1</v>
      </c>
    </row>
    <row r="339" spans="1:18" x14ac:dyDescent="0.35">
      <c r="A339">
        <v>1027</v>
      </c>
      <c r="B339" t="s">
        <v>465</v>
      </c>
      <c r="C339" s="1">
        <v>45175.472916666666</v>
      </c>
      <c r="D339" t="s">
        <v>25</v>
      </c>
      <c r="E339" t="s">
        <v>41</v>
      </c>
      <c r="F339" t="s">
        <v>18</v>
      </c>
      <c r="G339" t="s">
        <v>463</v>
      </c>
      <c r="H339">
        <v>153</v>
      </c>
      <c r="I339">
        <v>22</v>
      </c>
      <c r="J339" t="s">
        <v>20</v>
      </c>
      <c r="K339" t="s">
        <v>38</v>
      </c>
      <c r="L339" t="s">
        <v>22</v>
      </c>
      <c r="M339" t="s">
        <v>23</v>
      </c>
      <c r="N339">
        <v>0</v>
      </c>
      <c r="O339">
        <v>0</v>
      </c>
      <c r="P339" s="8">
        <f>INT(Delivery_data[[#This Row],[Order Timestamp]])</f>
        <v>45175</v>
      </c>
      <c r="Q339" t="str">
        <f ca="1">IF(Delivery_data[[#This Row],[Order Status]]="In Progress", TODAY()-Delivery_data[[#This Row],[Order Date]], "")</f>
        <v/>
      </c>
      <c r="R339">
        <f>IF(Delivery_data[[#This Row],[On Time]]=1,0,1)</f>
        <v>1</v>
      </c>
    </row>
    <row r="340" spans="1:18" x14ac:dyDescent="0.35">
      <c r="A340">
        <v>1033</v>
      </c>
      <c r="B340" t="s">
        <v>466</v>
      </c>
      <c r="C340" s="1">
        <v>45175.36041666667</v>
      </c>
      <c r="D340" t="s">
        <v>16</v>
      </c>
      <c r="E340" t="s">
        <v>287</v>
      </c>
      <c r="F340" t="s">
        <v>18</v>
      </c>
      <c r="G340" t="s">
        <v>463</v>
      </c>
      <c r="H340">
        <v>172</v>
      </c>
      <c r="I340">
        <v>20</v>
      </c>
      <c r="J340" t="s">
        <v>20</v>
      </c>
      <c r="K340" t="s">
        <v>51</v>
      </c>
      <c r="L340" t="s">
        <v>29</v>
      </c>
      <c r="M340" t="s">
        <v>39</v>
      </c>
      <c r="N340">
        <v>0</v>
      </c>
      <c r="O340">
        <v>0</v>
      </c>
      <c r="P340" s="8">
        <f>INT(Delivery_data[[#This Row],[Order Timestamp]])</f>
        <v>45175</v>
      </c>
      <c r="Q340">
        <f ca="1">IF(Delivery_data[[#This Row],[Order Status]]="In Progress", TODAY()-Delivery_data[[#This Row],[Order Date]], "")</f>
        <v>808</v>
      </c>
      <c r="R340">
        <f>IF(Delivery_data[[#This Row],[On Time]]=1,0,1)</f>
        <v>1</v>
      </c>
    </row>
    <row r="341" spans="1:18" x14ac:dyDescent="0.35">
      <c r="A341">
        <v>1039</v>
      </c>
      <c r="B341" t="s">
        <v>467</v>
      </c>
      <c r="C341" s="1">
        <v>45170.631944444445</v>
      </c>
      <c r="D341" t="s">
        <v>25</v>
      </c>
      <c r="E341" t="s">
        <v>64</v>
      </c>
      <c r="F341" t="s">
        <v>18</v>
      </c>
      <c r="G341" t="s">
        <v>463</v>
      </c>
      <c r="H341">
        <v>110</v>
      </c>
      <c r="I341">
        <v>7</v>
      </c>
      <c r="J341" t="s">
        <v>20</v>
      </c>
      <c r="K341" t="s">
        <v>21</v>
      </c>
      <c r="L341" t="s">
        <v>42</v>
      </c>
      <c r="M341" t="s">
        <v>39</v>
      </c>
      <c r="N341">
        <v>0</v>
      </c>
      <c r="O341">
        <v>0</v>
      </c>
      <c r="P341" s="8">
        <f>INT(Delivery_data[[#This Row],[Order Timestamp]])</f>
        <v>45170</v>
      </c>
      <c r="Q341" t="str">
        <f ca="1">IF(Delivery_data[[#This Row],[Order Status]]="In Progress", TODAY()-Delivery_data[[#This Row],[Order Date]], "")</f>
        <v/>
      </c>
      <c r="R341">
        <f>IF(Delivery_data[[#This Row],[On Time]]=1,0,1)</f>
        <v>1</v>
      </c>
    </row>
    <row r="342" spans="1:18" x14ac:dyDescent="0.35">
      <c r="A342">
        <v>1050</v>
      </c>
      <c r="B342" t="s">
        <v>468</v>
      </c>
      <c r="C342" s="1">
        <v>45176.493750000001</v>
      </c>
      <c r="D342" t="s">
        <v>16</v>
      </c>
      <c r="E342" t="s">
        <v>279</v>
      </c>
      <c r="F342" t="s">
        <v>18</v>
      </c>
      <c r="G342" t="s">
        <v>463</v>
      </c>
      <c r="H342">
        <v>94</v>
      </c>
      <c r="I342">
        <v>15</v>
      </c>
      <c r="J342" t="s">
        <v>27</v>
      </c>
      <c r="K342" t="s">
        <v>38</v>
      </c>
      <c r="L342" t="s">
        <v>29</v>
      </c>
      <c r="M342" t="s">
        <v>23</v>
      </c>
      <c r="N342">
        <v>0</v>
      </c>
      <c r="O342">
        <v>0</v>
      </c>
      <c r="P342" s="8">
        <f>INT(Delivery_data[[#This Row],[Order Timestamp]])</f>
        <v>45176</v>
      </c>
      <c r="Q342">
        <f ca="1">IF(Delivery_data[[#This Row],[Order Status]]="In Progress", TODAY()-Delivery_data[[#This Row],[Order Date]], "")</f>
        <v>807</v>
      </c>
      <c r="R342">
        <f>IF(Delivery_data[[#This Row],[On Time]]=1,0,1)</f>
        <v>1</v>
      </c>
    </row>
    <row r="343" spans="1:18" x14ac:dyDescent="0.35">
      <c r="A343">
        <v>1070</v>
      </c>
      <c r="B343" t="s">
        <v>187</v>
      </c>
      <c r="C343" s="1">
        <v>45175.694444444445</v>
      </c>
      <c r="D343" t="s">
        <v>25</v>
      </c>
      <c r="E343" t="s">
        <v>134</v>
      </c>
      <c r="F343" t="s">
        <v>18</v>
      </c>
      <c r="G343" t="s">
        <v>463</v>
      </c>
      <c r="H343">
        <v>172</v>
      </c>
      <c r="I343">
        <v>6</v>
      </c>
      <c r="J343" t="s">
        <v>27</v>
      </c>
      <c r="K343" t="s">
        <v>33</v>
      </c>
      <c r="L343" t="s">
        <v>22</v>
      </c>
      <c r="M343" t="s">
        <v>30</v>
      </c>
      <c r="N343">
        <v>0</v>
      </c>
      <c r="O343">
        <v>0</v>
      </c>
      <c r="P343" s="8">
        <f>INT(Delivery_data[[#This Row],[Order Timestamp]])</f>
        <v>45175</v>
      </c>
      <c r="Q343" t="str">
        <f ca="1">IF(Delivery_data[[#This Row],[Order Status]]="In Progress", TODAY()-Delivery_data[[#This Row],[Order Date]], "")</f>
        <v/>
      </c>
      <c r="R343">
        <f>IF(Delivery_data[[#This Row],[On Time]]=1,0,1)</f>
        <v>1</v>
      </c>
    </row>
    <row r="344" spans="1:18" x14ac:dyDescent="0.35">
      <c r="A344">
        <v>1078</v>
      </c>
      <c r="B344" t="s">
        <v>469</v>
      </c>
      <c r="C344" s="1">
        <v>45173.569444444445</v>
      </c>
      <c r="D344" t="s">
        <v>16</v>
      </c>
      <c r="E344" t="s">
        <v>32</v>
      </c>
      <c r="F344" t="s">
        <v>18</v>
      </c>
      <c r="G344" t="s">
        <v>463</v>
      </c>
      <c r="H344">
        <v>232</v>
      </c>
      <c r="I344">
        <v>21</v>
      </c>
      <c r="J344" t="s">
        <v>35</v>
      </c>
      <c r="K344" t="s">
        <v>38</v>
      </c>
      <c r="L344" t="s">
        <v>22</v>
      </c>
      <c r="M344" t="s">
        <v>39</v>
      </c>
      <c r="N344">
        <v>0</v>
      </c>
      <c r="O344">
        <v>1</v>
      </c>
      <c r="P344" s="8">
        <f>INT(Delivery_data[[#This Row],[Order Timestamp]])</f>
        <v>45173</v>
      </c>
      <c r="Q344">
        <f ca="1">IF(Delivery_data[[#This Row],[Order Status]]="In Progress", TODAY()-Delivery_data[[#This Row],[Order Date]], "")</f>
        <v>810</v>
      </c>
      <c r="R344">
        <f>IF(Delivery_data[[#This Row],[On Time]]=1,0,1)</f>
        <v>1</v>
      </c>
    </row>
    <row r="345" spans="1:18" x14ac:dyDescent="0.35">
      <c r="A345">
        <v>1089</v>
      </c>
      <c r="B345" t="s">
        <v>470</v>
      </c>
      <c r="C345" s="1">
        <v>45173.438194444447</v>
      </c>
      <c r="D345" t="s">
        <v>16</v>
      </c>
      <c r="E345" t="s">
        <v>136</v>
      </c>
      <c r="F345" t="s">
        <v>18</v>
      </c>
      <c r="G345" t="s">
        <v>463</v>
      </c>
      <c r="H345">
        <v>78</v>
      </c>
      <c r="I345">
        <v>6</v>
      </c>
      <c r="J345" t="s">
        <v>27</v>
      </c>
      <c r="K345" t="s">
        <v>21</v>
      </c>
      <c r="L345" t="s">
        <v>42</v>
      </c>
      <c r="M345" t="s">
        <v>30</v>
      </c>
      <c r="N345">
        <v>0</v>
      </c>
      <c r="O345">
        <v>0</v>
      </c>
      <c r="P345" s="8">
        <f>INT(Delivery_data[[#This Row],[Order Timestamp]])</f>
        <v>45173</v>
      </c>
      <c r="Q345">
        <f ca="1">IF(Delivery_data[[#This Row],[Order Status]]="In Progress", TODAY()-Delivery_data[[#This Row],[Order Date]], "")</f>
        <v>810</v>
      </c>
      <c r="R345">
        <f>IF(Delivery_data[[#This Row],[On Time]]=1,0,1)</f>
        <v>1</v>
      </c>
    </row>
    <row r="346" spans="1:18" x14ac:dyDescent="0.35">
      <c r="A346">
        <v>1120</v>
      </c>
      <c r="B346" t="s">
        <v>471</v>
      </c>
      <c r="C346" s="1">
        <v>45177.466666666667</v>
      </c>
      <c r="D346" t="s">
        <v>25</v>
      </c>
      <c r="E346" t="s">
        <v>129</v>
      </c>
      <c r="F346" t="s">
        <v>18</v>
      </c>
      <c r="G346" t="s">
        <v>463</v>
      </c>
      <c r="H346">
        <v>152</v>
      </c>
      <c r="I346">
        <v>26</v>
      </c>
      <c r="J346" t="s">
        <v>20</v>
      </c>
      <c r="K346" t="s">
        <v>28</v>
      </c>
      <c r="L346" t="s">
        <v>42</v>
      </c>
      <c r="M346" t="s">
        <v>39</v>
      </c>
      <c r="N346">
        <v>0</v>
      </c>
      <c r="O346">
        <v>0</v>
      </c>
      <c r="P346" s="8">
        <f>INT(Delivery_data[[#This Row],[Order Timestamp]])</f>
        <v>45177</v>
      </c>
      <c r="Q346" t="str">
        <f ca="1">IF(Delivery_data[[#This Row],[Order Status]]="In Progress", TODAY()-Delivery_data[[#This Row],[Order Date]], "")</f>
        <v/>
      </c>
      <c r="R346">
        <f>IF(Delivery_data[[#This Row],[On Time]]=1,0,1)</f>
        <v>1</v>
      </c>
    </row>
    <row r="347" spans="1:18" x14ac:dyDescent="0.35">
      <c r="A347">
        <v>1124</v>
      </c>
      <c r="B347" t="s">
        <v>472</v>
      </c>
      <c r="C347" s="1">
        <v>45172.62222222222</v>
      </c>
      <c r="D347" t="s">
        <v>25</v>
      </c>
      <c r="E347" t="s">
        <v>200</v>
      </c>
      <c r="F347" t="s">
        <v>18</v>
      </c>
      <c r="G347" t="s">
        <v>463</v>
      </c>
      <c r="H347">
        <v>83</v>
      </c>
      <c r="I347">
        <v>2</v>
      </c>
      <c r="J347" t="s">
        <v>35</v>
      </c>
      <c r="K347" t="s">
        <v>51</v>
      </c>
      <c r="L347" t="s">
        <v>29</v>
      </c>
      <c r="M347" t="s">
        <v>39</v>
      </c>
      <c r="N347">
        <v>0</v>
      </c>
      <c r="O347">
        <v>1</v>
      </c>
      <c r="P347" s="8">
        <f>INT(Delivery_data[[#This Row],[Order Timestamp]])</f>
        <v>45172</v>
      </c>
      <c r="Q347" t="str">
        <f ca="1">IF(Delivery_data[[#This Row],[Order Status]]="In Progress", TODAY()-Delivery_data[[#This Row],[Order Date]], "")</f>
        <v/>
      </c>
      <c r="R347">
        <f>IF(Delivery_data[[#This Row],[On Time]]=1,0,1)</f>
        <v>1</v>
      </c>
    </row>
    <row r="348" spans="1:18" x14ac:dyDescent="0.35">
      <c r="A348">
        <v>1125</v>
      </c>
      <c r="B348" t="s">
        <v>473</v>
      </c>
      <c r="C348" s="1">
        <v>45176.406944444447</v>
      </c>
      <c r="D348" t="s">
        <v>16</v>
      </c>
      <c r="E348" t="s">
        <v>72</v>
      </c>
      <c r="F348" t="s">
        <v>18</v>
      </c>
      <c r="G348" t="s">
        <v>463</v>
      </c>
      <c r="H348">
        <v>178</v>
      </c>
      <c r="I348">
        <v>28</v>
      </c>
      <c r="J348" t="s">
        <v>35</v>
      </c>
      <c r="K348" t="s">
        <v>33</v>
      </c>
      <c r="L348" t="s">
        <v>29</v>
      </c>
      <c r="M348" t="s">
        <v>23</v>
      </c>
      <c r="N348">
        <v>0</v>
      </c>
      <c r="O348">
        <v>1</v>
      </c>
      <c r="P348" s="8">
        <f>INT(Delivery_data[[#This Row],[Order Timestamp]])</f>
        <v>45176</v>
      </c>
      <c r="Q348">
        <f ca="1">IF(Delivery_data[[#This Row],[Order Status]]="In Progress", TODAY()-Delivery_data[[#This Row],[Order Date]], "")</f>
        <v>807</v>
      </c>
      <c r="R348">
        <f>IF(Delivery_data[[#This Row],[On Time]]=1,0,1)</f>
        <v>1</v>
      </c>
    </row>
    <row r="349" spans="1:18" x14ac:dyDescent="0.35">
      <c r="A349">
        <v>1128</v>
      </c>
      <c r="B349" t="s">
        <v>474</v>
      </c>
      <c r="C349" s="1">
        <v>45172.497916666667</v>
      </c>
      <c r="D349" t="s">
        <v>25</v>
      </c>
      <c r="E349" t="s">
        <v>134</v>
      </c>
      <c r="F349" t="s">
        <v>18</v>
      </c>
      <c r="G349" t="s">
        <v>463</v>
      </c>
      <c r="H349">
        <v>117</v>
      </c>
      <c r="I349">
        <v>10</v>
      </c>
      <c r="J349" t="s">
        <v>27</v>
      </c>
      <c r="K349" t="s">
        <v>51</v>
      </c>
      <c r="L349" t="s">
        <v>29</v>
      </c>
      <c r="M349" t="s">
        <v>23</v>
      </c>
      <c r="N349">
        <v>0</v>
      </c>
      <c r="O349">
        <v>0</v>
      </c>
      <c r="P349" s="8">
        <f>INT(Delivery_data[[#This Row],[Order Timestamp]])</f>
        <v>45172</v>
      </c>
      <c r="Q349" t="str">
        <f ca="1">IF(Delivery_data[[#This Row],[Order Status]]="In Progress", TODAY()-Delivery_data[[#This Row],[Order Date]], "")</f>
        <v/>
      </c>
      <c r="R349">
        <f>IF(Delivery_data[[#This Row],[On Time]]=1,0,1)</f>
        <v>1</v>
      </c>
    </row>
    <row r="350" spans="1:18" x14ac:dyDescent="0.35">
      <c r="A350">
        <v>1136</v>
      </c>
      <c r="B350" t="s">
        <v>475</v>
      </c>
      <c r="C350" s="1">
        <v>45175.35833333333</v>
      </c>
      <c r="D350" t="s">
        <v>16</v>
      </c>
      <c r="E350" t="s">
        <v>225</v>
      </c>
      <c r="F350" t="s">
        <v>18</v>
      </c>
      <c r="G350" t="s">
        <v>463</v>
      </c>
      <c r="H350">
        <v>217</v>
      </c>
      <c r="I350">
        <v>27</v>
      </c>
      <c r="J350" t="s">
        <v>27</v>
      </c>
      <c r="K350" t="s">
        <v>21</v>
      </c>
      <c r="L350" t="s">
        <v>29</v>
      </c>
      <c r="M350" t="s">
        <v>30</v>
      </c>
      <c r="N350">
        <v>0</v>
      </c>
      <c r="O350">
        <v>0</v>
      </c>
      <c r="P350" s="8">
        <f>INT(Delivery_data[[#This Row],[Order Timestamp]])</f>
        <v>45175</v>
      </c>
      <c r="Q350">
        <f ca="1">IF(Delivery_data[[#This Row],[Order Status]]="In Progress", TODAY()-Delivery_data[[#This Row],[Order Date]], "")</f>
        <v>808</v>
      </c>
      <c r="R350">
        <f>IF(Delivery_data[[#This Row],[On Time]]=1,0,1)</f>
        <v>1</v>
      </c>
    </row>
    <row r="351" spans="1:18" x14ac:dyDescent="0.35">
      <c r="A351">
        <v>1160</v>
      </c>
      <c r="B351" t="s">
        <v>476</v>
      </c>
      <c r="C351" s="1">
        <v>45175.411111111112</v>
      </c>
      <c r="D351" t="s">
        <v>16</v>
      </c>
      <c r="E351" t="s">
        <v>271</v>
      </c>
      <c r="F351" t="s">
        <v>18</v>
      </c>
      <c r="G351" t="s">
        <v>463</v>
      </c>
      <c r="H351">
        <v>214</v>
      </c>
      <c r="I351">
        <v>14</v>
      </c>
      <c r="J351" t="s">
        <v>35</v>
      </c>
      <c r="K351" t="s">
        <v>51</v>
      </c>
      <c r="L351" t="s">
        <v>42</v>
      </c>
      <c r="M351" t="s">
        <v>30</v>
      </c>
      <c r="N351">
        <v>0</v>
      </c>
      <c r="O351">
        <v>1</v>
      </c>
      <c r="P351" s="8">
        <f>INT(Delivery_data[[#This Row],[Order Timestamp]])</f>
        <v>45175</v>
      </c>
      <c r="Q351">
        <f ca="1">IF(Delivery_data[[#This Row],[Order Status]]="In Progress", TODAY()-Delivery_data[[#This Row],[Order Date]], "")</f>
        <v>808</v>
      </c>
      <c r="R351">
        <f>IF(Delivery_data[[#This Row],[On Time]]=1,0,1)</f>
        <v>1</v>
      </c>
    </row>
    <row r="352" spans="1:18" x14ac:dyDescent="0.35">
      <c r="A352">
        <v>1197</v>
      </c>
      <c r="B352" t="s">
        <v>477</v>
      </c>
      <c r="C352" s="1">
        <v>45175.488888888889</v>
      </c>
      <c r="D352" t="s">
        <v>16</v>
      </c>
      <c r="E352" t="s">
        <v>204</v>
      </c>
      <c r="F352" t="s">
        <v>18</v>
      </c>
      <c r="G352" t="s">
        <v>463</v>
      </c>
      <c r="H352">
        <v>124</v>
      </c>
      <c r="I352">
        <v>13</v>
      </c>
      <c r="J352" t="s">
        <v>20</v>
      </c>
      <c r="K352" t="s">
        <v>33</v>
      </c>
      <c r="L352" t="s">
        <v>29</v>
      </c>
      <c r="M352" t="s">
        <v>23</v>
      </c>
      <c r="N352">
        <v>0</v>
      </c>
      <c r="O352">
        <v>0</v>
      </c>
      <c r="P352" s="8">
        <f>INT(Delivery_data[[#This Row],[Order Timestamp]])</f>
        <v>45175</v>
      </c>
      <c r="Q352">
        <f ca="1">IF(Delivery_data[[#This Row],[Order Status]]="In Progress", TODAY()-Delivery_data[[#This Row],[Order Date]], "")</f>
        <v>808</v>
      </c>
      <c r="R352">
        <f>IF(Delivery_data[[#This Row],[On Time]]=1,0,1)</f>
        <v>1</v>
      </c>
    </row>
    <row r="353" spans="1:18" x14ac:dyDescent="0.35">
      <c r="A353">
        <v>1219</v>
      </c>
      <c r="B353" t="s">
        <v>478</v>
      </c>
      <c r="C353" s="1">
        <v>45171.695138888892</v>
      </c>
      <c r="D353" t="s">
        <v>25</v>
      </c>
      <c r="E353" t="s">
        <v>284</v>
      </c>
      <c r="F353" t="s">
        <v>18</v>
      </c>
      <c r="G353" t="s">
        <v>463</v>
      </c>
      <c r="H353">
        <v>223</v>
      </c>
      <c r="I353">
        <v>13</v>
      </c>
      <c r="J353" t="s">
        <v>35</v>
      </c>
      <c r="K353" t="s">
        <v>28</v>
      </c>
      <c r="L353" t="s">
        <v>29</v>
      </c>
      <c r="M353" t="s">
        <v>30</v>
      </c>
      <c r="N353">
        <v>0</v>
      </c>
      <c r="O353">
        <v>1</v>
      </c>
      <c r="P353" s="8">
        <f>INT(Delivery_data[[#This Row],[Order Timestamp]])</f>
        <v>45171</v>
      </c>
      <c r="Q353" t="str">
        <f ca="1">IF(Delivery_data[[#This Row],[Order Status]]="In Progress", TODAY()-Delivery_data[[#This Row],[Order Date]], "")</f>
        <v/>
      </c>
      <c r="R353">
        <f>IF(Delivery_data[[#This Row],[On Time]]=1,0,1)</f>
        <v>1</v>
      </c>
    </row>
    <row r="354" spans="1:18" x14ac:dyDescent="0.35">
      <c r="A354">
        <v>1241</v>
      </c>
      <c r="B354" t="s">
        <v>479</v>
      </c>
      <c r="C354" s="1">
        <v>45175.67083333333</v>
      </c>
      <c r="D354" t="s">
        <v>25</v>
      </c>
      <c r="E354" t="s">
        <v>181</v>
      </c>
      <c r="F354" t="s">
        <v>18</v>
      </c>
      <c r="G354" t="s">
        <v>463</v>
      </c>
      <c r="H354">
        <v>225</v>
      </c>
      <c r="I354">
        <v>5</v>
      </c>
      <c r="J354" t="s">
        <v>35</v>
      </c>
      <c r="K354" t="s">
        <v>33</v>
      </c>
      <c r="L354" t="s">
        <v>22</v>
      </c>
      <c r="M354" t="s">
        <v>23</v>
      </c>
      <c r="N354">
        <v>0</v>
      </c>
      <c r="O354">
        <v>1</v>
      </c>
      <c r="P354" s="8">
        <f>INT(Delivery_data[[#This Row],[Order Timestamp]])</f>
        <v>45175</v>
      </c>
      <c r="Q354" t="str">
        <f ca="1">IF(Delivery_data[[#This Row],[Order Status]]="In Progress", TODAY()-Delivery_data[[#This Row],[Order Date]], "")</f>
        <v/>
      </c>
      <c r="R354">
        <f>IF(Delivery_data[[#This Row],[On Time]]=1,0,1)</f>
        <v>1</v>
      </c>
    </row>
    <row r="355" spans="1:18" x14ac:dyDescent="0.35">
      <c r="A355">
        <v>1251</v>
      </c>
      <c r="B355" t="s">
        <v>480</v>
      </c>
      <c r="C355" s="1">
        <v>45173.638194444444</v>
      </c>
      <c r="D355" t="s">
        <v>25</v>
      </c>
      <c r="E355" t="s">
        <v>32</v>
      </c>
      <c r="F355" t="s">
        <v>18</v>
      </c>
      <c r="G355" t="s">
        <v>463</v>
      </c>
      <c r="H355">
        <v>79</v>
      </c>
      <c r="I355">
        <v>26</v>
      </c>
      <c r="J355" t="s">
        <v>27</v>
      </c>
      <c r="K355" t="s">
        <v>38</v>
      </c>
      <c r="L355" t="s">
        <v>42</v>
      </c>
      <c r="M355" t="s">
        <v>30</v>
      </c>
      <c r="N355">
        <v>0</v>
      </c>
      <c r="O355">
        <v>0</v>
      </c>
      <c r="P355" s="8">
        <f>INT(Delivery_data[[#This Row],[Order Timestamp]])</f>
        <v>45173</v>
      </c>
      <c r="Q355" t="str">
        <f ca="1">IF(Delivery_data[[#This Row],[Order Status]]="In Progress", TODAY()-Delivery_data[[#This Row],[Order Date]], "")</f>
        <v/>
      </c>
      <c r="R355">
        <f>IF(Delivery_data[[#This Row],[On Time]]=1,0,1)</f>
        <v>1</v>
      </c>
    </row>
    <row r="356" spans="1:18" x14ac:dyDescent="0.35">
      <c r="A356">
        <v>1265</v>
      </c>
      <c r="B356" t="s">
        <v>481</v>
      </c>
      <c r="C356" s="1">
        <v>45170.625694444447</v>
      </c>
      <c r="D356" t="s">
        <v>25</v>
      </c>
      <c r="E356" t="s">
        <v>113</v>
      </c>
      <c r="F356" t="s">
        <v>18</v>
      </c>
      <c r="G356" t="s">
        <v>463</v>
      </c>
      <c r="H356">
        <v>123</v>
      </c>
      <c r="I356">
        <v>2</v>
      </c>
      <c r="J356" t="s">
        <v>27</v>
      </c>
      <c r="K356" t="s">
        <v>51</v>
      </c>
      <c r="L356" t="s">
        <v>42</v>
      </c>
      <c r="M356" t="s">
        <v>30</v>
      </c>
      <c r="N356">
        <v>0</v>
      </c>
      <c r="O356">
        <v>0</v>
      </c>
      <c r="P356" s="8">
        <f>INT(Delivery_data[[#This Row],[Order Timestamp]])</f>
        <v>45170</v>
      </c>
      <c r="Q356" t="str">
        <f ca="1">IF(Delivery_data[[#This Row],[Order Status]]="In Progress", TODAY()-Delivery_data[[#This Row],[Order Date]], "")</f>
        <v/>
      </c>
      <c r="R356">
        <f>IF(Delivery_data[[#This Row],[On Time]]=1,0,1)</f>
        <v>1</v>
      </c>
    </row>
    <row r="357" spans="1:18" x14ac:dyDescent="0.35">
      <c r="A357">
        <v>1271</v>
      </c>
      <c r="B357" t="s">
        <v>482</v>
      </c>
      <c r="C357" s="1">
        <v>45174.629861111112</v>
      </c>
      <c r="D357" t="s">
        <v>16</v>
      </c>
      <c r="E357" t="s">
        <v>41</v>
      </c>
      <c r="F357" t="s">
        <v>18</v>
      </c>
      <c r="G357" t="s">
        <v>463</v>
      </c>
      <c r="H357">
        <v>187</v>
      </c>
      <c r="I357">
        <v>16</v>
      </c>
      <c r="J357" t="s">
        <v>35</v>
      </c>
      <c r="K357" t="s">
        <v>51</v>
      </c>
      <c r="L357" t="s">
        <v>22</v>
      </c>
      <c r="M357" t="s">
        <v>23</v>
      </c>
      <c r="N357">
        <v>0</v>
      </c>
      <c r="O357">
        <v>1</v>
      </c>
      <c r="P357" s="8">
        <f>INT(Delivery_data[[#This Row],[Order Timestamp]])</f>
        <v>45174</v>
      </c>
      <c r="Q357">
        <f ca="1">IF(Delivery_data[[#This Row],[Order Status]]="In Progress", TODAY()-Delivery_data[[#This Row],[Order Date]], "")</f>
        <v>809</v>
      </c>
      <c r="R357">
        <f>IF(Delivery_data[[#This Row],[On Time]]=1,0,1)</f>
        <v>1</v>
      </c>
    </row>
    <row r="358" spans="1:18" x14ac:dyDescent="0.35">
      <c r="A358">
        <v>1306</v>
      </c>
      <c r="B358" t="s">
        <v>483</v>
      </c>
      <c r="C358" s="1">
        <v>45176.707638888889</v>
      </c>
      <c r="D358" t="s">
        <v>16</v>
      </c>
      <c r="E358" t="s">
        <v>245</v>
      </c>
      <c r="F358" t="s">
        <v>18</v>
      </c>
      <c r="G358" t="s">
        <v>463</v>
      </c>
      <c r="H358">
        <v>171</v>
      </c>
      <c r="I358">
        <v>15</v>
      </c>
      <c r="J358" t="s">
        <v>35</v>
      </c>
      <c r="K358" t="s">
        <v>28</v>
      </c>
      <c r="L358" t="s">
        <v>29</v>
      </c>
      <c r="M358" t="s">
        <v>23</v>
      </c>
      <c r="N358">
        <v>0</v>
      </c>
      <c r="O358">
        <v>1</v>
      </c>
      <c r="P358" s="8">
        <f>INT(Delivery_data[[#This Row],[Order Timestamp]])</f>
        <v>45176</v>
      </c>
      <c r="Q358">
        <f ca="1">IF(Delivery_data[[#This Row],[Order Status]]="In Progress", TODAY()-Delivery_data[[#This Row],[Order Date]], "")</f>
        <v>807</v>
      </c>
      <c r="R358">
        <f>IF(Delivery_data[[#This Row],[On Time]]=1,0,1)</f>
        <v>1</v>
      </c>
    </row>
    <row r="359" spans="1:18" x14ac:dyDescent="0.35">
      <c r="A359">
        <v>1310</v>
      </c>
      <c r="B359" t="s">
        <v>484</v>
      </c>
      <c r="C359" s="1">
        <v>45173.688888888886</v>
      </c>
      <c r="D359" t="s">
        <v>16</v>
      </c>
      <c r="E359" t="s">
        <v>165</v>
      </c>
      <c r="F359" t="s">
        <v>18</v>
      </c>
      <c r="G359" t="s">
        <v>463</v>
      </c>
      <c r="H359">
        <v>227</v>
      </c>
      <c r="I359">
        <v>12</v>
      </c>
      <c r="J359" t="s">
        <v>35</v>
      </c>
      <c r="K359" t="s">
        <v>33</v>
      </c>
      <c r="L359" t="s">
        <v>29</v>
      </c>
      <c r="M359" t="s">
        <v>39</v>
      </c>
      <c r="N359">
        <v>0</v>
      </c>
      <c r="O359">
        <v>1</v>
      </c>
      <c r="P359" s="8">
        <f>INT(Delivery_data[[#This Row],[Order Timestamp]])</f>
        <v>45173</v>
      </c>
      <c r="Q359">
        <f ca="1">IF(Delivery_data[[#This Row],[Order Status]]="In Progress", TODAY()-Delivery_data[[#This Row],[Order Date]], "")</f>
        <v>810</v>
      </c>
      <c r="R359">
        <f>IF(Delivery_data[[#This Row],[On Time]]=1,0,1)</f>
        <v>1</v>
      </c>
    </row>
    <row r="360" spans="1:18" x14ac:dyDescent="0.35">
      <c r="A360">
        <v>1324</v>
      </c>
      <c r="B360" t="s">
        <v>485</v>
      </c>
      <c r="C360" s="1">
        <v>45176.656944444447</v>
      </c>
      <c r="D360" t="s">
        <v>16</v>
      </c>
      <c r="E360" t="s">
        <v>158</v>
      </c>
      <c r="F360" t="s">
        <v>18</v>
      </c>
      <c r="G360" t="s">
        <v>463</v>
      </c>
      <c r="H360">
        <v>119</v>
      </c>
      <c r="I360">
        <v>10</v>
      </c>
      <c r="J360" t="s">
        <v>20</v>
      </c>
      <c r="K360" t="s">
        <v>38</v>
      </c>
      <c r="L360" t="s">
        <v>29</v>
      </c>
      <c r="M360" t="s">
        <v>23</v>
      </c>
      <c r="N360">
        <v>0</v>
      </c>
      <c r="O360">
        <v>0</v>
      </c>
      <c r="P360" s="8">
        <f>INT(Delivery_data[[#This Row],[Order Timestamp]])</f>
        <v>45176</v>
      </c>
      <c r="Q360">
        <f ca="1">IF(Delivery_data[[#This Row],[Order Status]]="In Progress", TODAY()-Delivery_data[[#This Row],[Order Date]], "")</f>
        <v>807</v>
      </c>
      <c r="R360">
        <f>IF(Delivery_data[[#This Row],[On Time]]=1,0,1)</f>
        <v>1</v>
      </c>
    </row>
    <row r="361" spans="1:18" x14ac:dyDescent="0.35">
      <c r="A361">
        <v>1330</v>
      </c>
      <c r="B361" t="s">
        <v>486</v>
      </c>
      <c r="C361" s="1">
        <v>45177.584722222222</v>
      </c>
      <c r="D361" t="s">
        <v>16</v>
      </c>
      <c r="E361" t="s">
        <v>108</v>
      </c>
      <c r="F361" t="s">
        <v>18</v>
      </c>
      <c r="G361" t="s">
        <v>463</v>
      </c>
      <c r="H361">
        <v>84</v>
      </c>
      <c r="I361">
        <v>15</v>
      </c>
      <c r="J361" t="s">
        <v>35</v>
      </c>
      <c r="K361" t="s">
        <v>28</v>
      </c>
      <c r="L361" t="s">
        <v>29</v>
      </c>
      <c r="M361" t="s">
        <v>39</v>
      </c>
      <c r="N361">
        <v>0</v>
      </c>
      <c r="O361">
        <v>1</v>
      </c>
      <c r="P361" s="8">
        <f>INT(Delivery_data[[#This Row],[Order Timestamp]])</f>
        <v>45177</v>
      </c>
      <c r="Q361">
        <f ca="1">IF(Delivery_data[[#This Row],[Order Status]]="In Progress", TODAY()-Delivery_data[[#This Row],[Order Date]], "")</f>
        <v>806</v>
      </c>
      <c r="R361">
        <f>IF(Delivery_data[[#This Row],[On Time]]=1,0,1)</f>
        <v>1</v>
      </c>
    </row>
    <row r="362" spans="1:18" x14ac:dyDescent="0.35">
      <c r="A362">
        <v>1375</v>
      </c>
      <c r="B362" t="s">
        <v>487</v>
      </c>
      <c r="C362" s="1">
        <v>45170.526388888888</v>
      </c>
      <c r="D362" t="s">
        <v>16</v>
      </c>
      <c r="E362" t="s">
        <v>200</v>
      </c>
      <c r="F362" t="s">
        <v>18</v>
      </c>
      <c r="G362" t="s">
        <v>463</v>
      </c>
      <c r="H362">
        <v>61</v>
      </c>
      <c r="I362">
        <v>20</v>
      </c>
      <c r="J362" t="s">
        <v>27</v>
      </c>
      <c r="K362" t="s">
        <v>28</v>
      </c>
      <c r="L362" t="s">
        <v>22</v>
      </c>
      <c r="M362" t="s">
        <v>30</v>
      </c>
      <c r="N362">
        <v>0</v>
      </c>
      <c r="O362">
        <v>0</v>
      </c>
      <c r="P362" s="8">
        <f>INT(Delivery_data[[#This Row],[Order Timestamp]])</f>
        <v>45170</v>
      </c>
      <c r="Q362">
        <f ca="1">IF(Delivery_data[[#This Row],[Order Status]]="In Progress", TODAY()-Delivery_data[[#This Row],[Order Date]], "")</f>
        <v>813</v>
      </c>
      <c r="R362">
        <f>IF(Delivery_data[[#This Row],[On Time]]=1,0,1)</f>
        <v>1</v>
      </c>
    </row>
    <row r="363" spans="1:18" x14ac:dyDescent="0.35">
      <c r="A363">
        <v>1402</v>
      </c>
      <c r="B363" t="s">
        <v>488</v>
      </c>
      <c r="C363" s="1">
        <v>45174.334027777775</v>
      </c>
      <c r="D363" t="s">
        <v>16</v>
      </c>
      <c r="E363" t="s">
        <v>181</v>
      </c>
      <c r="F363" t="s">
        <v>18</v>
      </c>
      <c r="G363" t="s">
        <v>463</v>
      </c>
      <c r="H363">
        <v>216</v>
      </c>
      <c r="I363">
        <v>20</v>
      </c>
      <c r="J363" t="s">
        <v>35</v>
      </c>
      <c r="K363" t="s">
        <v>38</v>
      </c>
      <c r="L363" t="s">
        <v>29</v>
      </c>
      <c r="M363" t="s">
        <v>39</v>
      </c>
      <c r="N363">
        <v>0</v>
      </c>
      <c r="O363">
        <v>1</v>
      </c>
      <c r="P363" s="8">
        <f>INT(Delivery_data[[#This Row],[Order Timestamp]])</f>
        <v>45174</v>
      </c>
      <c r="Q363">
        <f ca="1">IF(Delivery_data[[#This Row],[Order Status]]="In Progress", TODAY()-Delivery_data[[#This Row],[Order Date]], "")</f>
        <v>809</v>
      </c>
      <c r="R363">
        <f>IF(Delivery_data[[#This Row],[On Time]]=1,0,1)</f>
        <v>1</v>
      </c>
    </row>
    <row r="364" spans="1:18" x14ac:dyDescent="0.35">
      <c r="A364">
        <v>1408</v>
      </c>
      <c r="B364" t="s">
        <v>489</v>
      </c>
      <c r="C364" s="1">
        <v>45176.347222222219</v>
      </c>
      <c r="D364" t="s">
        <v>25</v>
      </c>
      <c r="E364" t="s">
        <v>172</v>
      </c>
      <c r="F364" t="s">
        <v>18</v>
      </c>
      <c r="G364" t="s">
        <v>463</v>
      </c>
      <c r="H364">
        <v>178</v>
      </c>
      <c r="I364">
        <v>5</v>
      </c>
      <c r="J364" t="s">
        <v>20</v>
      </c>
      <c r="K364" t="s">
        <v>51</v>
      </c>
      <c r="L364" t="s">
        <v>29</v>
      </c>
      <c r="M364" t="s">
        <v>30</v>
      </c>
      <c r="N364">
        <v>0</v>
      </c>
      <c r="O364">
        <v>0</v>
      </c>
      <c r="P364" s="8">
        <f>INT(Delivery_data[[#This Row],[Order Timestamp]])</f>
        <v>45176</v>
      </c>
      <c r="Q364" t="str">
        <f ca="1">IF(Delivery_data[[#This Row],[Order Status]]="In Progress", TODAY()-Delivery_data[[#This Row],[Order Date]], "")</f>
        <v/>
      </c>
      <c r="R364">
        <f>IF(Delivery_data[[#This Row],[On Time]]=1,0,1)</f>
        <v>1</v>
      </c>
    </row>
    <row r="365" spans="1:18" x14ac:dyDescent="0.35">
      <c r="A365">
        <v>1455</v>
      </c>
      <c r="B365" t="s">
        <v>490</v>
      </c>
      <c r="C365" s="1">
        <v>45174.680555555555</v>
      </c>
      <c r="D365" t="s">
        <v>25</v>
      </c>
      <c r="E365" t="s">
        <v>41</v>
      </c>
      <c r="F365" t="s">
        <v>18</v>
      </c>
      <c r="G365" t="s">
        <v>463</v>
      </c>
      <c r="H365">
        <v>182</v>
      </c>
      <c r="I365">
        <v>15</v>
      </c>
      <c r="J365" t="s">
        <v>27</v>
      </c>
      <c r="K365" t="s">
        <v>21</v>
      </c>
      <c r="L365" t="s">
        <v>29</v>
      </c>
      <c r="M365" t="s">
        <v>23</v>
      </c>
      <c r="N365">
        <v>0</v>
      </c>
      <c r="O365">
        <v>0</v>
      </c>
      <c r="P365" s="8">
        <f>INT(Delivery_data[[#This Row],[Order Timestamp]])</f>
        <v>45174</v>
      </c>
      <c r="Q365" t="str">
        <f ca="1">IF(Delivery_data[[#This Row],[Order Status]]="In Progress", TODAY()-Delivery_data[[#This Row],[Order Date]], "")</f>
        <v/>
      </c>
      <c r="R365">
        <f>IF(Delivery_data[[#This Row],[On Time]]=1,0,1)</f>
        <v>1</v>
      </c>
    </row>
    <row r="366" spans="1:18" x14ac:dyDescent="0.35">
      <c r="A366">
        <v>1466</v>
      </c>
      <c r="B366" t="s">
        <v>491</v>
      </c>
      <c r="C366" s="1">
        <v>45173.616666666669</v>
      </c>
      <c r="D366" t="s">
        <v>16</v>
      </c>
      <c r="E366" t="s">
        <v>58</v>
      </c>
      <c r="F366" t="s">
        <v>18</v>
      </c>
      <c r="G366" t="s">
        <v>463</v>
      </c>
      <c r="H366">
        <v>178</v>
      </c>
      <c r="I366">
        <v>2</v>
      </c>
      <c r="J366" t="s">
        <v>20</v>
      </c>
      <c r="K366" t="s">
        <v>21</v>
      </c>
      <c r="L366" t="s">
        <v>22</v>
      </c>
      <c r="M366" t="s">
        <v>30</v>
      </c>
      <c r="N366">
        <v>0</v>
      </c>
      <c r="O366">
        <v>0</v>
      </c>
      <c r="P366" s="8">
        <f>INT(Delivery_data[[#This Row],[Order Timestamp]])</f>
        <v>45173</v>
      </c>
      <c r="Q366">
        <f ca="1">IF(Delivery_data[[#This Row],[Order Status]]="In Progress", TODAY()-Delivery_data[[#This Row],[Order Date]], "")</f>
        <v>810</v>
      </c>
      <c r="R366">
        <f>IF(Delivery_data[[#This Row],[On Time]]=1,0,1)</f>
        <v>1</v>
      </c>
    </row>
    <row r="367" spans="1:18" x14ac:dyDescent="0.35">
      <c r="A367">
        <v>1482</v>
      </c>
      <c r="B367" t="s">
        <v>492</v>
      </c>
      <c r="C367" s="1">
        <v>45171.679166666669</v>
      </c>
      <c r="D367" t="s">
        <v>16</v>
      </c>
      <c r="E367" t="s">
        <v>60</v>
      </c>
      <c r="F367" t="s">
        <v>18</v>
      </c>
      <c r="G367" t="s">
        <v>463</v>
      </c>
      <c r="H367">
        <v>222</v>
      </c>
      <c r="I367">
        <v>10</v>
      </c>
      <c r="J367" t="s">
        <v>20</v>
      </c>
      <c r="K367" t="s">
        <v>21</v>
      </c>
      <c r="L367" t="s">
        <v>42</v>
      </c>
      <c r="M367" t="s">
        <v>39</v>
      </c>
      <c r="N367">
        <v>0</v>
      </c>
      <c r="O367">
        <v>0</v>
      </c>
      <c r="P367" s="8">
        <f>INT(Delivery_data[[#This Row],[Order Timestamp]])</f>
        <v>45171</v>
      </c>
      <c r="Q367">
        <f ca="1">IF(Delivery_data[[#This Row],[Order Status]]="In Progress", TODAY()-Delivery_data[[#This Row],[Order Date]], "")</f>
        <v>812</v>
      </c>
      <c r="R367">
        <f>IF(Delivery_data[[#This Row],[On Time]]=1,0,1)</f>
        <v>1</v>
      </c>
    </row>
    <row r="368" spans="1:18" x14ac:dyDescent="0.35">
      <c r="A368">
        <v>1543</v>
      </c>
      <c r="B368" t="s">
        <v>493</v>
      </c>
      <c r="C368" s="1">
        <v>45177.5</v>
      </c>
      <c r="D368" t="s">
        <v>25</v>
      </c>
      <c r="E368" t="s">
        <v>56</v>
      </c>
      <c r="F368" t="s">
        <v>18</v>
      </c>
      <c r="G368" t="s">
        <v>463</v>
      </c>
      <c r="H368">
        <v>123</v>
      </c>
      <c r="I368">
        <v>10</v>
      </c>
      <c r="J368" t="s">
        <v>27</v>
      </c>
      <c r="K368" t="s">
        <v>33</v>
      </c>
      <c r="L368" t="s">
        <v>42</v>
      </c>
      <c r="M368" t="s">
        <v>39</v>
      </c>
      <c r="N368">
        <v>0</v>
      </c>
      <c r="O368">
        <v>0</v>
      </c>
      <c r="P368" s="8">
        <f>INT(Delivery_data[[#This Row],[Order Timestamp]])</f>
        <v>45177</v>
      </c>
      <c r="Q368" t="str">
        <f ca="1">IF(Delivery_data[[#This Row],[Order Status]]="In Progress", TODAY()-Delivery_data[[#This Row],[Order Date]], "")</f>
        <v/>
      </c>
      <c r="R368">
        <f>IF(Delivery_data[[#This Row],[On Time]]=1,0,1)</f>
        <v>1</v>
      </c>
    </row>
    <row r="369" spans="1:18" x14ac:dyDescent="0.35">
      <c r="A369">
        <v>1587</v>
      </c>
      <c r="B369" t="s">
        <v>494</v>
      </c>
      <c r="C369" s="1">
        <v>45175.499305555553</v>
      </c>
      <c r="D369" t="s">
        <v>16</v>
      </c>
      <c r="E369" t="s">
        <v>68</v>
      </c>
      <c r="F369" t="s">
        <v>18</v>
      </c>
      <c r="G369" t="s">
        <v>463</v>
      </c>
      <c r="H369">
        <v>178</v>
      </c>
      <c r="I369">
        <v>5</v>
      </c>
      <c r="J369" t="s">
        <v>27</v>
      </c>
      <c r="K369" t="s">
        <v>21</v>
      </c>
      <c r="L369" t="s">
        <v>42</v>
      </c>
      <c r="M369" t="s">
        <v>30</v>
      </c>
      <c r="N369">
        <v>0</v>
      </c>
      <c r="O369">
        <v>0</v>
      </c>
      <c r="P369" s="8">
        <f>INT(Delivery_data[[#This Row],[Order Timestamp]])</f>
        <v>45175</v>
      </c>
      <c r="Q369">
        <f ca="1">IF(Delivery_data[[#This Row],[Order Status]]="In Progress", TODAY()-Delivery_data[[#This Row],[Order Date]], "")</f>
        <v>808</v>
      </c>
      <c r="R369">
        <f>IF(Delivery_data[[#This Row],[On Time]]=1,0,1)</f>
        <v>1</v>
      </c>
    </row>
    <row r="370" spans="1:18" x14ac:dyDescent="0.35">
      <c r="A370">
        <v>1594</v>
      </c>
      <c r="B370" t="s">
        <v>495</v>
      </c>
      <c r="C370" s="1">
        <v>45172.396527777775</v>
      </c>
      <c r="D370" t="s">
        <v>25</v>
      </c>
      <c r="E370" t="s">
        <v>248</v>
      </c>
      <c r="F370" t="s">
        <v>18</v>
      </c>
      <c r="G370" t="s">
        <v>463</v>
      </c>
      <c r="H370">
        <v>169</v>
      </c>
      <c r="I370">
        <v>20</v>
      </c>
      <c r="J370" t="s">
        <v>20</v>
      </c>
      <c r="K370" t="s">
        <v>51</v>
      </c>
      <c r="L370" t="s">
        <v>22</v>
      </c>
      <c r="M370" t="s">
        <v>30</v>
      </c>
      <c r="N370">
        <v>0</v>
      </c>
      <c r="O370">
        <v>0</v>
      </c>
      <c r="P370" s="8">
        <f>INT(Delivery_data[[#This Row],[Order Timestamp]])</f>
        <v>45172</v>
      </c>
      <c r="Q370" t="str">
        <f ca="1">IF(Delivery_data[[#This Row],[Order Status]]="In Progress", TODAY()-Delivery_data[[#This Row],[Order Date]], "")</f>
        <v/>
      </c>
      <c r="R370">
        <f>IF(Delivery_data[[#This Row],[On Time]]=1,0,1)</f>
        <v>1</v>
      </c>
    </row>
    <row r="371" spans="1:18" x14ac:dyDescent="0.35">
      <c r="A371">
        <v>1668</v>
      </c>
      <c r="B371" t="s">
        <v>496</v>
      </c>
      <c r="C371" s="1">
        <v>45170.616666666669</v>
      </c>
      <c r="D371" t="s">
        <v>16</v>
      </c>
      <c r="E371" t="s">
        <v>113</v>
      </c>
      <c r="F371" t="s">
        <v>18</v>
      </c>
      <c r="G371" t="s">
        <v>463</v>
      </c>
      <c r="H371">
        <v>161</v>
      </c>
      <c r="I371">
        <v>21</v>
      </c>
      <c r="J371" t="s">
        <v>35</v>
      </c>
      <c r="K371" t="s">
        <v>33</v>
      </c>
      <c r="L371" t="s">
        <v>42</v>
      </c>
      <c r="M371" t="s">
        <v>23</v>
      </c>
      <c r="N371">
        <v>0</v>
      </c>
      <c r="O371">
        <v>1</v>
      </c>
      <c r="P371" s="8">
        <f>INT(Delivery_data[[#This Row],[Order Timestamp]])</f>
        <v>45170</v>
      </c>
      <c r="Q371">
        <f ca="1">IF(Delivery_data[[#This Row],[Order Status]]="In Progress", TODAY()-Delivery_data[[#This Row],[Order Date]], "")</f>
        <v>813</v>
      </c>
      <c r="R371">
        <f>IF(Delivery_data[[#This Row],[On Time]]=1,0,1)</f>
        <v>1</v>
      </c>
    </row>
    <row r="372" spans="1:18" x14ac:dyDescent="0.35">
      <c r="A372">
        <v>1677</v>
      </c>
      <c r="B372" t="s">
        <v>497</v>
      </c>
      <c r="C372" s="1">
        <v>45170.651388888888</v>
      </c>
      <c r="D372" t="s">
        <v>16</v>
      </c>
      <c r="E372" t="s">
        <v>225</v>
      </c>
      <c r="F372" t="s">
        <v>18</v>
      </c>
      <c r="G372" t="s">
        <v>463</v>
      </c>
      <c r="H372">
        <v>87</v>
      </c>
      <c r="I372">
        <v>16</v>
      </c>
      <c r="J372" t="s">
        <v>20</v>
      </c>
      <c r="K372" t="s">
        <v>33</v>
      </c>
      <c r="L372" t="s">
        <v>22</v>
      </c>
      <c r="M372" t="s">
        <v>23</v>
      </c>
      <c r="N372">
        <v>0</v>
      </c>
      <c r="O372">
        <v>0</v>
      </c>
      <c r="P372" s="8">
        <f>INT(Delivery_data[[#This Row],[Order Timestamp]])</f>
        <v>45170</v>
      </c>
      <c r="Q372">
        <f ca="1">IF(Delivery_data[[#This Row],[Order Status]]="In Progress", TODAY()-Delivery_data[[#This Row],[Order Date]], "")</f>
        <v>813</v>
      </c>
      <c r="R372">
        <f>IF(Delivery_data[[#This Row],[On Time]]=1,0,1)</f>
        <v>1</v>
      </c>
    </row>
    <row r="373" spans="1:18" x14ac:dyDescent="0.35">
      <c r="A373">
        <v>1686</v>
      </c>
      <c r="B373" t="s">
        <v>498</v>
      </c>
      <c r="C373" s="1">
        <v>45174.584722222222</v>
      </c>
      <c r="D373" t="s">
        <v>25</v>
      </c>
      <c r="E373" t="s">
        <v>165</v>
      </c>
      <c r="F373" t="s">
        <v>18</v>
      </c>
      <c r="G373" t="s">
        <v>463</v>
      </c>
      <c r="H373">
        <v>206</v>
      </c>
      <c r="I373">
        <v>3</v>
      </c>
      <c r="J373" t="s">
        <v>20</v>
      </c>
      <c r="K373" t="s">
        <v>51</v>
      </c>
      <c r="L373" t="s">
        <v>29</v>
      </c>
      <c r="M373" t="s">
        <v>23</v>
      </c>
      <c r="N373">
        <v>0</v>
      </c>
      <c r="O373">
        <v>0</v>
      </c>
      <c r="P373" s="8">
        <f>INT(Delivery_data[[#This Row],[Order Timestamp]])</f>
        <v>45174</v>
      </c>
      <c r="Q373" t="str">
        <f ca="1">IF(Delivery_data[[#This Row],[Order Status]]="In Progress", TODAY()-Delivery_data[[#This Row],[Order Date]], "")</f>
        <v/>
      </c>
      <c r="R373">
        <f>IF(Delivery_data[[#This Row],[On Time]]=1,0,1)</f>
        <v>1</v>
      </c>
    </row>
    <row r="374" spans="1:18" x14ac:dyDescent="0.35">
      <c r="A374">
        <v>1723</v>
      </c>
      <c r="B374" t="s">
        <v>499</v>
      </c>
      <c r="C374" s="1">
        <v>45171.339583333334</v>
      </c>
      <c r="D374" t="s">
        <v>16</v>
      </c>
      <c r="E374" t="s">
        <v>58</v>
      </c>
      <c r="F374" t="s">
        <v>18</v>
      </c>
      <c r="G374" t="s">
        <v>463</v>
      </c>
      <c r="H374">
        <v>112</v>
      </c>
      <c r="I374">
        <v>1</v>
      </c>
      <c r="J374" t="s">
        <v>27</v>
      </c>
      <c r="K374" t="s">
        <v>51</v>
      </c>
      <c r="L374" t="s">
        <v>42</v>
      </c>
      <c r="M374" t="s">
        <v>23</v>
      </c>
      <c r="N374">
        <v>0</v>
      </c>
      <c r="O374">
        <v>0</v>
      </c>
      <c r="P374" s="8">
        <f>INT(Delivery_data[[#This Row],[Order Timestamp]])</f>
        <v>45171</v>
      </c>
      <c r="Q374">
        <f ca="1">IF(Delivery_data[[#This Row],[Order Status]]="In Progress", TODAY()-Delivery_data[[#This Row],[Order Date]], "")</f>
        <v>812</v>
      </c>
      <c r="R374">
        <f>IF(Delivery_data[[#This Row],[On Time]]=1,0,1)</f>
        <v>1</v>
      </c>
    </row>
    <row r="375" spans="1:18" x14ac:dyDescent="0.35">
      <c r="A375">
        <v>1740</v>
      </c>
      <c r="B375" t="s">
        <v>500</v>
      </c>
      <c r="C375" s="1">
        <v>45170.426388888889</v>
      </c>
      <c r="D375" t="s">
        <v>16</v>
      </c>
      <c r="E375" t="s">
        <v>91</v>
      </c>
      <c r="F375" t="s">
        <v>18</v>
      </c>
      <c r="G375" t="s">
        <v>463</v>
      </c>
      <c r="H375">
        <v>159</v>
      </c>
      <c r="I375">
        <v>28</v>
      </c>
      <c r="J375" t="s">
        <v>35</v>
      </c>
      <c r="K375" t="s">
        <v>33</v>
      </c>
      <c r="L375" t="s">
        <v>29</v>
      </c>
      <c r="M375" t="s">
        <v>39</v>
      </c>
      <c r="N375">
        <v>0</v>
      </c>
      <c r="O375">
        <v>1</v>
      </c>
      <c r="P375" s="8">
        <f>INT(Delivery_data[[#This Row],[Order Timestamp]])</f>
        <v>45170</v>
      </c>
      <c r="Q375">
        <f ca="1">IF(Delivery_data[[#This Row],[Order Status]]="In Progress", TODAY()-Delivery_data[[#This Row],[Order Date]], "")</f>
        <v>813</v>
      </c>
      <c r="R375">
        <f>IF(Delivery_data[[#This Row],[On Time]]=1,0,1)</f>
        <v>1</v>
      </c>
    </row>
    <row r="376" spans="1:18" x14ac:dyDescent="0.35">
      <c r="A376">
        <v>1741</v>
      </c>
      <c r="B376" t="s">
        <v>501</v>
      </c>
      <c r="C376" s="1">
        <v>45176.425000000003</v>
      </c>
      <c r="D376" t="s">
        <v>25</v>
      </c>
      <c r="E376" t="s">
        <v>191</v>
      </c>
      <c r="F376" t="s">
        <v>18</v>
      </c>
      <c r="G376" t="s">
        <v>463</v>
      </c>
      <c r="H376">
        <v>181</v>
      </c>
      <c r="I376">
        <v>19</v>
      </c>
      <c r="J376" t="s">
        <v>20</v>
      </c>
      <c r="K376" t="s">
        <v>38</v>
      </c>
      <c r="L376" t="s">
        <v>22</v>
      </c>
      <c r="M376" t="s">
        <v>23</v>
      </c>
      <c r="N376">
        <v>0</v>
      </c>
      <c r="O376">
        <v>0</v>
      </c>
      <c r="P376" s="8">
        <f>INT(Delivery_data[[#This Row],[Order Timestamp]])</f>
        <v>45176</v>
      </c>
      <c r="Q376" t="str">
        <f ca="1">IF(Delivery_data[[#This Row],[Order Status]]="In Progress", TODAY()-Delivery_data[[#This Row],[Order Date]], "")</f>
        <v/>
      </c>
      <c r="R376">
        <f>IF(Delivery_data[[#This Row],[On Time]]=1,0,1)</f>
        <v>1</v>
      </c>
    </row>
    <row r="377" spans="1:18" x14ac:dyDescent="0.35">
      <c r="A377">
        <v>1779</v>
      </c>
      <c r="B377" t="s">
        <v>502</v>
      </c>
      <c r="C377" s="1">
        <v>45176.670138888891</v>
      </c>
      <c r="D377" t="s">
        <v>16</v>
      </c>
      <c r="E377" t="s">
        <v>212</v>
      </c>
      <c r="F377" t="s">
        <v>18</v>
      </c>
      <c r="G377" t="s">
        <v>463</v>
      </c>
      <c r="H377">
        <v>98</v>
      </c>
      <c r="I377">
        <v>1</v>
      </c>
      <c r="J377" t="s">
        <v>20</v>
      </c>
      <c r="K377" t="s">
        <v>21</v>
      </c>
      <c r="L377" t="s">
        <v>42</v>
      </c>
      <c r="M377" t="s">
        <v>23</v>
      </c>
      <c r="N377">
        <v>0</v>
      </c>
      <c r="O377">
        <v>0</v>
      </c>
      <c r="P377" s="8">
        <f>INT(Delivery_data[[#This Row],[Order Timestamp]])</f>
        <v>45176</v>
      </c>
      <c r="Q377">
        <f ca="1">IF(Delivery_data[[#This Row],[Order Status]]="In Progress", TODAY()-Delivery_data[[#This Row],[Order Date]], "")</f>
        <v>807</v>
      </c>
      <c r="R377">
        <f>IF(Delivery_data[[#This Row],[On Time]]=1,0,1)</f>
        <v>1</v>
      </c>
    </row>
    <row r="378" spans="1:18" x14ac:dyDescent="0.35">
      <c r="A378">
        <v>1822</v>
      </c>
      <c r="B378" t="s">
        <v>503</v>
      </c>
      <c r="C378" s="1">
        <v>45177.699305555558</v>
      </c>
      <c r="D378" t="s">
        <v>16</v>
      </c>
      <c r="E378" t="s">
        <v>212</v>
      </c>
      <c r="F378" t="s">
        <v>18</v>
      </c>
      <c r="G378" t="s">
        <v>463</v>
      </c>
      <c r="H378">
        <v>113</v>
      </c>
      <c r="I378">
        <v>8</v>
      </c>
      <c r="J378" t="s">
        <v>35</v>
      </c>
      <c r="K378" t="s">
        <v>38</v>
      </c>
      <c r="L378" t="s">
        <v>22</v>
      </c>
      <c r="M378" t="s">
        <v>30</v>
      </c>
      <c r="N378">
        <v>0</v>
      </c>
      <c r="O378">
        <v>1</v>
      </c>
      <c r="P378" s="8">
        <f>INT(Delivery_data[[#This Row],[Order Timestamp]])</f>
        <v>45177</v>
      </c>
      <c r="Q378">
        <f ca="1">IF(Delivery_data[[#This Row],[Order Status]]="In Progress", TODAY()-Delivery_data[[#This Row],[Order Date]], "")</f>
        <v>806</v>
      </c>
      <c r="R378">
        <f>IF(Delivery_data[[#This Row],[On Time]]=1,0,1)</f>
        <v>1</v>
      </c>
    </row>
    <row r="379" spans="1:18" x14ac:dyDescent="0.35">
      <c r="A379">
        <v>1830</v>
      </c>
      <c r="B379" t="s">
        <v>504</v>
      </c>
      <c r="C379" s="1">
        <v>45170.570833333331</v>
      </c>
      <c r="D379" t="s">
        <v>16</v>
      </c>
      <c r="E379" t="s">
        <v>447</v>
      </c>
      <c r="F379" t="s">
        <v>18</v>
      </c>
      <c r="G379" t="s">
        <v>463</v>
      </c>
      <c r="H379">
        <v>80</v>
      </c>
      <c r="I379">
        <v>8</v>
      </c>
      <c r="J379" t="s">
        <v>20</v>
      </c>
      <c r="K379" t="s">
        <v>51</v>
      </c>
      <c r="L379" t="s">
        <v>22</v>
      </c>
      <c r="M379" t="s">
        <v>23</v>
      </c>
      <c r="N379">
        <v>0</v>
      </c>
      <c r="O379">
        <v>0</v>
      </c>
      <c r="P379" s="8">
        <f>INT(Delivery_data[[#This Row],[Order Timestamp]])</f>
        <v>45170</v>
      </c>
      <c r="Q379">
        <f ca="1">IF(Delivery_data[[#This Row],[Order Status]]="In Progress", TODAY()-Delivery_data[[#This Row],[Order Date]], "")</f>
        <v>813</v>
      </c>
      <c r="R379">
        <f>IF(Delivery_data[[#This Row],[On Time]]=1,0,1)</f>
        <v>1</v>
      </c>
    </row>
    <row r="380" spans="1:18" x14ac:dyDescent="0.35">
      <c r="A380">
        <v>1840</v>
      </c>
      <c r="B380" t="s">
        <v>505</v>
      </c>
      <c r="C380" s="1">
        <v>45174.609027777777</v>
      </c>
      <c r="D380" t="s">
        <v>25</v>
      </c>
      <c r="E380" t="s">
        <v>209</v>
      </c>
      <c r="F380" t="s">
        <v>18</v>
      </c>
      <c r="G380" t="s">
        <v>463</v>
      </c>
      <c r="H380">
        <v>134</v>
      </c>
      <c r="I380">
        <v>5</v>
      </c>
      <c r="J380" t="s">
        <v>27</v>
      </c>
      <c r="K380" t="s">
        <v>21</v>
      </c>
      <c r="L380" t="s">
        <v>29</v>
      </c>
      <c r="M380" t="s">
        <v>39</v>
      </c>
      <c r="N380">
        <v>0</v>
      </c>
      <c r="O380">
        <v>0</v>
      </c>
      <c r="P380" s="8">
        <f>INT(Delivery_data[[#This Row],[Order Timestamp]])</f>
        <v>45174</v>
      </c>
      <c r="Q380" t="str">
        <f ca="1">IF(Delivery_data[[#This Row],[Order Status]]="In Progress", TODAY()-Delivery_data[[#This Row],[Order Date]], "")</f>
        <v/>
      </c>
      <c r="R380">
        <f>IF(Delivery_data[[#This Row],[On Time]]=1,0,1)</f>
        <v>1</v>
      </c>
    </row>
    <row r="381" spans="1:18" x14ac:dyDescent="0.35">
      <c r="A381">
        <v>1842</v>
      </c>
      <c r="B381" t="s">
        <v>294</v>
      </c>
      <c r="C381" s="1">
        <v>45175.477083333331</v>
      </c>
      <c r="D381" t="s">
        <v>25</v>
      </c>
      <c r="E381" t="s">
        <v>134</v>
      </c>
      <c r="F381" t="s">
        <v>18</v>
      </c>
      <c r="G381" t="s">
        <v>463</v>
      </c>
      <c r="H381">
        <v>121</v>
      </c>
      <c r="I381">
        <v>4</v>
      </c>
      <c r="J381" t="s">
        <v>20</v>
      </c>
      <c r="K381" t="s">
        <v>28</v>
      </c>
      <c r="L381" t="s">
        <v>42</v>
      </c>
      <c r="M381" t="s">
        <v>39</v>
      </c>
      <c r="N381">
        <v>0</v>
      </c>
      <c r="O381">
        <v>0</v>
      </c>
      <c r="P381" s="8">
        <f>INT(Delivery_data[[#This Row],[Order Timestamp]])</f>
        <v>45175</v>
      </c>
      <c r="Q381" t="str">
        <f ca="1">IF(Delivery_data[[#This Row],[Order Status]]="In Progress", TODAY()-Delivery_data[[#This Row],[Order Date]], "")</f>
        <v/>
      </c>
      <c r="R381">
        <f>IF(Delivery_data[[#This Row],[On Time]]=1,0,1)</f>
        <v>1</v>
      </c>
    </row>
    <row r="382" spans="1:18" x14ac:dyDescent="0.35">
      <c r="A382">
        <v>1853</v>
      </c>
      <c r="B382" t="s">
        <v>506</v>
      </c>
      <c r="C382" s="1">
        <v>45174.600694444445</v>
      </c>
      <c r="D382" t="s">
        <v>25</v>
      </c>
      <c r="E382" t="s">
        <v>37</v>
      </c>
      <c r="F382" t="s">
        <v>18</v>
      </c>
      <c r="G382" t="s">
        <v>463</v>
      </c>
      <c r="H382">
        <v>111</v>
      </c>
      <c r="I382">
        <v>4</v>
      </c>
      <c r="J382" t="s">
        <v>27</v>
      </c>
      <c r="K382" t="s">
        <v>38</v>
      </c>
      <c r="L382" t="s">
        <v>29</v>
      </c>
      <c r="M382" t="s">
        <v>30</v>
      </c>
      <c r="N382">
        <v>0</v>
      </c>
      <c r="O382">
        <v>0</v>
      </c>
      <c r="P382" s="8">
        <f>INT(Delivery_data[[#This Row],[Order Timestamp]])</f>
        <v>45174</v>
      </c>
      <c r="Q382" t="str">
        <f ca="1">IF(Delivery_data[[#This Row],[Order Status]]="In Progress", TODAY()-Delivery_data[[#This Row],[Order Date]], "")</f>
        <v/>
      </c>
      <c r="R382">
        <f>IF(Delivery_data[[#This Row],[On Time]]=1,0,1)</f>
        <v>1</v>
      </c>
    </row>
    <row r="383" spans="1:18" x14ac:dyDescent="0.35">
      <c r="A383">
        <v>1891</v>
      </c>
      <c r="B383" t="s">
        <v>507</v>
      </c>
      <c r="C383" s="1">
        <v>45170.555555555555</v>
      </c>
      <c r="D383" t="s">
        <v>25</v>
      </c>
      <c r="E383" t="s">
        <v>60</v>
      </c>
      <c r="F383" t="s">
        <v>18</v>
      </c>
      <c r="G383" t="s">
        <v>463</v>
      </c>
      <c r="H383">
        <v>232</v>
      </c>
      <c r="I383">
        <v>23</v>
      </c>
      <c r="J383" t="s">
        <v>27</v>
      </c>
      <c r="K383" t="s">
        <v>21</v>
      </c>
      <c r="L383" t="s">
        <v>29</v>
      </c>
      <c r="M383" t="s">
        <v>30</v>
      </c>
      <c r="N383">
        <v>0</v>
      </c>
      <c r="O383">
        <v>0</v>
      </c>
      <c r="P383" s="8">
        <f>INT(Delivery_data[[#This Row],[Order Timestamp]])</f>
        <v>45170</v>
      </c>
      <c r="Q383" t="str">
        <f ca="1">IF(Delivery_data[[#This Row],[Order Status]]="In Progress", TODAY()-Delivery_data[[#This Row],[Order Date]], "")</f>
        <v/>
      </c>
      <c r="R383">
        <f>IF(Delivery_data[[#This Row],[On Time]]=1,0,1)</f>
        <v>1</v>
      </c>
    </row>
    <row r="384" spans="1:18" x14ac:dyDescent="0.35">
      <c r="A384">
        <v>1895</v>
      </c>
      <c r="B384" t="s">
        <v>508</v>
      </c>
      <c r="C384" s="1">
        <v>45177.430555555555</v>
      </c>
      <c r="D384" t="s">
        <v>16</v>
      </c>
      <c r="E384" t="s">
        <v>258</v>
      </c>
      <c r="F384" t="s">
        <v>18</v>
      </c>
      <c r="G384" t="s">
        <v>463</v>
      </c>
      <c r="H384">
        <v>181</v>
      </c>
      <c r="I384">
        <v>11</v>
      </c>
      <c r="J384" t="s">
        <v>20</v>
      </c>
      <c r="K384" t="s">
        <v>38</v>
      </c>
      <c r="L384" t="s">
        <v>29</v>
      </c>
      <c r="M384" t="s">
        <v>23</v>
      </c>
      <c r="N384">
        <v>0</v>
      </c>
      <c r="O384">
        <v>0</v>
      </c>
      <c r="P384" s="8">
        <f>INT(Delivery_data[[#This Row],[Order Timestamp]])</f>
        <v>45177</v>
      </c>
      <c r="Q384">
        <f ca="1">IF(Delivery_data[[#This Row],[Order Status]]="In Progress", TODAY()-Delivery_data[[#This Row],[Order Date]], "")</f>
        <v>806</v>
      </c>
      <c r="R384">
        <f>IF(Delivery_data[[#This Row],[On Time]]=1,0,1)</f>
        <v>1</v>
      </c>
    </row>
    <row r="385" spans="1:18" x14ac:dyDescent="0.35">
      <c r="A385">
        <v>1903</v>
      </c>
      <c r="B385" t="s">
        <v>509</v>
      </c>
      <c r="C385" s="1">
        <v>45175.61041666667</v>
      </c>
      <c r="D385" t="s">
        <v>25</v>
      </c>
      <c r="E385" t="s">
        <v>175</v>
      </c>
      <c r="F385" t="s">
        <v>18</v>
      </c>
      <c r="G385" t="s">
        <v>463</v>
      </c>
      <c r="H385">
        <v>234</v>
      </c>
      <c r="I385">
        <v>28</v>
      </c>
      <c r="J385" t="s">
        <v>27</v>
      </c>
      <c r="K385" t="s">
        <v>21</v>
      </c>
      <c r="L385" t="s">
        <v>29</v>
      </c>
      <c r="M385" t="s">
        <v>39</v>
      </c>
      <c r="N385">
        <v>0</v>
      </c>
      <c r="O385">
        <v>0</v>
      </c>
      <c r="P385" s="8">
        <f>INT(Delivery_data[[#This Row],[Order Timestamp]])</f>
        <v>45175</v>
      </c>
      <c r="Q385" t="str">
        <f ca="1">IF(Delivery_data[[#This Row],[Order Status]]="In Progress", TODAY()-Delivery_data[[#This Row],[Order Date]], "")</f>
        <v/>
      </c>
      <c r="R385">
        <f>IF(Delivery_data[[#This Row],[On Time]]=1,0,1)</f>
        <v>1</v>
      </c>
    </row>
    <row r="386" spans="1:18" x14ac:dyDescent="0.35">
      <c r="A386">
        <v>1918</v>
      </c>
      <c r="B386" t="s">
        <v>510</v>
      </c>
      <c r="C386" s="1">
        <v>45175.397222222222</v>
      </c>
      <c r="D386" t="s">
        <v>25</v>
      </c>
      <c r="E386" t="s">
        <v>511</v>
      </c>
      <c r="F386" t="s">
        <v>18</v>
      </c>
      <c r="G386" t="s">
        <v>463</v>
      </c>
      <c r="H386">
        <v>106</v>
      </c>
      <c r="I386">
        <v>14</v>
      </c>
      <c r="J386" t="s">
        <v>27</v>
      </c>
      <c r="K386" t="s">
        <v>33</v>
      </c>
      <c r="L386" t="s">
        <v>22</v>
      </c>
      <c r="M386" t="s">
        <v>23</v>
      </c>
      <c r="N386">
        <v>0</v>
      </c>
      <c r="O386">
        <v>0</v>
      </c>
      <c r="P386" s="8">
        <f>INT(Delivery_data[[#This Row],[Order Timestamp]])</f>
        <v>45175</v>
      </c>
      <c r="Q386" t="str">
        <f ca="1">IF(Delivery_data[[#This Row],[Order Status]]="In Progress", TODAY()-Delivery_data[[#This Row],[Order Date]], "")</f>
        <v/>
      </c>
      <c r="R386">
        <f>IF(Delivery_data[[#This Row],[On Time]]=1,0,1)</f>
        <v>1</v>
      </c>
    </row>
    <row r="387" spans="1:18" x14ac:dyDescent="0.35">
      <c r="A387">
        <v>1934</v>
      </c>
      <c r="B387" t="s">
        <v>512</v>
      </c>
      <c r="C387" s="1">
        <v>45174.561111111114</v>
      </c>
      <c r="D387" t="s">
        <v>25</v>
      </c>
      <c r="E387" t="s">
        <v>78</v>
      </c>
      <c r="F387" t="s">
        <v>18</v>
      </c>
      <c r="G387" t="s">
        <v>463</v>
      </c>
      <c r="H387">
        <v>206</v>
      </c>
      <c r="I387">
        <v>13</v>
      </c>
      <c r="J387" t="s">
        <v>27</v>
      </c>
      <c r="K387" t="s">
        <v>38</v>
      </c>
      <c r="L387" t="s">
        <v>42</v>
      </c>
      <c r="M387" t="s">
        <v>39</v>
      </c>
      <c r="N387">
        <v>0</v>
      </c>
      <c r="O387">
        <v>0</v>
      </c>
      <c r="P387" s="8">
        <f>INT(Delivery_data[[#This Row],[Order Timestamp]])</f>
        <v>45174</v>
      </c>
      <c r="Q387" t="str">
        <f ca="1">IF(Delivery_data[[#This Row],[Order Status]]="In Progress", TODAY()-Delivery_data[[#This Row],[Order Date]], "")</f>
        <v/>
      </c>
      <c r="R387">
        <f>IF(Delivery_data[[#This Row],[On Time]]=1,0,1)</f>
        <v>1</v>
      </c>
    </row>
    <row r="388" spans="1:18" x14ac:dyDescent="0.35">
      <c r="A388">
        <v>1940</v>
      </c>
      <c r="B388" t="s">
        <v>513</v>
      </c>
      <c r="C388" s="1">
        <v>45172.695833333331</v>
      </c>
      <c r="D388" t="s">
        <v>16</v>
      </c>
      <c r="E388" t="s">
        <v>60</v>
      </c>
      <c r="F388" t="s">
        <v>18</v>
      </c>
      <c r="G388" t="s">
        <v>463</v>
      </c>
      <c r="H388">
        <v>143</v>
      </c>
      <c r="I388">
        <v>23</v>
      </c>
      <c r="J388" t="s">
        <v>35</v>
      </c>
      <c r="K388" t="s">
        <v>38</v>
      </c>
      <c r="L388" t="s">
        <v>42</v>
      </c>
      <c r="M388" t="s">
        <v>39</v>
      </c>
      <c r="N388">
        <v>0</v>
      </c>
      <c r="O388">
        <v>1</v>
      </c>
      <c r="P388" s="8">
        <f>INT(Delivery_data[[#This Row],[Order Timestamp]])</f>
        <v>45172</v>
      </c>
      <c r="Q388">
        <f ca="1">IF(Delivery_data[[#This Row],[Order Status]]="In Progress", TODAY()-Delivery_data[[#This Row],[Order Date]], "")</f>
        <v>811</v>
      </c>
      <c r="R388">
        <f>IF(Delivery_data[[#This Row],[On Time]]=1,0,1)</f>
        <v>1</v>
      </c>
    </row>
    <row r="389" spans="1:18" x14ac:dyDescent="0.35">
      <c r="A389">
        <v>1951</v>
      </c>
      <c r="B389" t="s">
        <v>514</v>
      </c>
      <c r="C389" s="1">
        <v>45174.495833333334</v>
      </c>
      <c r="D389" t="s">
        <v>25</v>
      </c>
      <c r="E389" t="s">
        <v>134</v>
      </c>
      <c r="F389" t="s">
        <v>18</v>
      </c>
      <c r="G389" t="s">
        <v>463</v>
      </c>
      <c r="H389">
        <v>207</v>
      </c>
      <c r="I389">
        <v>19</v>
      </c>
      <c r="J389" t="s">
        <v>20</v>
      </c>
      <c r="K389" t="s">
        <v>38</v>
      </c>
      <c r="L389" t="s">
        <v>22</v>
      </c>
      <c r="M389" t="s">
        <v>39</v>
      </c>
      <c r="N389">
        <v>0</v>
      </c>
      <c r="O389">
        <v>0</v>
      </c>
      <c r="P389" s="8">
        <f>INT(Delivery_data[[#This Row],[Order Timestamp]])</f>
        <v>45174</v>
      </c>
      <c r="Q389" t="str">
        <f ca="1">IF(Delivery_data[[#This Row],[Order Status]]="In Progress", TODAY()-Delivery_data[[#This Row],[Order Date]], "")</f>
        <v/>
      </c>
      <c r="R389">
        <f>IF(Delivery_data[[#This Row],[On Time]]=1,0,1)</f>
        <v>1</v>
      </c>
    </row>
    <row r="390" spans="1:18" x14ac:dyDescent="0.35">
      <c r="A390">
        <v>2014</v>
      </c>
      <c r="B390" t="s">
        <v>515</v>
      </c>
      <c r="C390" s="1">
        <v>45176.525000000001</v>
      </c>
      <c r="D390" t="s">
        <v>16</v>
      </c>
      <c r="E390" t="s">
        <v>37</v>
      </c>
      <c r="F390" t="s">
        <v>18</v>
      </c>
      <c r="G390" t="s">
        <v>463</v>
      </c>
      <c r="H390">
        <v>221</v>
      </c>
      <c r="I390">
        <v>8</v>
      </c>
      <c r="J390" t="s">
        <v>27</v>
      </c>
      <c r="K390" t="s">
        <v>21</v>
      </c>
      <c r="L390" t="s">
        <v>42</v>
      </c>
      <c r="M390" t="s">
        <v>39</v>
      </c>
      <c r="N390">
        <v>0</v>
      </c>
      <c r="O390">
        <v>0</v>
      </c>
      <c r="P390" s="8">
        <f>INT(Delivery_data[[#This Row],[Order Timestamp]])</f>
        <v>45176</v>
      </c>
      <c r="Q390">
        <f ca="1">IF(Delivery_data[[#This Row],[Order Status]]="In Progress", TODAY()-Delivery_data[[#This Row],[Order Date]], "")</f>
        <v>807</v>
      </c>
      <c r="R390">
        <f>IF(Delivery_data[[#This Row],[On Time]]=1,0,1)</f>
        <v>1</v>
      </c>
    </row>
    <row r="391" spans="1:18" x14ac:dyDescent="0.35">
      <c r="A391">
        <v>2016</v>
      </c>
      <c r="B391" t="s">
        <v>516</v>
      </c>
      <c r="C391" s="1">
        <v>45175.379861111112</v>
      </c>
      <c r="D391" t="s">
        <v>25</v>
      </c>
      <c r="E391" t="s">
        <v>110</v>
      </c>
      <c r="F391" t="s">
        <v>18</v>
      </c>
      <c r="G391" t="s">
        <v>463</v>
      </c>
      <c r="H391">
        <v>111</v>
      </c>
      <c r="I391">
        <v>8</v>
      </c>
      <c r="J391" t="s">
        <v>35</v>
      </c>
      <c r="K391" t="s">
        <v>51</v>
      </c>
      <c r="L391" t="s">
        <v>29</v>
      </c>
      <c r="M391" t="s">
        <v>39</v>
      </c>
      <c r="N391">
        <v>0</v>
      </c>
      <c r="O391">
        <v>1</v>
      </c>
      <c r="P391" s="8">
        <f>INT(Delivery_data[[#This Row],[Order Timestamp]])</f>
        <v>45175</v>
      </c>
      <c r="Q391" t="str">
        <f ca="1">IF(Delivery_data[[#This Row],[Order Status]]="In Progress", TODAY()-Delivery_data[[#This Row],[Order Date]], "")</f>
        <v/>
      </c>
      <c r="R391">
        <f>IF(Delivery_data[[#This Row],[On Time]]=1,0,1)</f>
        <v>1</v>
      </c>
    </row>
    <row r="392" spans="1:18" x14ac:dyDescent="0.35">
      <c r="A392">
        <v>2044</v>
      </c>
      <c r="B392" t="s">
        <v>517</v>
      </c>
      <c r="C392" s="1">
        <v>45177.375</v>
      </c>
      <c r="D392" t="s">
        <v>25</v>
      </c>
      <c r="E392" t="s">
        <v>225</v>
      </c>
      <c r="F392" t="s">
        <v>18</v>
      </c>
      <c r="G392" t="s">
        <v>463</v>
      </c>
      <c r="H392">
        <v>182</v>
      </c>
      <c r="I392">
        <v>17</v>
      </c>
      <c r="J392" t="s">
        <v>27</v>
      </c>
      <c r="K392" t="s">
        <v>51</v>
      </c>
      <c r="L392" t="s">
        <v>42</v>
      </c>
      <c r="M392" t="s">
        <v>30</v>
      </c>
      <c r="N392">
        <v>0</v>
      </c>
      <c r="O392">
        <v>0</v>
      </c>
      <c r="P392" s="8">
        <f>INT(Delivery_data[[#This Row],[Order Timestamp]])</f>
        <v>45177</v>
      </c>
      <c r="Q392" t="str">
        <f ca="1">IF(Delivery_data[[#This Row],[Order Status]]="In Progress", TODAY()-Delivery_data[[#This Row],[Order Date]], "")</f>
        <v/>
      </c>
      <c r="R392">
        <f>IF(Delivery_data[[#This Row],[On Time]]=1,0,1)</f>
        <v>1</v>
      </c>
    </row>
    <row r="393" spans="1:18" x14ac:dyDescent="0.35">
      <c r="A393">
        <v>2059</v>
      </c>
      <c r="B393" t="s">
        <v>518</v>
      </c>
      <c r="C393" s="1">
        <v>45171.380555555559</v>
      </c>
      <c r="D393" t="s">
        <v>25</v>
      </c>
      <c r="E393" t="s">
        <v>83</v>
      </c>
      <c r="F393" t="s">
        <v>18</v>
      </c>
      <c r="G393" t="s">
        <v>463</v>
      </c>
      <c r="H393">
        <v>183</v>
      </c>
      <c r="I393">
        <v>14</v>
      </c>
      <c r="J393" t="s">
        <v>27</v>
      </c>
      <c r="K393" t="s">
        <v>38</v>
      </c>
      <c r="L393" t="s">
        <v>22</v>
      </c>
      <c r="M393" t="s">
        <v>23</v>
      </c>
      <c r="N393">
        <v>0</v>
      </c>
      <c r="O393">
        <v>0</v>
      </c>
      <c r="P393" s="8">
        <f>INT(Delivery_data[[#This Row],[Order Timestamp]])</f>
        <v>45171</v>
      </c>
      <c r="Q393" t="str">
        <f ca="1">IF(Delivery_data[[#This Row],[Order Status]]="In Progress", TODAY()-Delivery_data[[#This Row],[Order Date]], "")</f>
        <v/>
      </c>
      <c r="R393">
        <f>IF(Delivery_data[[#This Row],[On Time]]=1,0,1)</f>
        <v>1</v>
      </c>
    </row>
    <row r="394" spans="1:18" x14ac:dyDescent="0.35">
      <c r="A394">
        <v>2069</v>
      </c>
      <c r="B394" t="s">
        <v>519</v>
      </c>
      <c r="C394" s="1">
        <v>45173.599999999999</v>
      </c>
      <c r="D394" t="s">
        <v>16</v>
      </c>
      <c r="E394" t="s">
        <v>200</v>
      </c>
      <c r="F394" t="s">
        <v>18</v>
      </c>
      <c r="G394" t="s">
        <v>463</v>
      </c>
      <c r="H394">
        <v>199</v>
      </c>
      <c r="I394">
        <v>9</v>
      </c>
      <c r="J394" t="s">
        <v>20</v>
      </c>
      <c r="K394" t="s">
        <v>33</v>
      </c>
      <c r="L394" t="s">
        <v>42</v>
      </c>
      <c r="M394" t="s">
        <v>39</v>
      </c>
      <c r="N394">
        <v>0</v>
      </c>
      <c r="O394">
        <v>0</v>
      </c>
      <c r="P394" s="8">
        <f>INT(Delivery_data[[#This Row],[Order Timestamp]])</f>
        <v>45173</v>
      </c>
      <c r="Q394">
        <f ca="1">IF(Delivery_data[[#This Row],[Order Status]]="In Progress", TODAY()-Delivery_data[[#This Row],[Order Date]], "")</f>
        <v>810</v>
      </c>
      <c r="R394">
        <f>IF(Delivery_data[[#This Row],[On Time]]=1,0,1)</f>
        <v>1</v>
      </c>
    </row>
    <row r="395" spans="1:18" x14ac:dyDescent="0.35">
      <c r="A395">
        <v>2085</v>
      </c>
      <c r="B395" t="s">
        <v>520</v>
      </c>
      <c r="C395" s="1">
        <v>45174.441666666666</v>
      </c>
      <c r="D395" t="s">
        <v>16</v>
      </c>
      <c r="E395" t="s">
        <v>134</v>
      </c>
      <c r="F395" t="s">
        <v>18</v>
      </c>
      <c r="G395" t="s">
        <v>463</v>
      </c>
      <c r="H395">
        <v>112</v>
      </c>
      <c r="I395">
        <v>13</v>
      </c>
      <c r="J395" t="s">
        <v>35</v>
      </c>
      <c r="K395" t="s">
        <v>38</v>
      </c>
      <c r="L395" t="s">
        <v>29</v>
      </c>
      <c r="M395" t="s">
        <v>39</v>
      </c>
      <c r="N395">
        <v>0</v>
      </c>
      <c r="O395">
        <v>1</v>
      </c>
      <c r="P395" s="8">
        <f>INT(Delivery_data[[#This Row],[Order Timestamp]])</f>
        <v>45174</v>
      </c>
      <c r="Q395">
        <f ca="1">IF(Delivery_data[[#This Row],[Order Status]]="In Progress", TODAY()-Delivery_data[[#This Row],[Order Date]], "")</f>
        <v>809</v>
      </c>
      <c r="R395">
        <f>IF(Delivery_data[[#This Row],[On Time]]=1,0,1)</f>
        <v>1</v>
      </c>
    </row>
    <row r="396" spans="1:18" x14ac:dyDescent="0.35">
      <c r="A396">
        <v>2088</v>
      </c>
      <c r="B396" t="s">
        <v>521</v>
      </c>
      <c r="C396" s="1">
        <v>45174.644444444442</v>
      </c>
      <c r="D396" t="s">
        <v>25</v>
      </c>
      <c r="E396" t="s">
        <v>152</v>
      </c>
      <c r="F396" t="s">
        <v>18</v>
      </c>
      <c r="G396" t="s">
        <v>463</v>
      </c>
      <c r="H396">
        <v>77</v>
      </c>
      <c r="I396">
        <v>21</v>
      </c>
      <c r="J396" t="s">
        <v>20</v>
      </c>
      <c r="K396" t="s">
        <v>21</v>
      </c>
      <c r="L396" t="s">
        <v>22</v>
      </c>
      <c r="M396" t="s">
        <v>39</v>
      </c>
      <c r="N396">
        <v>0</v>
      </c>
      <c r="O396">
        <v>0</v>
      </c>
      <c r="P396" s="8">
        <f>INT(Delivery_data[[#This Row],[Order Timestamp]])</f>
        <v>45174</v>
      </c>
      <c r="Q396" t="str">
        <f ca="1">IF(Delivery_data[[#This Row],[Order Status]]="In Progress", TODAY()-Delivery_data[[#This Row],[Order Date]], "")</f>
        <v/>
      </c>
      <c r="R396">
        <f>IF(Delivery_data[[#This Row],[On Time]]=1,0,1)</f>
        <v>1</v>
      </c>
    </row>
    <row r="397" spans="1:18" x14ac:dyDescent="0.35">
      <c r="A397">
        <v>2097</v>
      </c>
      <c r="B397" t="s">
        <v>522</v>
      </c>
      <c r="C397" s="1">
        <v>45175.436111111114</v>
      </c>
      <c r="D397" t="s">
        <v>16</v>
      </c>
      <c r="E397" t="s">
        <v>248</v>
      </c>
      <c r="F397" t="s">
        <v>18</v>
      </c>
      <c r="G397" t="s">
        <v>463</v>
      </c>
      <c r="H397">
        <v>168</v>
      </c>
      <c r="I397">
        <v>15</v>
      </c>
      <c r="J397" t="s">
        <v>35</v>
      </c>
      <c r="K397" t="s">
        <v>38</v>
      </c>
      <c r="L397" t="s">
        <v>29</v>
      </c>
      <c r="M397" t="s">
        <v>39</v>
      </c>
      <c r="N397">
        <v>0</v>
      </c>
      <c r="O397">
        <v>1</v>
      </c>
      <c r="P397" s="8">
        <f>INT(Delivery_data[[#This Row],[Order Timestamp]])</f>
        <v>45175</v>
      </c>
      <c r="Q397">
        <f ca="1">IF(Delivery_data[[#This Row],[Order Status]]="In Progress", TODAY()-Delivery_data[[#This Row],[Order Date]], "")</f>
        <v>808</v>
      </c>
      <c r="R397">
        <f>IF(Delivery_data[[#This Row],[On Time]]=1,0,1)</f>
        <v>1</v>
      </c>
    </row>
    <row r="398" spans="1:18" x14ac:dyDescent="0.35">
      <c r="A398">
        <v>2099</v>
      </c>
      <c r="B398" t="s">
        <v>523</v>
      </c>
      <c r="C398" s="1">
        <v>45172.439583333333</v>
      </c>
      <c r="D398" t="s">
        <v>16</v>
      </c>
      <c r="E398" t="s">
        <v>41</v>
      </c>
      <c r="F398" t="s">
        <v>18</v>
      </c>
      <c r="G398" t="s">
        <v>463</v>
      </c>
      <c r="H398">
        <v>237</v>
      </c>
      <c r="I398">
        <v>16</v>
      </c>
      <c r="J398" t="s">
        <v>35</v>
      </c>
      <c r="K398" t="s">
        <v>33</v>
      </c>
      <c r="L398" t="s">
        <v>22</v>
      </c>
      <c r="M398" t="s">
        <v>23</v>
      </c>
      <c r="N398">
        <v>0</v>
      </c>
      <c r="O398">
        <v>1</v>
      </c>
      <c r="P398" s="8">
        <f>INT(Delivery_data[[#This Row],[Order Timestamp]])</f>
        <v>45172</v>
      </c>
      <c r="Q398">
        <f ca="1">IF(Delivery_data[[#This Row],[Order Status]]="In Progress", TODAY()-Delivery_data[[#This Row],[Order Date]], "")</f>
        <v>811</v>
      </c>
      <c r="R398">
        <f>IF(Delivery_data[[#This Row],[On Time]]=1,0,1)</f>
        <v>1</v>
      </c>
    </row>
    <row r="399" spans="1:18" x14ac:dyDescent="0.35">
      <c r="A399">
        <v>2112</v>
      </c>
      <c r="B399" t="s">
        <v>524</v>
      </c>
      <c r="C399" s="1">
        <v>45170.497916666667</v>
      </c>
      <c r="D399" t="s">
        <v>16</v>
      </c>
      <c r="E399" t="s">
        <v>126</v>
      </c>
      <c r="F399" t="s">
        <v>18</v>
      </c>
      <c r="G399" t="s">
        <v>463</v>
      </c>
      <c r="H399">
        <v>64</v>
      </c>
      <c r="I399">
        <v>10</v>
      </c>
      <c r="J399" t="s">
        <v>20</v>
      </c>
      <c r="K399" t="s">
        <v>28</v>
      </c>
      <c r="L399" t="s">
        <v>22</v>
      </c>
      <c r="M399" t="s">
        <v>23</v>
      </c>
      <c r="N399">
        <v>0</v>
      </c>
      <c r="O399">
        <v>0</v>
      </c>
      <c r="P399" s="8">
        <f>INT(Delivery_data[[#This Row],[Order Timestamp]])</f>
        <v>45170</v>
      </c>
      <c r="Q399">
        <f ca="1">IF(Delivery_data[[#This Row],[Order Status]]="In Progress", TODAY()-Delivery_data[[#This Row],[Order Date]], "")</f>
        <v>813</v>
      </c>
      <c r="R399">
        <f>IF(Delivery_data[[#This Row],[On Time]]=1,0,1)</f>
        <v>1</v>
      </c>
    </row>
    <row r="400" spans="1:18" x14ac:dyDescent="0.35">
      <c r="A400">
        <v>2117</v>
      </c>
      <c r="B400" t="s">
        <v>525</v>
      </c>
      <c r="C400" s="1">
        <v>45173.631944444445</v>
      </c>
      <c r="D400" t="s">
        <v>25</v>
      </c>
      <c r="E400" t="s">
        <v>144</v>
      </c>
      <c r="F400" t="s">
        <v>18</v>
      </c>
      <c r="G400" t="s">
        <v>463</v>
      </c>
      <c r="H400">
        <v>184</v>
      </c>
      <c r="I400">
        <v>18</v>
      </c>
      <c r="J400" t="s">
        <v>20</v>
      </c>
      <c r="K400" t="s">
        <v>33</v>
      </c>
      <c r="L400" t="s">
        <v>42</v>
      </c>
      <c r="M400" t="s">
        <v>23</v>
      </c>
      <c r="N400">
        <v>0</v>
      </c>
      <c r="O400">
        <v>0</v>
      </c>
      <c r="P400" s="8">
        <f>INT(Delivery_data[[#This Row],[Order Timestamp]])</f>
        <v>45173</v>
      </c>
      <c r="Q400" t="str">
        <f ca="1">IF(Delivery_data[[#This Row],[Order Status]]="In Progress", TODAY()-Delivery_data[[#This Row],[Order Date]], "")</f>
        <v/>
      </c>
      <c r="R400">
        <f>IF(Delivery_data[[#This Row],[On Time]]=1,0,1)</f>
        <v>1</v>
      </c>
    </row>
    <row r="401" spans="1:18" x14ac:dyDescent="0.35">
      <c r="A401">
        <v>2125</v>
      </c>
      <c r="B401" t="s">
        <v>526</v>
      </c>
      <c r="C401" s="1">
        <v>45176.352777777778</v>
      </c>
      <c r="D401" t="s">
        <v>16</v>
      </c>
      <c r="E401" t="s">
        <v>102</v>
      </c>
      <c r="F401" t="s">
        <v>18</v>
      </c>
      <c r="G401" t="s">
        <v>463</v>
      </c>
      <c r="H401">
        <v>154</v>
      </c>
      <c r="I401">
        <v>13</v>
      </c>
      <c r="J401" t="s">
        <v>27</v>
      </c>
      <c r="K401" t="s">
        <v>38</v>
      </c>
      <c r="L401" t="s">
        <v>42</v>
      </c>
      <c r="M401" t="s">
        <v>30</v>
      </c>
      <c r="N401">
        <v>0</v>
      </c>
      <c r="O401">
        <v>0</v>
      </c>
      <c r="P401" s="8">
        <f>INT(Delivery_data[[#This Row],[Order Timestamp]])</f>
        <v>45176</v>
      </c>
      <c r="Q401">
        <f ca="1">IF(Delivery_data[[#This Row],[Order Status]]="In Progress", TODAY()-Delivery_data[[#This Row],[Order Date]], "")</f>
        <v>807</v>
      </c>
      <c r="R401">
        <f>IF(Delivery_data[[#This Row],[On Time]]=1,0,1)</f>
        <v>1</v>
      </c>
    </row>
    <row r="402" spans="1:18" x14ac:dyDescent="0.35">
      <c r="A402">
        <v>2170</v>
      </c>
      <c r="B402" t="s">
        <v>527</v>
      </c>
      <c r="C402" s="1">
        <v>45175.371527777781</v>
      </c>
      <c r="D402" t="s">
        <v>25</v>
      </c>
      <c r="E402" t="s">
        <v>129</v>
      </c>
      <c r="F402" t="s">
        <v>18</v>
      </c>
      <c r="G402" t="s">
        <v>463</v>
      </c>
      <c r="H402">
        <v>164</v>
      </c>
      <c r="I402">
        <v>27</v>
      </c>
      <c r="J402" t="s">
        <v>27</v>
      </c>
      <c r="K402" t="s">
        <v>21</v>
      </c>
      <c r="L402" t="s">
        <v>29</v>
      </c>
      <c r="M402" t="s">
        <v>39</v>
      </c>
      <c r="N402">
        <v>0</v>
      </c>
      <c r="O402">
        <v>0</v>
      </c>
      <c r="P402" s="8">
        <f>INT(Delivery_data[[#This Row],[Order Timestamp]])</f>
        <v>45175</v>
      </c>
      <c r="Q402" t="str">
        <f ca="1">IF(Delivery_data[[#This Row],[Order Status]]="In Progress", TODAY()-Delivery_data[[#This Row],[Order Date]], "")</f>
        <v/>
      </c>
      <c r="R402">
        <f>IF(Delivery_data[[#This Row],[On Time]]=1,0,1)</f>
        <v>1</v>
      </c>
    </row>
    <row r="403" spans="1:18" x14ac:dyDescent="0.35">
      <c r="A403">
        <v>2179</v>
      </c>
      <c r="B403" t="s">
        <v>528</v>
      </c>
      <c r="C403" s="1">
        <v>45172.638888888891</v>
      </c>
      <c r="D403" t="s">
        <v>25</v>
      </c>
      <c r="E403" t="s">
        <v>279</v>
      </c>
      <c r="F403" t="s">
        <v>18</v>
      </c>
      <c r="G403" t="s">
        <v>463</v>
      </c>
      <c r="H403">
        <v>194</v>
      </c>
      <c r="I403">
        <v>6</v>
      </c>
      <c r="J403" t="s">
        <v>27</v>
      </c>
      <c r="K403" t="s">
        <v>51</v>
      </c>
      <c r="L403" t="s">
        <v>22</v>
      </c>
      <c r="M403" t="s">
        <v>30</v>
      </c>
      <c r="N403">
        <v>0</v>
      </c>
      <c r="O403">
        <v>0</v>
      </c>
      <c r="P403" s="8">
        <f>INT(Delivery_data[[#This Row],[Order Timestamp]])</f>
        <v>45172</v>
      </c>
      <c r="Q403" t="str">
        <f ca="1">IF(Delivery_data[[#This Row],[Order Status]]="In Progress", TODAY()-Delivery_data[[#This Row],[Order Date]], "")</f>
        <v/>
      </c>
      <c r="R403">
        <f>IF(Delivery_data[[#This Row],[On Time]]=1,0,1)</f>
        <v>1</v>
      </c>
    </row>
    <row r="404" spans="1:18" x14ac:dyDescent="0.35">
      <c r="A404">
        <v>2228</v>
      </c>
      <c r="B404" t="s">
        <v>529</v>
      </c>
      <c r="C404" s="1">
        <v>45174.376388888886</v>
      </c>
      <c r="D404" t="s">
        <v>16</v>
      </c>
      <c r="E404" t="s">
        <v>200</v>
      </c>
      <c r="F404" t="s">
        <v>18</v>
      </c>
      <c r="G404" t="s">
        <v>463</v>
      </c>
      <c r="H404">
        <v>145</v>
      </c>
      <c r="I404">
        <v>5</v>
      </c>
      <c r="J404" t="s">
        <v>27</v>
      </c>
      <c r="K404" t="s">
        <v>21</v>
      </c>
      <c r="L404" t="s">
        <v>42</v>
      </c>
      <c r="M404" t="s">
        <v>30</v>
      </c>
      <c r="N404">
        <v>0</v>
      </c>
      <c r="O404">
        <v>0</v>
      </c>
      <c r="P404" s="8">
        <f>INT(Delivery_data[[#This Row],[Order Timestamp]])</f>
        <v>45174</v>
      </c>
      <c r="Q404">
        <f ca="1">IF(Delivery_data[[#This Row],[Order Status]]="In Progress", TODAY()-Delivery_data[[#This Row],[Order Date]], "")</f>
        <v>809</v>
      </c>
      <c r="R404">
        <f>IF(Delivery_data[[#This Row],[On Time]]=1,0,1)</f>
        <v>1</v>
      </c>
    </row>
    <row r="405" spans="1:18" x14ac:dyDescent="0.35">
      <c r="A405">
        <v>2238</v>
      </c>
      <c r="B405" t="s">
        <v>530</v>
      </c>
      <c r="C405" s="1">
        <v>45176.343055555553</v>
      </c>
      <c r="D405" t="s">
        <v>25</v>
      </c>
      <c r="E405" t="s">
        <v>230</v>
      </c>
      <c r="F405" t="s">
        <v>18</v>
      </c>
      <c r="G405" t="s">
        <v>463</v>
      </c>
      <c r="H405">
        <v>217</v>
      </c>
      <c r="I405">
        <v>1</v>
      </c>
      <c r="J405" t="s">
        <v>20</v>
      </c>
      <c r="K405" t="s">
        <v>28</v>
      </c>
      <c r="L405" t="s">
        <v>29</v>
      </c>
      <c r="M405" t="s">
        <v>39</v>
      </c>
      <c r="N405">
        <v>0</v>
      </c>
      <c r="O405">
        <v>0</v>
      </c>
      <c r="P405" s="8">
        <f>INT(Delivery_data[[#This Row],[Order Timestamp]])</f>
        <v>45176</v>
      </c>
      <c r="Q405" t="str">
        <f ca="1">IF(Delivery_data[[#This Row],[Order Status]]="In Progress", TODAY()-Delivery_data[[#This Row],[Order Date]], "")</f>
        <v/>
      </c>
      <c r="R405">
        <f>IF(Delivery_data[[#This Row],[On Time]]=1,0,1)</f>
        <v>1</v>
      </c>
    </row>
    <row r="406" spans="1:18" x14ac:dyDescent="0.35">
      <c r="A406">
        <v>2251</v>
      </c>
      <c r="B406" t="s">
        <v>531</v>
      </c>
      <c r="C406" s="1">
        <v>45177.335416666669</v>
      </c>
      <c r="D406" t="s">
        <v>16</v>
      </c>
      <c r="E406" t="s">
        <v>80</v>
      </c>
      <c r="F406" t="s">
        <v>18</v>
      </c>
      <c r="G406" t="s">
        <v>463</v>
      </c>
      <c r="H406">
        <v>123</v>
      </c>
      <c r="I406">
        <v>4</v>
      </c>
      <c r="J406" t="s">
        <v>35</v>
      </c>
      <c r="K406" t="s">
        <v>33</v>
      </c>
      <c r="L406" t="s">
        <v>22</v>
      </c>
      <c r="M406" t="s">
        <v>23</v>
      </c>
      <c r="N406">
        <v>0</v>
      </c>
      <c r="O406">
        <v>1</v>
      </c>
      <c r="P406" s="8">
        <f>INT(Delivery_data[[#This Row],[Order Timestamp]])</f>
        <v>45177</v>
      </c>
      <c r="Q406">
        <f ca="1">IF(Delivery_data[[#This Row],[Order Status]]="In Progress", TODAY()-Delivery_data[[#This Row],[Order Date]], "")</f>
        <v>806</v>
      </c>
      <c r="R406">
        <f>IF(Delivery_data[[#This Row],[On Time]]=1,0,1)</f>
        <v>1</v>
      </c>
    </row>
    <row r="407" spans="1:18" x14ac:dyDescent="0.35">
      <c r="A407">
        <v>2252</v>
      </c>
      <c r="B407" t="s">
        <v>532</v>
      </c>
      <c r="C407" s="1">
        <v>45176.606944444444</v>
      </c>
      <c r="D407" t="s">
        <v>16</v>
      </c>
      <c r="E407" t="s">
        <v>346</v>
      </c>
      <c r="F407" t="s">
        <v>18</v>
      </c>
      <c r="G407" t="s">
        <v>463</v>
      </c>
      <c r="H407">
        <v>158</v>
      </c>
      <c r="I407">
        <v>1</v>
      </c>
      <c r="J407" t="s">
        <v>35</v>
      </c>
      <c r="K407" t="s">
        <v>33</v>
      </c>
      <c r="L407" t="s">
        <v>29</v>
      </c>
      <c r="M407" t="s">
        <v>23</v>
      </c>
      <c r="N407">
        <v>0</v>
      </c>
      <c r="O407">
        <v>1</v>
      </c>
      <c r="P407" s="8">
        <f>INT(Delivery_data[[#This Row],[Order Timestamp]])</f>
        <v>45176</v>
      </c>
      <c r="Q407">
        <f ca="1">IF(Delivery_data[[#This Row],[Order Status]]="In Progress", TODAY()-Delivery_data[[#This Row],[Order Date]], "")</f>
        <v>807</v>
      </c>
      <c r="R407">
        <f>IF(Delivery_data[[#This Row],[On Time]]=1,0,1)</f>
        <v>1</v>
      </c>
    </row>
    <row r="408" spans="1:18" x14ac:dyDescent="0.35">
      <c r="A408">
        <v>2295</v>
      </c>
      <c r="B408" t="s">
        <v>533</v>
      </c>
      <c r="C408" s="1">
        <v>45176.631249999999</v>
      </c>
      <c r="D408" t="s">
        <v>16</v>
      </c>
      <c r="E408" t="s">
        <v>169</v>
      </c>
      <c r="F408" t="s">
        <v>18</v>
      </c>
      <c r="G408" t="s">
        <v>463</v>
      </c>
      <c r="H408">
        <v>160</v>
      </c>
      <c r="I408">
        <v>28</v>
      </c>
      <c r="J408" t="s">
        <v>35</v>
      </c>
      <c r="K408" t="s">
        <v>33</v>
      </c>
      <c r="L408" t="s">
        <v>42</v>
      </c>
      <c r="M408" t="s">
        <v>23</v>
      </c>
      <c r="N408">
        <v>0</v>
      </c>
      <c r="O408">
        <v>1</v>
      </c>
      <c r="P408" s="8">
        <f>INT(Delivery_data[[#This Row],[Order Timestamp]])</f>
        <v>45176</v>
      </c>
      <c r="Q408">
        <f ca="1">IF(Delivery_data[[#This Row],[Order Status]]="In Progress", TODAY()-Delivery_data[[#This Row],[Order Date]], "")</f>
        <v>807</v>
      </c>
      <c r="R408">
        <f>IF(Delivery_data[[#This Row],[On Time]]=1,0,1)</f>
        <v>1</v>
      </c>
    </row>
    <row r="409" spans="1:18" x14ac:dyDescent="0.35">
      <c r="A409">
        <v>2301</v>
      </c>
      <c r="B409" t="s">
        <v>534</v>
      </c>
      <c r="C409" s="1">
        <v>45175.524305555555</v>
      </c>
      <c r="D409" t="s">
        <v>25</v>
      </c>
      <c r="E409" t="s">
        <v>216</v>
      </c>
      <c r="F409" t="s">
        <v>18</v>
      </c>
      <c r="G409" t="s">
        <v>463</v>
      </c>
      <c r="H409">
        <v>144</v>
      </c>
      <c r="I409">
        <v>23</v>
      </c>
      <c r="J409" t="s">
        <v>20</v>
      </c>
      <c r="K409" t="s">
        <v>28</v>
      </c>
      <c r="L409" t="s">
        <v>29</v>
      </c>
      <c r="M409" t="s">
        <v>23</v>
      </c>
      <c r="N409">
        <v>0</v>
      </c>
      <c r="O409">
        <v>0</v>
      </c>
      <c r="P409" s="8">
        <f>INT(Delivery_data[[#This Row],[Order Timestamp]])</f>
        <v>45175</v>
      </c>
      <c r="Q409" t="str">
        <f ca="1">IF(Delivery_data[[#This Row],[Order Status]]="In Progress", TODAY()-Delivery_data[[#This Row],[Order Date]], "")</f>
        <v/>
      </c>
      <c r="R409">
        <f>IF(Delivery_data[[#This Row],[On Time]]=1,0,1)</f>
        <v>1</v>
      </c>
    </row>
    <row r="410" spans="1:18" x14ac:dyDescent="0.35">
      <c r="A410">
        <v>2316</v>
      </c>
      <c r="B410" t="s">
        <v>535</v>
      </c>
      <c r="C410" s="1">
        <v>45176.626388888886</v>
      </c>
      <c r="D410" t="s">
        <v>16</v>
      </c>
      <c r="E410" t="s">
        <v>511</v>
      </c>
      <c r="F410" t="s">
        <v>18</v>
      </c>
      <c r="G410" t="s">
        <v>463</v>
      </c>
      <c r="H410">
        <v>99</v>
      </c>
      <c r="I410">
        <v>17</v>
      </c>
      <c r="J410" t="s">
        <v>27</v>
      </c>
      <c r="K410" t="s">
        <v>38</v>
      </c>
      <c r="L410" t="s">
        <v>29</v>
      </c>
      <c r="M410" t="s">
        <v>39</v>
      </c>
      <c r="N410">
        <v>0</v>
      </c>
      <c r="O410">
        <v>0</v>
      </c>
      <c r="P410" s="8">
        <f>INT(Delivery_data[[#This Row],[Order Timestamp]])</f>
        <v>45176</v>
      </c>
      <c r="Q410">
        <f ca="1">IF(Delivery_data[[#This Row],[Order Status]]="In Progress", TODAY()-Delivery_data[[#This Row],[Order Date]], "")</f>
        <v>807</v>
      </c>
      <c r="R410">
        <f>IF(Delivery_data[[#This Row],[On Time]]=1,0,1)</f>
        <v>1</v>
      </c>
    </row>
    <row r="411" spans="1:18" x14ac:dyDescent="0.35">
      <c r="A411">
        <v>2326</v>
      </c>
      <c r="B411" t="s">
        <v>536</v>
      </c>
      <c r="C411" s="1">
        <v>45172.458333333336</v>
      </c>
      <c r="D411" t="s">
        <v>16</v>
      </c>
      <c r="E411" t="s">
        <v>200</v>
      </c>
      <c r="F411" t="s">
        <v>18</v>
      </c>
      <c r="G411" t="s">
        <v>463</v>
      </c>
      <c r="H411">
        <v>230</v>
      </c>
      <c r="I411">
        <v>26</v>
      </c>
      <c r="J411" t="s">
        <v>35</v>
      </c>
      <c r="K411" t="s">
        <v>51</v>
      </c>
      <c r="L411" t="s">
        <v>22</v>
      </c>
      <c r="M411" t="s">
        <v>39</v>
      </c>
      <c r="N411">
        <v>0</v>
      </c>
      <c r="O411">
        <v>1</v>
      </c>
      <c r="P411" s="8">
        <f>INT(Delivery_data[[#This Row],[Order Timestamp]])</f>
        <v>45172</v>
      </c>
      <c r="Q411">
        <f ca="1">IF(Delivery_data[[#This Row],[Order Status]]="In Progress", TODAY()-Delivery_data[[#This Row],[Order Date]], "")</f>
        <v>811</v>
      </c>
      <c r="R411">
        <f>IF(Delivery_data[[#This Row],[On Time]]=1,0,1)</f>
        <v>1</v>
      </c>
    </row>
    <row r="412" spans="1:18" x14ac:dyDescent="0.35">
      <c r="A412">
        <v>2339</v>
      </c>
      <c r="B412" t="s">
        <v>537</v>
      </c>
      <c r="C412" s="1">
        <v>45172.6875</v>
      </c>
      <c r="D412" t="s">
        <v>16</v>
      </c>
      <c r="E412" t="s">
        <v>85</v>
      </c>
      <c r="F412" t="s">
        <v>18</v>
      </c>
      <c r="G412" t="s">
        <v>463</v>
      </c>
      <c r="H412">
        <v>145</v>
      </c>
      <c r="I412">
        <v>19</v>
      </c>
      <c r="J412" t="s">
        <v>27</v>
      </c>
      <c r="K412" t="s">
        <v>38</v>
      </c>
      <c r="L412" t="s">
        <v>22</v>
      </c>
      <c r="M412" t="s">
        <v>30</v>
      </c>
      <c r="N412">
        <v>0</v>
      </c>
      <c r="O412">
        <v>0</v>
      </c>
      <c r="P412" s="8">
        <f>INT(Delivery_data[[#This Row],[Order Timestamp]])</f>
        <v>45172</v>
      </c>
      <c r="Q412">
        <f ca="1">IF(Delivery_data[[#This Row],[Order Status]]="In Progress", TODAY()-Delivery_data[[#This Row],[Order Date]], "")</f>
        <v>811</v>
      </c>
      <c r="R412">
        <f>IF(Delivery_data[[#This Row],[On Time]]=1,0,1)</f>
        <v>1</v>
      </c>
    </row>
    <row r="413" spans="1:18" x14ac:dyDescent="0.35">
      <c r="A413">
        <v>2349</v>
      </c>
      <c r="B413" t="s">
        <v>538</v>
      </c>
      <c r="C413" s="1">
        <v>45172.35</v>
      </c>
      <c r="D413" t="s">
        <v>25</v>
      </c>
      <c r="E413" t="s">
        <v>222</v>
      </c>
      <c r="F413" t="s">
        <v>18</v>
      </c>
      <c r="G413" t="s">
        <v>463</v>
      </c>
      <c r="H413">
        <v>61</v>
      </c>
      <c r="I413">
        <v>27</v>
      </c>
      <c r="J413" t="s">
        <v>35</v>
      </c>
      <c r="K413" t="s">
        <v>21</v>
      </c>
      <c r="L413" t="s">
        <v>29</v>
      </c>
      <c r="M413" t="s">
        <v>30</v>
      </c>
      <c r="N413">
        <v>0</v>
      </c>
      <c r="O413">
        <v>1</v>
      </c>
      <c r="P413" s="8">
        <f>INT(Delivery_data[[#This Row],[Order Timestamp]])</f>
        <v>45172</v>
      </c>
      <c r="Q413" t="str">
        <f ca="1">IF(Delivery_data[[#This Row],[Order Status]]="In Progress", TODAY()-Delivery_data[[#This Row],[Order Date]], "")</f>
        <v/>
      </c>
      <c r="R413">
        <f>IF(Delivery_data[[#This Row],[On Time]]=1,0,1)</f>
        <v>1</v>
      </c>
    </row>
    <row r="414" spans="1:18" x14ac:dyDescent="0.35">
      <c r="A414">
        <v>2356</v>
      </c>
      <c r="B414" t="s">
        <v>539</v>
      </c>
      <c r="C414" s="1">
        <v>45173.552083333336</v>
      </c>
      <c r="D414" t="s">
        <v>25</v>
      </c>
      <c r="E414" t="s">
        <v>209</v>
      </c>
      <c r="F414" t="s">
        <v>18</v>
      </c>
      <c r="G414" t="s">
        <v>463</v>
      </c>
      <c r="H414">
        <v>180</v>
      </c>
      <c r="I414">
        <v>11</v>
      </c>
      <c r="J414" t="s">
        <v>27</v>
      </c>
      <c r="K414" t="s">
        <v>33</v>
      </c>
      <c r="L414" t="s">
        <v>42</v>
      </c>
      <c r="M414" t="s">
        <v>23</v>
      </c>
      <c r="N414">
        <v>0</v>
      </c>
      <c r="O414">
        <v>0</v>
      </c>
      <c r="P414" s="8">
        <f>INT(Delivery_data[[#This Row],[Order Timestamp]])</f>
        <v>45173</v>
      </c>
      <c r="Q414" t="str">
        <f ca="1">IF(Delivery_data[[#This Row],[Order Status]]="In Progress", TODAY()-Delivery_data[[#This Row],[Order Date]], "")</f>
        <v/>
      </c>
      <c r="R414">
        <f>IF(Delivery_data[[#This Row],[On Time]]=1,0,1)</f>
        <v>1</v>
      </c>
    </row>
    <row r="415" spans="1:18" x14ac:dyDescent="0.35">
      <c r="A415">
        <v>2357</v>
      </c>
      <c r="B415" t="s">
        <v>540</v>
      </c>
      <c r="C415" s="1">
        <v>45170.519444444442</v>
      </c>
      <c r="D415" t="s">
        <v>16</v>
      </c>
      <c r="E415" t="s">
        <v>541</v>
      </c>
      <c r="F415" t="s">
        <v>18</v>
      </c>
      <c r="G415" t="s">
        <v>463</v>
      </c>
      <c r="H415">
        <v>134</v>
      </c>
      <c r="I415">
        <v>17</v>
      </c>
      <c r="J415" t="s">
        <v>35</v>
      </c>
      <c r="K415" t="s">
        <v>21</v>
      </c>
      <c r="L415" t="s">
        <v>29</v>
      </c>
      <c r="M415" t="s">
        <v>30</v>
      </c>
      <c r="N415">
        <v>0</v>
      </c>
      <c r="O415">
        <v>1</v>
      </c>
      <c r="P415" s="8">
        <f>INT(Delivery_data[[#This Row],[Order Timestamp]])</f>
        <v>45170</v>
      </c>
      <c r="Q415">
        <f ca="1">IF(Delivery_data[[#This Row],[Order Status]]="In Progress", TODAY()-Delivery_data[[#This Row],[Order Date]], "")</f>
        <v>813</v>
      </c>
      <c r="R415">
        <f>IF(Delivery_data[[#This Row],[On Time]]=1,0,1)</f>
        <v>1</v>
      </c>
    </row>
    <row r="416" spans="1:18" x14ac:dyDescent="0.35">
      <c r="A416">
        <v>2369</v>
      </c>
      <c r="B416" t="s">
        <v>542</v>
      </c>
      <c r="C416" s="1">
        <v>45173.365972222222</v>
      </c>
      <c r="D416" t="s">
        <v>16</v>
      </c>
      <c r="E416" t="s">
        <v>126</v>
      </c>
      <c r="F416" t="s">
        <v>18</v>
      </c>
      <c r="G416" t="s">
        <v>463</v>
      </c>
      <c r="H416">
        <v>207</v>
      </c>
      <c r="I416">
        <v>2</v>
      </c>
      <c r="J416" t="s">
        <v>35</v>
      </c>
      <c r="K416" t="s">
        <v>21</v>
      </c>
      <c r="L416" t="s">
        <v>22</v>
      </c>
      <c r="M416" t="s">
        <v>39</v>
      </c>
      <c r="N416">
        <v>0</v>
      </c>
      <c r="O416">
        <v>1</v>
      </c>
      <c r="P416" s="8">
        <f>INT(Delivery_data[[#This Row],[Order Timestamp]])</f>
        <v>45173</v>
      </c>
      <c r="Q416">
        <f ca="1">IF(Delivery_data[[#This Row],[Order Status]]="In Progress", TODAY()-Delivery_data[[#This Row],[Order Date]], "")</f>
        <v>810</v>
      </c>
      <c r="R416">
        <f>IF(Delivery_data[[#This Row],[On Time]]=1,0,1)</f>
        <v>1</v>
      </c>
    </row>
    <row r="417" spans="1:18" x14ac:dyDescent="0.35">
      <c r="A417">
        <v>2372</v>
      </c>
      <c r="B417" t="s">
        <v>543</v>
      </c>
      <c r="C417" s="1">
        <v>45172.635416666664</v>
      </c>
      <c r="D417" t="s">
        <v>16</v>
      </c>
      <c r="E417" t="s">
        <v>165</v>
      </c>
      <c r="F417" t="s">
        <v>18</v>
      </c>
      <c r="G417" t="s">
        <v>463</v>
      </c>
      <c r="H417">
        <v>210</v>
      </c>
      <c r="I417">
        <v>21</v>
      </c>
      <c r="J417" t="s">
        <v>35</v>
      </c>
      <c r="K417" t="s">
        <v>21</v>
      </c>
      <c r="L417" t="s">
        <v>29</v>
      </c>
      <c r="M417" t="s">
        <v>23</v>
      </c>
      <c r="N417">
        <v>0</v>
      </c>
      <c r="O417">
        <v>1</v>
      </c>
      <c r="P417" s="8">
        <f>INT(Delivery_data[[#This Row],[Order Timestamp]])</f>
        <v>45172</v>
      </c>
      <c r="Q417">
        <f ca="1">IF(Delivery_data[[#This Row],[Order Status]]="In Progress", TODAY()-Delivery_data[[#This Row],[Order Date]], "")</f>
        <v>811</v>
      </c>
      <c r="R417">
        <f>IF(Delivery_data[[#This Row],[On Time]]=1,0,1)</f>
        <v>1</v>
      </c>
    </row>
    <row r="418" spans="1:18" x14ac:dyDescent="0.35">
      <c r="A418">
        <v>2378</v>
      </c>
      <c r="B418" t="s">
        <v>544</v>
      </c>
      <c r="C418" s="1">
        <v>45174.424305555556</v>
      </c>
      <c r="D418" t="s">
        <v>25</v>
      </c>
      <c r="E418" t="s">
        <v>184</v>
      </c>
      <c r="F418" t="s">
        <v>18</v>
      </c>
      <c r="G418" t="s">
        <v>463</v>
      </c>
      <c r="H418">
        <v>237</v>
      </c>
      <c r="I418">
        <v>9</v>
      </c>
      <c r="J418" t="s">
        <v>27</v>
      </c>
      <c r="K418" t="s">
        <v>21</v>
      </c>
      <c r="L418" t="s">
        <v>42</v>
      </c>
      <c r="M418" t="s">
        <v>23</v>
      </c>
      <c r="N418">
        <v>0</v>
      </c>
      <c r="O418">
        <v>0</v>
      </c>
      <c r="P418" s="8">
        <f>INT(Delivery_data[[#This Row],[Order Timestamp]])</f>
        <v>45174</v>
      </c>
      <c r="Q418" t="str">
        <f ca="1">IF(Delivery_data[[#This Row],[Order Status]]="In Progress", TODAY()-Delivery_data[[#This Row],[Order Date]], "")</f>
        <v/>
      </c>
      <c r="R418">
        <f>IF(Delivery_data[[#This Row],[On Time]]=1,0,1)</f>
        <v>1</v>
      </c>
    </row>
    <row r="419" spans="1:18" x14ac:dyDescent="0.35">
      <c r="A419">
        <v>2397</v>
      </c>
      <c r="B419" t="s">
        <v>545</v>
      </c>
      <c r="C419" s="1">
        <v>45173.347916666666</v>
      </c>
      <c r="D419" t="s">
        <v>25</v>
      </c>
      <c r="E419" t="s">
        <v>209</v>
      </c>
      <c r="F419" t="s">
        <v>18</v>
      </c>
      <c r="G419" t="s">
        <v>463</v>
      </c>
      <c r="H419">
        <v>101</v>
      </c>
      <c r="I419">
        <v>5</v>
      </c>
      <c r="J419" t="s">
        <v>27</v>
      </c>
      <c r="K419" t="s">
        <v>51</v>
      </c>
      <c r="L419" t="s">
        <v>29</v>
      </c>
      <c r="M419" t="s">
        <v>39</v>
      </c>
      <c r="N419">
        <v>0</v>
      </c>
      <c r="O419">
        <v>0</v>
      </c>
      <c r="P419" s="8">
        <f>INT(Delivery_data[[#This Row],[Order Timestamp]])</f>
        <v>45173</v>
      </c>
      <c r="Q419" t="str">
        <f ca="1">IF(Delivery_data[[#This Row],[Order Status]]="In Progress", TODAY()-Delivery_data[[#This Row],[Order Date]], "")</f>
        <v/>
      </c>
      <c r="R419">
        <f>IF(Delivery_data[[#This Row],[On Time]]=1,0,1)</f>
        <v>1</v>
      </c>
    </row>
    <row r="420" spans="1:18" x14ac:dyDescent="0.35">
      <c r="A420">
        <v>2408</v>
      </c>
      <c r="B420" t="s">
        <v>546</v>
      </c>
      <c r="C420" s="1">
        <v>45172.685416666667</v>
      </c>
      <c r="D420" t="s">
        <v>25</v>
      </c>
      <c r="E420" t="s">
        <v>287</v>
      </c>
      <c r="F420" t="s">
        <v>18</v>
      </c>
      <c r="G420" t="s">
        <v>463</v>
      </c>
      <c r="H420">
        <v>175</v>
      </c>
      <c r="I420">
        <v>13</v>
      </c>
      <c r="J420" t="s">
        <v>35</v>
      </c>
      <c r="K420" t="s">
        <v>51</v>
      </c>
      <c r="L420" t="s">
        <v>29</v>
      </c>
      <c r="M420" t="s">
        <v>30</v>
      </c>
      <c r="N420">
        <v>0</v>
      </c>
      <c r="O420">
        <v>1</v>
      </c>
      <c r="P420" s="8">
        <f>INT(Delivery_data[[#This Row],[Order Timestamp]])</f>
        <v>45172</v>
      </c>
      <c r="Q420" t="str">
        <f ca="1">IF(Delivery_data[[#This Row],[Order Status]]="In Progress", TODAY()-Delivery_data[[#This Row],[Order Date]], "")</f>
        <v/>
      </c>
      <c r="R420">
        <f>IF(Delivery_data[[#This Row],[On Time]]=1,0,1)</f>
        <v>1</v>
      </c>
    </row>
    <row r="421" spans="1:18" x14ac:dyDescent="0.35">
      <c r="A421">
        <v>2409</v>
      </c>
      <c r="B421" t="s">
        <v>547</v>
      </c>
      <c r="C421" s="1">
        <v>45171.571527777778</v>
      </c>
      <c r="D421" t="s">
        <v>16</v>
      </c>
      <c r="E421" t="s">
        <v>89</v>
      </c>
      <c r="F421" t="s">
        <v>18</v>
      </c>
      <c r="G421" t="s">
        <v>463</v>
      </c>
      <c r="H421">
        <v>195</v>
      </c>
      <c r="I421">
        <v>21</v>
      </c>
      <c r="J421" t="s">
        <v>35</v>
      </c>
      <c r="K421" t="s">
        <v>51</v>
      </c>
      <c r="L421" t="s">
        <v>22</v>
      </c>
      <c r="M421" t="s">
        <v>23</v>
      </c>
      <c r="N421">
        <v>0</v>
      </c>
      <c r="O421">
        <v>1</v>
      </c>
      <c r="P421" s="8">
        <f>INT(Delivery_data[[#This Row],[Order Timestamp]])</f>
        <v>45171</v>
      </c>
      <c r="Q421">
        <f ca="1">IF(Delivery_data[[#This Row],[Order Status]]="In Progress", TODAY()-Delivery_data[[#This Row],[Order Date]], "")</f>
        <v>812</v>
      </c>
      <c r="R421">
        <f>IF(Delivery_data[[#This Row],[On Time]]=1,0,1)</f>
        <v>1</v>
      </c>
    </row>
    <row r="422" spans="1:18" x14ac:dyDescent="0.35">
      <c r="A422">
        <v>2415</v>
      </c>
      <c r="B422" t="s">
        <v>548</v>
      </c>
      <c r="C422" s="1">
        <v>45171.397222222222</v>
      </c>
      <c r="D422" t="s">
        <v>16</v>
      </c>
      <c r="E422" t="s">
        <v>64</v>
      </c>
      <c r="F422" t="s">
        <v>18</v>
      </c>
      <c r="G422" t="s">
        <v>463</v>
      </c>
      <c r="H422">
        <v>198</v>
      </c>
      <c r="I422">
        <v>20</v>
      </c>
      <c r="J422" t="s">
        <v>20</v>
      </c>
      <c r="K422" t="s">
        <v>51</v>
      </c>
      <c r="L422" t="s">
        <v>29</v>
      </c>
      <c r="M422" t="s">
        <v>30</v>
      </c>
      <c r="N422">
        <v>0</v>
      </c>
      <c r="O422">
        <v>0</v>
      </c>
      <c r="P422" s="8">
        <f>INT(Delivery_data[[#This Row],[Order Timestamp]])</f>
        <v>45171</v>
      </c>
      <c r="Q422">
        <f ca="1">IF(Delivery_data[[#This Row],[Order Status]]="In Progress", TODAY()-Delivery_data[[#This Row],[Order Date]], "")</f>
        <v>812</v>
      </c>
      <c r="R422">
        <f>IF(Delivery_data[[#This Row],[On Time]]=1,0,1)</f>
        <v>1</v>
      </c>
    </row>
    <row r="423" spans="1:18" x14ac:dyDescent="0.35">
      <c r="A423">
        <v>2427</v>
      </c>
      <c r="B423" t="s">
        <v>549</v>
      </c>
      <c r="C423" s="1">
        <v>45170.338194444441</v>
      </c>
      <c r="D423" t="s">
        <v>25</v>
      </c>
      <c r="E423" t="s">
        <v>254</v>
      </c>
      <c r="F423" t="s">
        <v>18</v>
      </c>
      <c r="G423" t="s">
        <v>463</v>
      </c>
      <c r="H423">
        <v>166</v>
      </c>
      <c r="I423">
        <v>26</v>
      </c>
      <c r="J423" t="s">
        <v>20</v>
      </c>
      <c r="K423" t="s">
        <v>51</v>
      </c>
      <c r="L423" t="s">
        <v>29</v>
      </c>
      <c r="M423" t="s">
        <v>30</v>
      </c>
      <c r="N423">
        <v>0</v>
      </c>
      <c r="O423">
        <v>0</v>
      </c>
      <c r="P423" s="8">
        <f>INT(Delivery_data[[#This Row],[Order Timestamp]])</f>
        <v>45170</v>
      </c>
      <c r="Q423" t="str">
        <f ca="1">IF(Delivery_data[[#This Row],[Order Status]]="In Progress", TODAY()-Delivery_data[[#This Row],[Order Date]], "")</f>
        <v/>
      </c>
      <c r="R423">
        <f>IF(Delivery_data[[#This Row],[On Time]]=1,0,1)</f>
        <v>1</v>
      </c>
    </row>
    <row r="424" spans="1:18" x14ac:dyDescent="0.35">
      <c r="A424">
        <v>2443</v>
      </c>
      <c r="B424" t="s">
        <v>550</v>
      </c>
      <c r="C424" s="1">
        <v>45173.429861111108</v>
      </c>
      <c r="D424" t="s">
        <v>16</v>
      </c>
      <c r="E424" t="s">
        <v>26</v>
      </c>
      <c r="F424" t="s">
        <v>18</v>
      </c>
      <c r="G424" t="s">
        <v>463</v>
      </c>
      <c r="H424">
        <v>80</v>
      </c>
      <c r="I424">
        <v>7</v>
      </c>
      <c r="J424" t="s">
        <v>20</v>
      </c>
      <c r="K424" t="s">
        <v>51</v>
      </c>
      <c r="L424" t="s">
        <v>29</v>
      </c>
      <c r="M424" t="s">
        <v>23</v>
      </c>
      <c r="N424">
        <v>0</v>
      </c>
      <c r="O424">
        <v>0</v>
      </c>
      <c r="P424" s="8">
        <f>INT(Delivery_data[[#This Row],[Order Timestamp]])</f>
        <v>45173</v>
      </c>
      <c r="Q424">
        <f ca="1">IF(Delivery_data[[#This Row],[Order Status]]="In Progress", TODAY()-Delivery_data[[#This Row],[Order Date]], "")</f>
        <v>810</v>
      </c>
      <c r="R424">
        <f>IF(Delivery_data[[#This Row],[On Time]]=1,0,1)</f>
        <v>1</v>
      </c>
    </row>
    <row r="425" spans="1:18" x14ac:dyDescent="0.35">
      <c r="A425">
        <v>2444</v>
      </c>
      <c r="B425" t="s">
        <v>551</v>
      </c>
      <c r="C425" s="1">
        <v>45171.664583333331</v>
      </c>
      <c r="D425" t="s">
        <v>16</v>
      </c>
      <c r="E425" t="s">
        <v>44</v>
      </c>
      <c r="F425" t="s">
        <v>18</v>
      </c>
      <c r="G425" t="s">
        <v>463</v>
      </c>
      <c r="H425">
        <v>133</v>
      </c>
      <c r="I425">
        <v>15</v>
      </c>
      <c r="J425" t="s">
        <v>20</v>
      </c>
      <c r="K425" t="s">
        <v>51</v>
      </c>
      <c r="L425" t="s">
        <v>42</v>
      </c>
      <c r="M425" t="s">
        <v>30</v>
      </c>
      <c r="N425">
        <v>0</v>
      </c>
      <c r="O425">
        <v>0</v>
      </c>
      <c r="P425" s="8">
        <f>INT(Delivery_data[[#This Row],[Order Timestamp]])</f>
        <v>45171</v>
      </c>
      <c r="Q425">
        <f ca="1">IF(Delivery_data[[#This Row],[Order Status]]="In Progress", TODAY()-Delivery_data[[#This Row],[Order Date]], "")</f>
        <v>812</v>
      </c>
      <c r="R425">
        <f>IF(Delivery_data[[#This Row],[On Time]]=1,0,1)</f>
        <v>1</v>
      </c>
    </row>
    <row r="426" spans="1:18" x14ac:dyDescent="0.35">
      <c r="A426">
        <v>2456</v>
      </c>
      <c r="B426" t="s">
        <v>552</v>
      </c>
      <c r="C426" s="1">
        <v>45175.540277777778</v>
      </c>
      <c r="D426" t="s">
        <v>25</v>
      </c>
      <c r="E426" t="s">
        <v>258</v>
      </c>
      <c r="F426" t="s">
        <v>18</v>
      </c>
      <c r="G426" t="s">
        <v>463</v>
      </c>
      <c r="H426">
        <v>147</v>
      </c>
      <c r="I426">
        <v>5</v>
      </c>
      <c r="J426" t="s">
        <v>20</v>
      </c>
      <c r="K426" t="s">
        <v>28</v>
      </c>
      <c r="L426" t="s">
        <v>42</v>
      </c>
      <c r="M426" t="s">
        <v>23</v>
      </c>
      <c r="N426">
        <v>0</v>
      </c>
      <c r="O426">
        <v>0</v>
      </c>
      <c r="P426" s="8">
        <f>INT(Delivery_data[[#This Row],[Order Timestamp]])</f>
        <v>45175</v>
      </c>
      <c r="Q426" t="str">
        <f ca="1">IF(Delivery_data[[#This Row],[Order Status]]="In Progress", TODAY()-Delivery_data[[#This Row],[Order Date]], "")</f>
        <v/>
      </c>
      <c r="R426">
        <f>IF(Delivery_data[[#This Row],[On Time]]=1,0,1)</f>
        <v>1</v>
      </c>
    </row>
    <row r="427" spans="1:18" x14ac:dyDescent="0.35">
      <c r="A427">
        <v>2462</v>
      </c>
      <c r="B427" t="s">
        <v>553</v>
      </c>
      <c r="C427" s="1">
        <v>45173.609027777777</v>
      </c>
      <c r="D427" t="s">
        <v>16</v>
      </c>
      <c r="E427" t="s">
        <v>74</v>
      </c>
      <c r="F427" t="s">
        <v>18</v>
      </c>
      <c r="G427" t="s">
        <v>463</v>
      </c>
      <c r="H427">
        <v>72</v>
      </c>
      <c r="I427">
        <v>17</v>
      </c>
      <c r="J427" t="s">
        <v>27</v>
      </c>
      <c r="K427" t="s">
        <v>28</v>
      </c>
      <c r="L427" t="s">
        <v>22</v>
      </c>
      <c r="M427" t="s">
        <v>39</v>
      </c>
      <c r="N427">
        <v>0</v>
      </c>
      <c r="O427">
        <v>0</v>
      </c>
      <c r="P427" s="8">
        <f>INT(Delivery_data[[#This Row],[Order Timestamp]])</f>
        <v>45173</v>
      </c>
      <c r="Q427">
        <f ca="1">IF(Delivery_data[[#This Row],[Order Status]]="In Progress", TODAY()-Delivery_data[[#This Row],[Order Date]], "")</f>
        <v>810</v>
      </c>
      <c r="R427">
        <f>IF(Delivery_data[[#This Row],[On Time]]=1,0,1)</f>
        <v>1</v>
      </c>
    </row>
    <row r="428" spans="1:18" x14ac:dyDescent="0.35">
      <c r="A428">
        <v>2469</v>
      </c>
      <c r="B428" t="s">
        <v>554</v>
      </c>
      <c r="C428" s="1">
        <v>45173.4</v>
      </c>
      <c r="D428" t="s">
        <v>16</v>
      </c>
      <c r="E428" t="s">
        <v>155</v>
      </c>
      <c r="F428" t="s">
        <v>18</v>
      </c>
      <c r="G428" t="s">
        <v>463</v>
      </c>
      <c r="H428">
        <v>130</v>
      </c>
      <c r="I428">
        <v>24</v>
      </c>
      <c r="J428" t="s">
        <v>20</v>
      </c>
      <c r="K428" t="s">
        <v>33</v>
      </c>
      <c r="L428" t="s">
        <v>22</v>
      </c>
      <c r="M428" t="s">
        <v>39</v>
      </c>
      <c r="N428">
        <v>0</v>
      </c>
      <c r="O428">
        <v>0</v>
      </c>
      <c r="P428" s="8">
        <f>INT(Delivery_data[[#This Row],[Order Timestamp]])</f>
        <v>45173</v>
      </c>
      <c r="Q428">
        <f ca="1">IF(Delivery_data[[#This Row],[Order Status]]="In Progress", TODAY()-Delivery_data[[#This Row],[Order Date]], "")</f>
        <v>810</v>
      </c>
      <c r="R428">
        <f>IF(Delivery_data[[#This Row],[On Time]]=1,0,1)</f>
        <v>1</v>
      </c>
    </row>
    <row r="429" spans="1:18" x14ac:dyDescent="0.35">
      <c r="A429">
        <v>2472</v>
      </c>
      <c r="B429" t="s">
        <v>555</v>
      </c>
      <c r="C429" s="1">
        <v>45175.505555555559</v>
      </c>
      <c r="D429" t="s">
        <v>25</v>
      </c>
      <c r="E429" t="s">
        <v>108</v>
      </c>
      <c r="F429" t="s">
        <v>18</v>
      </c>
      <c r="G429" t="s">
        <v>463</v>
      </c>
      <c r="H429">
        <v>169</v>
      </c>
      <c r="I429">
        <v>26</v>
      </c>
      <c r="J429" t="s">
        <v>20</v>
      </c>
      <c r="K429" t="s">
        <v>51</v>
      </c>
      <c r="L429" t="s">
        <v>29</v>
      </c>
      <c r="M429" t="s">
        <v>30</v>
      </c>
      <c r="N429">
        <v>0</v>
      </c>
      <c r="O429">
        <v>0</v>
      </c>
      <c r="P429" s="8">
        <f>INT(Delivery_data[[#This Row],[Order Timestamp]])</f>
        <v>45175</v>
      </c>
      <c r="Q429" t="str">
        <f ca="1">IF(Delivery_data[[#This Row],[Order Status]]="In Progress", TODAY()-Delivery_data[[#This Row],[Order Date]], "")</f>
        <v/>
      </c>
      <c r="R429">
        <f>IF(Delivery_data[[#This Row],[On Time]]=1,0,1)</f>
        <v>1</v>
      </c>
    </row>
    <row r="430" spans="1:18" x14ac:dyDescent="0.35">
      <c r="A430">
        <v>1013</v>
      </c>
      <c r="B430" t="s">
        <v>556</v>
      </c>
      <c r="C430" s="1">
        <v>45172.511111111111</v>
      </c>
      <c r="D430" t="s">
        <v>25</v>
      </c>
      <c r="E430" t="s">
        <v>292</v>
      </c>
      <c r="F430" t="s">
        <v>18</v>
      </c>
      <c r="G430" t="s">
        <v>557</v>
      </c>
      <c r="H430">
        <v>127</v>
      </c>
      <c r="I430">
        <v>17</v>
      </c>
      <c r="J430" t="s">
        <v>27</v>
      </c>
      <c r="K430" t="s">
        <v>28</v>
      </c>
      <c r="L430" t="s">
        <v>42</v>
      </c>
      <c r="M430" t="s">
        <v>30</v>
      </c>
      <c r="N430">
        <v>0</v>
      </c>
      <c r="O430">
        <v>0</v>
      </c>
      <c r="P430" s="8">
        <f>INT(Delivery_data[[#This Row],[Order Timestamp]])</f>
        <v>45172</v>
      </c>
      <c r="Q430" t="str">
        <f ca="1">IF(Delivery_data[[#This Row],[Order Status]]="In Progress", TODAY()-Delivery_data[[#This Row],[Order Date]], "")</f>
        <v/>
      </c>
      <c r="R430">
        <f>IF(Delivery_data[[#This Row],[On Time]]=1,0,1)</f>
        <v>1</v>
      </c>
    </row>
    <row r="431" spans="1:18" x14ac:dyDescent="0.35">
      <c r="A431">
        <v>1016</v>
      </c>
      <c r="B431" t="s">
        <v>558</v>
      </c>
      <c r="C431" s="1">
        <v>45174.577777777777</v>
      </c>
      <c r="D431" t="s">
        <v>16</v>
      </c>
      <c r="E431" t="s">
        <v>559</v>
      </c>
      <c r="F431" t="s">
        <v>18</v>
      </c>
      <c r="G431" t="s">
        <v>557</v>
      </c>
      <c r="H431">
        <v>163</v>
      </c>
      <c r="I431">
        <v>6</v>
      </c>
      <c r="J431" t="s">
        <v>20</v>
      </c>
      <c r="K431" t="s">
        <v>21</v>
      </c>
      <c r="L431" t="s">
        <v>42</v>
      </c>
      <c r="M431" t="s">
        <v>39</v>
      </c>
      <c r="N431">
        <v>0</v>
      </c>
      <c r="O431">
        <v>0</v>
      </c>
      <c r="P431" s="8">
        <f>INT(Delivery_data[[#This Row],[Order Timestamp]])</f>
        <v>45174</v>
      </c>
      <c r="Q431">
        <f ca="1">IF(Delivery_data[[#This Row],[Order Status]]="In Progress", TODAY()-Delivery_data[[#This Row],[Order Date]], "")</f>
        <v>809</v>
      </c>
      <c r="R431">
        <f>IF(Delivery_data[[#This Row],[On Time]]=1,0,1)</f>
        <v>1</v>
      </c>
    </row>
    <row r="432" spans="1:18" x14ac:dyDescent="0.35">
      <c r="A432">
        <v>1046</v>
      </c>
      <c r="B432" t="s">
        <v>560</v>
      </c>
      <c r="C432" s="1">
        <v>45171.55</v>
      </c>
      <c r="D432" t="s">
        <v>25</v>
      </c>
      <c r="E432" t="s">
        <v>72</v>
      </c>
      <c r="F432" t="s">
        <v>18</v>
      </c>
      <c r="G432" t="s">
        <v>557</v>
      </c>
      <c r="H432">
        <v>94</v>
      </c>
      <c r="I432">
        <v>4</v>
      </c>
      <c r="J432" t="s">
        <v>27</v>
      </c>
      <c r="K432" t="s">
        <v>38</v>
      </c>
      <c r="L432" t="s">
        <v>29</v>
      </c>
      <c r="M432" t="s">
        <v>30</v>
      </c>
      <c r="N432">
        <v>0</v>
      </c>
      <c r="O432">
        <v>0</v>
      </c>
      <c r="P432" s="8">
        <f>INT(Delivery_data[[#This Row],[Order Timestamp]])</f>
        <v>45171</v>
      </c>
      <c r="Q432" t="str">
        <f ca="1">IF(Delivery_data[[#This Row],[Order Status]]="In Progress", TODAY()-Delivery_data[[#This Row],[Order Date]], "")</f>
        <v/>
      </c>
      <c r="R432">
        <f>IF(Delivery_data[[#This Row],[On Time]]=1,0,1)</f>
        <v>1</v>
      </c>
    </row>
    <row r="433" spans="1:18" x14ac:dyDescent="0.35">
      <c r="A433">
        <v>1047</v>
      </c>
      <c r="B433" t="s">
        <v>561</v>
      </c>
      <c r="C433" s="1">
        <v>45172.490277777775</v>
      </c>
      <c r="D433" t="s">
        <v>25</v>
      </c>
      <c r="E433" t="s">
        <v>58</v>
      </c>
      <c r="F433" t="s">
        <v>18</v>
      </c>
      <c r="G433" t="s">
        <v>557</v>
      </c>
      <c r="H433">
        <v>123</v>
      </c>
      <c r="I433">
        <v>14</v>
      </c>
      <c r="J433" t="s">
        <v>20</v>
      </c>
      <c r="K433" t="s">
        <v>38</v>
      </c>
      <c r="L433" t="s">
        <v>42</v>
      </c>
      <c r="M433" t="s">
        <v>23</v>
      </c>
      <c r="N433">
        <v>0</v>
      </c>
      <c r="O433">
        <v>0</v>
      </c>
      <c r="P433" s="8">
        <f>INT(Delivery_data[[#This Row],[Order Timestamp]])</f>
        <v>45172</v>
      </c>
      <c r="Q433" t="str">
        <f ca="1">IF(Delivery_data[[#This Row],[Order Status]]="In Progress", TODAY()-Delivery_data[[#This Row],[Order Date]], "")</f>
        <v/>
      </c>
      <c r="R433">
        <f>IF(Delivery_data[[#This Row],[On Time]]=1,0,1)</f>
        <v>1</v>
      </c>
    </row>
    <row r="434" spans="1:18" x14ac:dyDescent="0.35">
      <c r="A434">
        <v>1090</v>
      </c>
      <c r="B434" t="s">
        <v>562</v>
      </c>
      <c r="C434" s="1">
        <v>45177.602777777778</v>
      </c>
      <c r="D434" t="s">
        <v>25</v>
      </c>
      <c r="E434" t="s">
        <v>48</v>
      </c>
      <c r="F434" t="s">
        <v>18</v>
      </c>
      <c r="G434" t="s">
        <v>557</v>
      </c>
      <c r="H434">
        <v>185</v>
      </c>
      <c r="I434">
        <v>27</v>
      </c>
      <c r="J434" t="s">
        <v>35</v>
      </c>
      <c r="K434" t="s">
        <v>33</v>
      </c>
      <c r="L434" t="s">
        <v>22</v>
      </c>
      <c r="M434" t="s">
        <v>39</v>
      </c>
      <c r="N434">
        <v>0</v>
      </c>
      <c r="O434">
        <v>1</v>
      </c>
      <c r="P434" s="8">
        <f>INT(Delivery_data[[#This Row],[Order Timestamp]])</f>
        <v>45177</v>
      </c>
      <c r="Q434" t="str">
        <f ca="1">IF(Delivery_data[[#This Row],[Order Status]]="In Progress", TODAY()-Delivery_data[[#This Row],[Order Date]], "")</f>
        <v/>
      </c>
      <c r="R434">
        <f>IF(Delivery_data[[#This Row],[On Time]]=1,0,1)</f>
        <v>1</v>
      </c>
    </row>
    <row r="435" spans="1:18" x14ac:dyDescent="0.35">
      <c r="A435">
        <v>1091</v>
      </c>
      <c r="B435" t="s">
        <v>563</v>
      </c>
      <c r="C435" s="1">
        <v>45176.52847222222</v>
      </c>
      <c r="D435" t="s">
        <v>16</v>
      </c>
      <c r="E435" t="s">
        <v>17</v>
      </c>
      <c r="F435" t="s">
        <v>18</v>
      </c>
      <c r="G435" t="s">
        <v>557</v>
      </c>
      <c r="H435">
        <v>125</v>
      </c>
      <c r="I435">
        <v>4</v>
      </c>
      <c r="J435" t="s">
        <v>20</v>
      </c>
      <c r="K435" t="s">
        <v>51</v>
      </c>
      <c r="L435" t="s">
        <v>22</v>
      </c>
      <c r="M435" t="s">
        <v>23</v>
      </c>
      <c r="N435">
        <v>0</v>
      </c>
      <c r="O435">
        <v>0</v>
      </c>
      <c r="P435" s="8">
        <f>INT(Delivery_data[[#This Row],[Order Timestamp]])</f>
        <v>45176</v>
      </c>
      <c r="Q435">
        <f ca="1">IF(Delivery_data[[#This Row],[Order Status]]="In Progress", TODAY()-Delivery_data[[#This Row],[Order Date]], "")</f>
        <v>807</v>
      </c>
      <c r="R435">
        <f>IF(Delivery_data[[#This Row],[On Time]]=1,0,1)</f>
        <v>1</v>
      </c>
    </row>
    <row r="436" spans="1:18" x14ac:dyDescent="0.35">
      <c r="A436">
        <v>1135</v>
      </c>
      <c r="B436" t="s">
        <v>564</v>
      </c>
      <c r="C436" s="1">
        <v>45173.595833333333</v>
      </c>
      <c r="D436" t="s">
        <v>16</v>
      </c>
      <c r="E436" t="s">
        <v>129</v>
      </c>
      <c r="F436" t="s">
        <v>18</v>
      </c>
      <c r="G436" t="s">
        <v>557</v>
      </c>
      <c r="H436">
        <v>185</v>
      </c>
      <c r="I436">
        <v>5</v>
      </c>
      <c r="J436" t="s">
        <v>20</v>
      </c>
      <c r="K436" t="s">
        <v>33</v>
      </c>
      <c r="L436" t="s">
        <v>22</v>
      </c>
      <c r="M436" t="s">
        <v>23</v>
      </c>
      <c r="N436">
        <v>0</v>
      </c>
      <c r="O436">
        <v>0</v>
      </c>
      <c r="P436" s="8">
        <f>INT(Delivery_data[[#This Row],[Order Timestamp]])</f>
        <v>45173</v>
      </c>
      <c r="Q436">
        <f ca="1">IF(Delivery_data[[#This Row],[Order Status]]="In Progress", TODAY()-Delivery_data[[#This Row],[Order Date]], "")</f>
        <v>810</v>
      </c>
      <c r="R436">
        <f>IF(Delivery_data[[#This Row],[On Time]]=1,0,1)</f>
        <v>1</v>
      </c>
    </row>
    <row r="437" spans="1:18" x14ac:dyDescent="0.35">
      <c r="A437">
        <v>1203</v>
      </c>
      <c r="B437" t="s">
        <v>565</v>
      </c>
      <c r="C437" s="1">
        <v>45171.478472222225</v>
      </c>
      <c r="D437" t="s">
        <v>25</v>
      </c>
      <c r="E437" t="s">
        <v>184</v>
      </c>
      <c r="F437" t="s">
        <v>18</v>
      </c>
      <c r="G437" t="s">
        <v>557</v>
      </c>
      <c r="H437">
        <v>77</v>
      </c>
      <c r="I437">
        <v>1</v>
      </c>
      <c r="J437" t="s">
        <v>20</v>
      </c>
      <c r="K437" t="s">
        <v>21</v>
      </c>
      <c r="L437" t="s">
        <v>22</v>
      </c>
      <c r="M437" t="s">
        <v>39</v>
      </c>
      <c r="N437">
        <v>0</v>
      </c>
      <c r="O437">
        <v>0</v>
      </c>
      <c r="P437" s="8">
        <f>INT(Delivery_data[[#This Row],[Order Timestamp]])</f>
        <v>45171</v>
      </c>
      <c r="Q437" t="str">
        <f ca="1">IF(Delivery_data[[#This Row],[Order Status]]="In Progress", TODAY()-Delivery_data[[#This Row],[Order Date]], "")</f>
        <v/>
      </c>
      <c r="R437">
        <f>IF(Delivery_data[[#This Row],[On Time]]=1,0,1)</f>
        <v>1</v>
      </c>
    </row>
    <row r="438" spans="1:18" x14ac:dyDescent="0.35">
      <c r="A438">
        <v>1208</v>
      </c>
      <c r="B438" t="s">
        <v>566</v>
      </c>
      <c r="C438" s="1">
        <v>45170.495833333334</v>
      </c>
      <c r="D438" t="s">
        <v>25</v>
      </c>
      <c r="E438" t="s">
        <v>26</v>
      </c>
      <c r="F438" t="s">
        <v>18</v>
      </c>
      <c r="G438" t="s">
        <v>557</v>
      </c>
      <c r="H438">
        <v>135</v>
      </c>
      <c r="I438">
        <v>21</v>
      </c>
      <c r="J438" t="s">
        <v>20</v>
      </c>
      <c r="K438" t="s">
        <v>38</v>
      </c>
      <c r="L438" t="s">
        <v>22</v>
      </c>
      <c r="M438" t="s">
        <v>39</v>
      </c>
      <c r="N438">
        <v>0</v>
      </c>
      <c r="O438">
        <v>0</v>
      </c>
      <c r="P438" s="8">
        <f>INT(Delivery_data[[#This Row],[Order Timestamp]])</f>
        <v>45170</v>
      </c>
      <c r="Q438" t="str">
        <f ca="1">IF(Delivery_data[[#This Row],[Order Status]]="In Progress", TODAY()-Delivery_data[[#This Row],[Order Date]], "")</f>
        <v/>
      </c>
      <c r="R438">
        <f>IF(Delivery_data[[#This Row],[On Time]]=1,0,1)</f>
        <v>1</v>
      </c>
    </row>
    <row r="439" spans="1:18" x14ac:dyDescent="0.35">
      <c r="A439">
        <v>1209</v>
      </c>
      <c r="B439" t="s">
        <v>567</v>
      </c>
      <c r="C439" s="1">
        <v>45172.50277777778</v>
      </c>
      <c r="D439" t="s">
        <v>16</v>
      </c>
      <c r="E439" t="s">
        <v>48</v>
      </c>
      <c r="F439" t="s">
        <v>18</v>
      </c>
      <c r="G439" t="s">
        <v>557</v>
      </c>
      <c r="H439">
        <v>224</v>
      </c>
      <c r="I439">
        <v>9</v>
      </c>
      <c r="J439" t="s">
        <v>20</v>
      </c>
      <c r="K439" t="s">
        <v>38</v>
      </c>
      <c r="L439" t="s">
        <v>29</v>
      </c>
      <c r="M439" t="s">
        <v>23</v>
      </c>
      <c r="N439">
        <v>0</v>
      </c>
      <c r="O439">
        <v>0</v>
      </c>
      <c r="P439" s="8">
        <f>INT(Delivery_data[[#This Row],[Order Timestamp]])</f>
        <v>45172</v>
      </c>
      <c r="Q439">
        <f ca="1">IF(Delivery_data[[#This Row],[Order Status]]="In Progress", TODAY()-Delivery_data[[#This Row],[Order Date]], "")</f>
        <v>811</v>
      </c>
      <c r="R439">
        <f>IF(Delivery_data[[#This Row],[On Time]]=1,0,1)</f>
        <v>1</v>
      </c>
    </row>
    <row r="440" spans="1:18" x14ac:dyDescent="0.35">
      <c r="A440">
        <v>1216</v>
      </c>
      <c r="B440" t="s">
        <v>568</v>
      </c>
      <c r="C440" s="1">
        <v>45170.602083333331</v>
      </c>
      <c r="D440" t="s">
        <v>16</v>
      </c>
      <c r="E440" t="s">
        <v>96</v>
      </c>
      <c r="F440" t="s">
        <v>18</v>
      </c>
      <c r="G440" t="s">
        <v>557</v>
      </c>
      <c r="H440">
        <v>136</v>
      </c>
      <c r="I440">
        <v>2</v>
      </c>
      <c r="J440" t="s">
        <v>20</v>
      </c>
      <c r="K440" t="s">
        <v>28</v>
      </c>
      <c r="L440" t="s">
        <v>42</v>
      </c>
      <c r="M440" t="s">
        <v>23</v>
      </c>
      <c r="N440">
        <v>0</v>
      </c>
      <c r="O440">
        <v>0</v>
      </c>
      <c r="P440" s="8">
        <f>INT(Delivery_data[[#This Row],[Order Timestamp]])</f>
        <v>45170</v>
      </c>
      <c r="Q440">
        <f ca="1">IF(Delivery_data[[#This Row],[Order Status]]="In Progress", TODAY()-Delivery_data[[#This Row],[Order Date]], "")</f>
        <v>813</v>
      </c>
      <c r="R440">
        <f>IF(Delivery_data[[#This Row],[On Time]]=1,0,1)</f>
        <v>1</v>
      </c>
    </row>
    <row r="441" spans="1:18" x14ac:dyDescent="0.35">
      <c r="A441">
        <v>1223</v>
      </c>
      <c r="B441" t="s">
        <v>569</v>
      </c>
      <c r="C441" s="1">
        <v>45170.34375</v>
      </c>
      <c r="D441" t="s">
        <v>25</v>
      </c>
      <c r="E441" t="s">
        <v>200</v>
      </c>
      <c r="F441" t="s">
        <v>18</v>
      </c>
      <c r="G441" t="s">
        <v>557</v>
      </c>
      <c r="H441">
        <v>103</v>
      </c>
      <c r="I441">
        <v>15</v>
      </c>
      <c r="J441" t="s">
        <v>35</v>
      </c>
      <c r="K441" t="s">
        <v>38</v>
      </c>
      <c r="L441" t="s">
        <v>22</v>
      </c>
      <c r="M441" t="s">
        <v>39</v>
      </c>
      <c r="N441">
        <v>0</v>
      </c>
      <c r="O441">
        <v>1</v>
      </c>
      <c r="P441" s="8">
        <f>INT(Delivery_data[[#This Row],[Order Timestamp]])</f>
        <v>45170</v>
      </c>
      <c r="Q441" t="str">
        <f ca="1">IF(Delivery_data[[#This Row],[Order Status]]="In Progress", TODAY()-Delivery_data[[#This Row],[Order Date]], "")</f>
        <v/>
      </c>
      <c r="R441">
        <f>IF(Delivery_data[[#This Row],[On Time]]=1,0,1)</f>
        <v>1</v>
      </c>
    </row>
    <row r="442" spans="1:18" x14ac:dyDescent="0.35">
      <c r="A442">
        <v>1227</v>
      </c>
      <c r="B442" t="s">
        <v>570</v>
      </c>
      <c r="C442" s="1">
        <v>45177.390972222223</v>
      </c>
      <c r="D442" t="s">
        <v>25</v>
      </c>
      <c r="E442" t="s">
        <v>161</v>
      </c>
      <c r="F442" t="s">
        <v>18</v>
      </c>
      <c r="G442" t="s">
        <v>557</v>
      </c>
      <c r="H442">
        <v>92</v>
      </c>
      <c r="I442">
        <v>21</v>
      </c>
      <c r="J442" t="s">
        <v>27</v>
      </c>
      <c r="K442" t="s">
        <v>38</v>
      </c>
      <c r="L442" t="s">
        <v>22</v>
      </c>
      <c r="M442" t="s">
        <v>39</v>
      </c>
      <c r="N442">
        <v>0</v>
      </c>
      <c r="O442">
        <v>0</v>
      </c>
      <c r="P442" s="8">
        <f>INT(Delivery_data[[#This Row],[Order Timestamp]])</f>
        <v>45177</v>
      </c>
      <c r="Q442" t="str">
        <f ca="1">IF(Delivery_data[[#This Row],[Order Status]]="In Progress", TODAY()-Delivery_data[[#This Row],[Order Date]], "")</f>
        <v/>
      </c>
      <c r="R442">
        <f>IF(Delivery_data[[#This Row],[On Time]]=1,0,1)</f>
        <v>1</v>
      </c>
    </row>
    <row r="443" spans="1:18" x14ac:dyDescent="0.35">
      <c r="A443">
        <v>1243</v>
      </c>
      <c r="B443" t="s">
        <v>571</v>
      </c>
      <c r="C443" s="1">
        <v>45171.371527777781</v>
      </c>
      <c r="D443" t="s">
        <v>16</v>
      </c>
      <c r="E443" t="s">
        <v>169</v>
      </c>
      <c r="F443" t="s">
        <v>18</v>
      </c>
      <c r="G443" t="s">
        <v>557</v>
      </c>
      <c r="H443">
        <v>180</v>
      </c>
      <c r="I443">
        <v>2</v>
      </c>
      <c r="J443" t="s">
        <v>27</v>
      </c>
      <c r="K443" t="s">
        <v>33</v>
      </c>
      <c r="L443" t="s">
        <v>22</v>
      </c>
      <c r="M443" t="s">
        <v>23</v>
      </c>
      <c r="N443">
        <v>0</v>
      </c>
      <c r="O443">
        <v>0</v>
      </c>
      <c r="P443" s="8">
        <f>INT(Delivery_data[[#This Row],[Order Timestamp]])</f>
        <v>45171</v>
      </c>
      <c r="Q443">
        <f ca="1">IF(Delivery_data[[#This Row],[Order Status]]="In Progress", TODAY()-Delivery_data[[#This Row],[Order Date]], "")</f>
        <v>812</v>
      </c>
      <c r="R443">
        <f>IF(Delivery_data[[#This Row],[On Time]]=1,0,1)</f>
        <v>1</v>
      </c>
    </row>
    <row r="444" spans="1:18" x14ac:dyDescent="0.35">
      <c r="A444">
        <v>1264</v>
      </c>
      <c r="B444" t="s">
        <v>572</v>
      </c>
      <c r="C444" s="1">
        <v>45172.677083333336</v>
      </c>
      <c r="D444" t="s">
        <v>25</v>
      </c>
      <c r="E444" t="s">
        <v>48</v>
      </c>
      <c r="F444" t="s">
        <v>18</v>
      </c>
      <c r="G444" t="s">
        <v>557</v>
      </c>
      <c r="H444">
        <v>76</v>
      </c>
      <c r="I444">
        <v>14</v>
      </c>
      <c r="J444" t="s">
        <v>20</v>
      </c>
      <c r="K444" t="s">
        <v>21</v>
      </c>
      <c r="L444" t="s">
        <v>22</v>
      </c>
      <c r="M444" t="s">
        <v>23</v>
      </c>
      <c r="N444">
        <v>0</v>
      </c>
      <c r="O444">
        <v>0</v>
      </c>
      <c r="P444" s="8">
        <f>INT(Delivery_data[[#This Row],[Order Timestamp]])</f>
        <v>45172</v>
      </c>
      <c r="Q444" t="str">
        <f ca="1">IF(Delivery_data[[#This Row],[Order Status]]="In Progress", TODAY()-Delivery_data[[#This Row],[Order Date]], "")</f>
        <v/>
      </c>
      <c r="R444">
        <f>IF(Delivery_data[[#This Row],[On Time]]=1,0,1)</f>
        <v>1</v>
      </c>
    </row>
    <row r="445" spans="1:18" x14ac:dyDescent="0.35">
      <c r="A445">
        <v>1309</v>
      </c>
      <c r="B445" t="s">
        <v>573</v>
      </c>
      <c r="C445" s="1">
        <v>45175.663888888892</v>
      </c>
      <c r="D445" t="s">
        <v>25</v>
      </c>
      <c r="E445" t="s">
        <v>206</v>
      </c>
      <c r="F445" t="s">
        <v>18</v>
      </c>
      <c r="G445" t="s">
        <v>557</v>
      </c>
      <c r="H445">
        <v>201</v>
      </c>
      <c r="I445">
        <v>11</v>
      </c>
      <c r="J445" t="s">
        <v>35</v>
      </c>
      <c r="K445" t="s">
        <v>38</v>
      </c>
      <c r="L445" t="s">
        <v>29</v>
      </c>
      <c r="M445" t="s">
        <v>23</v>
      </c>
      <c r="N445">
        <v>0</v>
      </c>
      <c r="O445">
        <v>1</v>
      </c>
      <c r="P445" s="8">
        <f>INT(Delivery_data[[#This Row],[Order Timestamp]])</f>
        <v>45175</v>
      </c>
      <c r="Q445" t="str">
        <f ca="1">IF(Delivery_data[[#This Row],[Order Status]]="In Progress", TODAY()-Delivery_data[[#This Row],[Order Date]], "")</f>
        <v/>
      </c>
      <c r="R445">
        <f>IF(Delivery_data[[#This Row],[On Time]]=1,0,1)</f>
        <v>1</v>
      </c>
    </row>
    <row r="446" spans="1:18" x14ac:dyDescent="0.35">
      <c r="A446">
        <v>1315</v>
      </c>
      <c r="B446" t="s">
        <v>574</v>
      </c>
      <c r="C446" s="1">
        <v>45175.604166666664</v>
      </c>
      <c r="D446" t="s">
        <v>25</v>
      </c>
      <c r="E446" t="s">
        <v>70</v>
      </c>
      <c r="F446" t="s">
        <v>18</v>
      </c>
      <c r="G446" t="s">
        <v>557</v>
      </c>
      <c r="H446">
        <v>171</v>
      </c>
      <c r="I446">
        <v>2</v>
      </c>
      <c r="J446" t="s">
        <v>20</v>
      </c>
      <c r="K446" t="s">
        <v>21</v>
      </c>
      <c r="L446" t="s">
        <v>29</v>
      </c>
      <c r="M446" t="s">
        <v>23</v>
      </c>
      <c r="N446">
        <v>0</v>
      </c>
      <c r="O446">
        <v>0</v>
      </c>
      <c r="P446" s="8">
        <f>INT(Delivery_data[[#This Row],[Order Timestamp]])</f>
        <v>45175</v>
      </c>
      <c r="Q446" t="str">
        <f ca="1">IF(Delivery_data[[#This Row],[Order Status]]="In Progress", TODAY()-Delivery_data[[#This Row],[Order Date]], "")</f>
        <v/>
      </c>
      <c r="R446">
        <f>IF(Delivery_data[[#This Row],[On Time]]=1,0,1)</f>
        <v>1</v>
      </c>
    </row>
    <row r="447" spans="1:18" x14ac:dyDescent="0.35">
      <c r="A447">
        <v>1335</v>
      </c>
      <c r="B447" t="s">
        <v>575</v>
      </c>
      <c r="C447" s="1">
        <v>45177.54583333333</v>
      </c>
      <c r="D447" t="s">
        <v>16</v>
      </c>
      <c r="E447" t="s">
        <v>195</v>
      </c>
      <c r="F447" t="s">
        <v>18</v>
      </c>
      <c r="G447" t="s">
        <v>557</v>
      </c>
      <c r="H447">
        <v>118</v>
      </c>
      <c r="I447">
        <v>18</v>
      </c>
      <c r="J447" t="s">
        <v>27</v>
      </c>
      <c r="K447" t="s">
        <v>28</v>
      </c>
      <c r="L447" t="s">
        <v>22</v>
      </c>
      <c r="M447" t="s">
        <v>23</v>
      </c>
      <c r="N447">
        <v>0</v>
      </c>
      <c r="O447">
        <v>0</v>
      </c>
      <c r="P447" s="8">
        <f>INT(Delivery_data[[#This Row],[Order Timestamp]])</f>
        <v>45177</v>
      </c>
      <c r="Q447">
        <f ca="1">IF(Delivery_data[[#This Row],[Order Status]]="In Progress", TODAY()-Delivery_data[[#This Row],[Order Date]], "")</f>
        <v>806</v>
      </c>
      <c r="R447">
        <f>IF(Delivery_data[[#This Row],[On Time]]=1,0,1)</f>
        <v>1</v>
      </c>
    </row>
    <row r="448" spans="1:18" x14ac:dyDescent="0.35">
      <c r="A448">
        <v>1343</v>
      </c>
      <c r="B448" t="s">
        <v>576</v>
      </c>
      <c r="C448" s="1">
        <v>45170.394444444442</v>
      </c>
      <c r="D448" t="s">
        <v>25</v>
      </c>
      <c r="E448" t="s">
        <v>104</v>
      </c>
      <c r="F448" t="s">
        <v>18</v>
      </c>
      <c r="G448" t="s">
        <v>557</v>
      </c>
      <c r="H448">
        <v>106</v>
      </c>
      <c r="I448">
        <v>24</v>
      </c>
      <c r="J448" t="s">
        <v>20</v>
      </c>
      <c r="K448" t="s">
        <v>33</v>
      </c>
      <c r="L448" t="s">
        <v>22</v>
      </c>
      <c r="M448" t="s">
        <v>30</v>
      </c>
      <c r="N448">
        <v>0</v>
      </c>
      <c r="O448">
        <v>0</v>
      </c>
      <c r="P448" s="8">
        <f>INT(Delivery_data[[#This Row],[Order Timestamp]])</f>
        <v>45170</v>
      </c>
      <c r="Q448" t="str">
        <f ca="1">IF(Delivery_data[[#This Row],[Order Status]]="In Progress", TODAY()-Delivery_data[[#This Row],[Order Date]], "")</f>
        <v/>
      </c>
      <c r="R448">
        <f>IF(Delivery_data[[#This Row],[On Time]]=1,0,1)</f>
        <v>1</v>
      </c>
    </row>
    <row r="449" spans="1:18" x14ac:dyDescent="0.35">
      <c r="A449">
        <v>1360</v>
      </c>
      <c r="B449" t="s">
        <v>577</v>
      </c>
      <c r="C449" s="1">
        <v>45173.384722222225</v>
      </c>
      <c r="D449" t="s">
        <v>25</v>
      </c>
      <c r="E449" t="s">
        <v>74</v>
      </c>
      <c r="F449" t="s">
        <v>18</v>
      </c>
      <c r="G449" t="s">
        <v>557</v>
      </c>
      <c r="H449">
        <v>171</v>
      </c>
      <c r="I449">
        <v>27</v>
      </c>
      <c r="J449" t="s">
        <v>27</v>
      </c>
      <c r="K449" t="s">
        <v>51</v>
      </c>
      <c r="L449" t="s">
        <v>22</v>
      </c>
      <c r="M449" t="s">
        <v>30</v>
      </c>
      <c r="N449">
        <v>0</v>
      </c>
      <c r="O449">
        <v>0</v>
      </c>
      <c r="P449" s="8">
        <f>INT(Delivery_data[[#This Row],[Order Timestamp]])</f>
        <v>45173</v>
      </c>
      <c r="Q449" t="str">
        <f ca="1">IF(Delivery_data[[#This Row],[Order Status]]="In Progress", TODAY()-Delivery_data[[#This Row],[Order Date]], "")</f>
        <v/>
      </c>
      <c r="R449">
        <f>IF(Delivery_data[[#This Row],[On Time]]=1,0,1)</f>
        <v>1</v>
      </c>
    </row>
    <row r="450" spans="1:18" x14ac:dyDescent="0.35">
      <c r="A450">
        <v>1367</v>
      </c>
      <c r="B450" t="s">
        <v>578</v>
      </c>
      <c r="C450" s="1">
        <v>45172.521527777775</v>
      </c>
      <c r="D450" t="s">
        <v>25</v>
      </c>
      <c r="E450" t="s">
        <v>325</v>
      </c>
      <c r="F450" t="s">
        <v>18</v>
      </c>
      <c r="G450" t="s">
        <v>557</v>
      </c>
      <c r="H450">
        <v>222</v>
      </c>
      <c r="I450">
        <v>5</v>
      </c>
      <c r="J450" t="s">
        <v>20</v>
      </c>
      <c r="K450" t="s">
        <v>21</v>
      </c>
      <c r="L450" t="s">
        <v>22</v>
      </c>
      <c r="M450" t="s">
        <v>23</v>
      </c>
      <c r="N450">
        <v>0</v>
      </c>
      <c r="O450">
        <v>0</v>
      </c>
      <c r="P450" s="8">
        <f>INT(Delivery_data[[#This Row],[Order Timestamp]])</f>
        <v>45172</v>
      </c>
      <c r="Q450" t="str">
        <f ca="1">IF(Delivery_data[[#This Row],[Order Status]]="In Progress", TODAY()-Delivery_data[[#This Row],[Order Date]], "")</f>
        <v/>
      </c>
      <c r="R450">
        <f>IF(Delivery_data[[#This Row],[On Time]]=1,0,1)</f>
        <v>1</v>
      </c>
    </row>
    <row r="451" spans="1:18" x14ac:dyDescent="0.35">
      <c r="A451">
        <v>1388</v>
      </c>
      <c r="B451" t="s">
        <v>579</v>
      </c>
      <c r="C451" s="1">
        <v>45174.556250000001</v>
      </c>
      <c r="D451" t="s">
        <v>16</v>
      </c>
      <c r="E451" t="s">
        <v>78</v>
      </c>
      <c r="F451" t="s">
        <v>18</v>
      </c>
      <c r="G451" t="s">
        <v>557</v>
      </c>
      <c r="H451">
        <v>143</v>
      </c>
      <c r="I451">
        <v>17</v>
      </c>
      <c r="J451" t="s">
        <v>27</v>
      </c>
      <c r="K451" t="s">
        <v>21</v>
      </c>
      <c r="L451" t="s">
        <v>29</v>
      </c>
      <c r="M451" t="s">
        <v>39</v>
      </c>
      <c r="N451">
        <v>0</v>
      </c>
      <c r="O451">
        <v>0</v>
      </c>
      <c r="P451" s="8">
        <f>INT(Delivery_data[[#This Row],[Order Timestamp]])</f>
        <v>45174</v>
      </c>
      <c r="Q451">
        <f ca="1">IF(Delivery_data[[#This Row],[Order Status]]="In Progress", TODAY()-Delivery_data[[#This Row],[Order Date]], "")</f>
        <v>809</v>
      </c>
      <c r="R451">
        <f>IF(Delivery_data[[#This Row],[On Time]]=1,0,1)</f>
        <v>1</v>
      </c>
    </row>
    <row r="452" spans="1:18" x14ac:dyDescent="0.35">
      <c r="A452">
        <v>1401</v>
      </c>
      <c r="B452" t="s">
        <v>580</v>
      </c>
      <c r="C452" s="1">
        <v>45170.604861111111</v>
      </c>
      <c r="D452" t="s">
        <v>25</v>
      </c>
      <c r="E452" t="s">
        <v>254</v>
      </c>
      <c r="F452" t="s">
        <v>18</v>
      </c>
      <c r="G452" t="s">
        <v>557</v>
      </c>
      <c r="H452">
        <v>88</v>
      </c>
      <c r="I452">
        <v>28</v>
      </c>
      <c r="J452" t="s">
        <v>20</v>
      </c>
      <c r="K452" t="s">
        <v>38</v>
      </c>
      <c r="L452" t="s">
        <v>22</v>
      </c>
      <c r="M452" t="s">
        <v>39</v>
      </c>
      <c r="N452">
        <v>0</v>
      </c>
      <c r="O452">
        <v>0</v>
      </c>
      <c r="P452" s="8">
        <f>INT(Delivery_data[[#This Row],[Order Timestamp]])</f>
        <v>45170</v>
      </c>
      <c r="Q452" t="str">
        <f ca="1">IF(Delivery_data[[#This Row],[Order Status]]="In Progress", TODAY()-Delivery_data[[#This Row],[Order Date]], "")</f>
        <v/>
      </c>
      <c r="R452">
        <f>IF(Delivery_data[[#This Row],[On Time]]=1,0,1)</f>
        <v>1</v>
      </c>
    </row>
    <row r="453" spans="1:18" x14ac:dyDescent="0.35">
      <c r="A453">
        <v>1422</v>
      </c>
      <c r="B453" t="s">
        <v>581</v>
      </c>
      <c r="C453" s="1">
        <v>45175.568055555559</v>
      </c>
      <c r="D453" t="s">
        <v>25</v>
      </c>
      <c r="E453" t="s">
        <v>139</v>
      </c>
      <c r="F453" t="s">
        <v>18</v>
      </c>
      <c r="G453" t="s">
        <v>557</v>
      </c>
      <c r="H453">
        <v>231</v>
      </c>
      <c r="I453">
        <v>10</v>
      </c>
      <c r="J453" t="s">
        <v>20</v>
      </c>
      <c r="K453" t="s">
        <v>33</v>
      </c>
      <c r="L453" t="s">
        <v>29</v>
      </c>
      <c r="M453" t="s">
        <v>39</v>
      </c>
      <c r="N453">
        <v>0</v>
      </c>
      <c r="O453">
        <v>0</v>
      </c>
      <c r="P453" s="8">
        <f>INT(Delivery_data[[#This Row],[Order Timestamp]])</f>
        <v>45175</v>
      </c>
      <c r="Q453" t="str">
        <f ca="1">IF(Delivery_data[[#This Row],[Order Status]]="In Progress", TODAY()-Delivery_data[[#This Row],[Order Date]], "")</f>
        <v/>
      </c>
      <c r="R453">
        <f>IF(Delivery_data[[#This Row],[On Time]]=1,0,1)</f>
        <v>1</v>
      </c>
    </row>
    <row r="454" spans="1:18" x14ac:dyDescent="0.35">
      <c r="A454">
        <v>1465</v>
      </c>
      <c r="B454" t="s">
        <v>582</v>
      </c>
      <c r="C454" s="1">
        <v>45177.394444444442</v>
      </c>
      <c r="D454" t="s">
        <v>16</v>
      </c>
      <c r="E454" t="s">
        <v>360</v>
      </c>
      <c r="F454" t="s">
        <v>18</v>
      </c>
      <c r="G454" t="s">
        <v>557</v>
      </c>
      <c r="H454">
        <v>80</v>
      </c>
      <c r="I454">
        <v>9</v>
      </c>
      <c r="J454" t="s">
        <v>20</v>
      </c>
      <c r="K454" t="s">
        <v>21</v>
      </c>
      <c r="L454" t="s">
        <v>22</v>
      </c>
      <c r="M454" t="s">
        <v>23</v>
      </c>
      <c r="N454">
        <v>0</v>
      </c>
      <c r="O454">
        <v>0</v>
      </c>
      <c r="P454" s="8">
        <f>INT(Delivery_data[[#This Row],[Order Timestamp]])</f>
        <v>45177</v>
      </c>
      <c r="Q454">
        <f ca="1">IF(Delivery_data[[#This Row],[Order Status]]="In Progress", TODAY()-Delivery_data[[#This Row],[Order Date]], "")</f>
        <v>806</v>
      </c>
      <c r="R454">
        <f>IF(Delivery_data[[#This Row],[On Time]]=1,0,1)</f>
        <v>1</v>
      </c>
    </row>
    <row r="455" spans="1:18" x14ac:dyDescent="0.35">
      <c r="A455">
        <v>1476</v>
      </c>
      <c r="B455" t="s">
        <v>583</v>
      </c>
      <c r="C455" s="1">
        <v>45172.573611111111</v>
      </c>
      <c r="D455" t="s">
        <v>25</v>
      </c>
      <c r="E455" t="s">
        <v>352</v>
      </c>
      <c r="F455" t="s">
        <v>18</v>
      </c>
      <c r="G455" t="s">
        <v>557</v>
      </c>
      <c r="H455">
        <v>71</v>
      </c>
      <c r="I455">
        <v>14</v>
      </c>
      <c r="J455" t="s">
        <v>20</v>
      </c>
      <c r="K455" t="s">
        <v>33</v>
      </c>
      <c r="L455" t="s">
        <v>22</v>
      </c>
      <c r="M455" t="s">
        <v>39</v>
      </c>
      <c r="N455">
        <v>0</v>
      </c>
      <c r="O455">
        <v>0</v>
      </c>
      <c r="P455" s="8">
        <f>INT(Delivery_data[[#This Row],[Order Timestamp]])</f>
        <v>45172</v>
      </c>
      <c r="Q455" t="str">
        <f ca="1">IF(Delivery_data[[#This Row],[Order Status]]="In Progress", TODAY()-Delivery_data[[#This Row],[Order Date]], "")</f>
        <v/>
      </c>
      <c r="R455">
        <f>IF(Delivery_data[[#This Row],[On Time]]=1,0,1)</f>
        <v>1</v>
      </c>
    </row>
    <row r="456" spans="1:18" x14ac:dyDescent="0.35">
      <c r="A456">
        <v>1493</v>
      </c>
      <c r="B456" t="s">
        <v>584</v>
      </c>
      <c r="C456" s="1">
        <v>45174.688888888886</v>
      </c>
      <c r="D456" t="s">
        <v>25</v>
      </c>
      <c r="E456" t="s">
        <v>64</v>
      </c>
      <c r="F456" t="s">
        <v>18</v>
      </c>
      <c r="G456" t="s">
        <v>557</v>
      </c>
      <c r="H456">
        <v>218</v>
      </c>
      <c r="I456">
        <v>4</v>
      </c>
      <c r="J456" t="s">
        <v>35</v>
      </c>
      <c r="K456" t="s">
        <v>51</v>
      </c>
      <c r="L456" t="s">
        <v>22</v>
      </c>
      <c r="M456" t="s">
        <v>30</v>
      </c>
      <c r="N456">
        <v>0</v>
      </c>
      <c r="O456">
        <v>1</v>
      </c>
      <c r="P456" s="8">
        <f>INT(Delivery_data[[#This Row],[Order Timestamp]])</f>
        <v>45174</v>
      </c>
      <c r="Q456" t="str">
        <f ca="1">IF(Delivery_data[[#This Row],[Order Status]]="In Progress", TODAY()-Delivery_data[[#This Row],[Order Date]], "")</f>
        <v/>
      </c>
      <c r="R456">
        <f>IF(Delivery_data[[#This Row],[On Time]]=1,0,1)</f>
        <v>1</v>
      </c>
    </row>
    <row r="457" spans="1:18" x14ac:dyDescent="0.35">
      <c r="A457">
        <v>1494</v>
      </c>
      <c r="B457" t="s">
        <v>585</v>
      </c>
      <c r="C457" s="1">
        <v>45176.699305555558</v>
      </c>
      <c r="D457" t="s">
        <v>16</v>
      </c>
      <c r="E457" t="s">
        <v>70</v>
      </c>
      <c r="F457" t="s">
        <v>18</v>
      </c>
      <c r="G457" t="s">
        <v>557</v>
      </c>
      <c r="H457">
        <v>67</v>
      </c>
      <c r="I457">
        <v>24</v>
      </c>
      <c r="J457" t="s">
        <v>20</v>
      </c>
      <c r="K457" t="s">
        <v>38</v>
      </c>
      <c r="L457" t="s">
        <v>29</v>
      </c>
      <c r="M457" t="s">
        <v>30</v>
      </c>
      <c r="N457">
        <v>0</v>
      </c>
      <c r="O457">
        <v>0</v>
      </c>
      <c r="P457" s="8">
        <f>INT(Delivery_data[[#This Row],[Order Timestamp]])</f>
        <v>45176</v>
      </c>
      <c r="Q457">
        <f ca="1">IF(Delivery_data[[#This Row],[Order Status]]="In Progress", TODAY()-Delivery_data[[#This Row],[Order Date]], "")</f>
        <v>807</v>
      </c>
      <c r="R457">
        <f>IF(Delivery_data[[#This Row],[On Time]]=1,0,1)</f>
        <v>1</v>
      </c>
    </row>
    <row r="458" spans="1:18" x14ac:dyDescent="0.35">
      <c r="A458">
        <v>1503</v>
      </c>
      <c r="B458" t="s">
        <v>586</v>
      </c>
      <c r="C458" s="1">
        <v>45174.507638888892</v>
      </c>
      <c r="D458" t="s">
        <v>25</v>
      </c>
      <c r="E458" t="s">
        <v>46</v>
      </c>
      <c r="F458" t="s">
        <v>18</v>
      </c>
      <c r="G458" t="s">
        <v>557</v>
      </c>
      <c r="H458">
        <v>122</v>
      </c>
      <c r="I458">
        <v>1</v>
      </c>
      <c r="J458" t="s">
        <v>20</v>
      </c>
      <c r="K458" t="s">
        <v>21</v>
      </c>
      <c r="L458" t="s">
        <v>29</v>
      </c>
      <c r="M458" t="s">
        <v>30</v>
      </c>
      <c r="N458">
        <v>0</v>
      </c>
      <c r="O458">
        <v>0</v>
      </c>
      <c r="P458" s="8">
        <f>INT(Delivery_data[[#This Row],[Order Timestamp]])</f>
        <v>45174</v>
      </c>
      <c r="Q458" t="str">
        <f ca="1">IF(Delivery_data[[#This Row],[Order Status]]="In Progress", TODAY()-Delivery_data[[#This Row],[Order Date]], "")</f>
        <v/>
      </c>
      <c r="R458">
        <f>IF(Delivery_data[[#This Row],[On Time]]=1,0,1)</f>
        <v>1</v>
      </c>
    </row>
    <row r="459" spans="1:18" x14ac:dyDescent="0.35">
      <c r="A459">
        <v>1508</v>
      </c>
      <c r="B459" t="s">
        <v>587</v>
      </c>
      <c r="C459" s="1">
        <v>45177.421527777777</v>
      </c>
      <c r="D459" t="s">
        <v>16</v>
      </c>
      <c r="E459" t="s">
        <v>161</v>
      </c>
      <c r="F459" t="s">
        <v>18</v>
      </c>
      <c r="G459" t="s">
        <v>557</v>
      </c>
      <c r="H459">
        <v>69</v>
      </c>
      <c r="I459">
        <v>9</v>
      </c>
      <c r="J459" t="s">
        <v>27</v>
      </c>
      <c r="K459" t="s">
        <v>51</v>
      </c>
      <c r="L459" t="s">
        <v>22</v>
      </c>
      <c r="M459" t="s">
        <v>39</v>
      </c>
      <c r="N459">
        <v>0</v>
      </c>
      <c r="O459">
        <v>0</v>
      </c>
      <c r="P459" s="8">
        <f>INT(Delivery_data[[#This Row],[Order Timestamp]])</f>
        <v>45177</v>
      </c>
      <c r="Q459">
        <f ca="1">IF(Delivery_data[[#This Row],[Order Status]]="In Progress", TODAY()-Delivery_data[[#This Row],[Order Date]], "")</f>
        <v>806</v>
      </c>
      <c r="R459">
        <f>IF(Delivery_data[[#This Row],[On Time]]=1,0,1)</f>
        <v>1</v>
      </c>
    </row>
    <row r="460" spans="1:18" x14ac:dyDescent="0.35">
      <c r="A460">
        <v>1590</v>
      </c>
      <c r="B460" t="s">
        <v>588</v>
      </c>
      <c r="C460" s="1">
        <v>45177.428472222222</v>
      </c>
      <c r="D460" t="s">
        <v>16</v>
      </c>
      <c r="E460" t="s">
        <v>559</v>
      </c>
      <c r="F460" t="s">
        <v>18</v>
      </c>
      <c r="G460" t="s">
        <v>557</v>
      </c>
      <c r="H460">
        <v>187</v>
      </c>
      <c r="I460">
        <v>14</v>
      </c>
      <c r="J460" t="s">
        <v>27</v>
      </c>
      <c r="K460" t="s">
        <v>21</v>
      </c>
      <c r="L460" t="s">
        <v>22</v>
      </c>
      <c r="M460" t="s">
        <v>30</v>
      </c>
      <c r="N460">
        <v>0</v>
      </c>
      <c r="O460">
        <v>0</v>
      </c>
      <c r="P460" s="8">
        <f>INT(Delivery_data[[#This Row],[Order Timestamp]])</f>
        <v>45177</v>
      </c>
      <c r="Q460">
        <f ca="1">IF(Delivery_data[[#This Row],[Order Status]]="In Progress", TODAY()-Delivery_data[[#This Row],[Order Date]], "")</f>
        <v>806</v>
      </c>
      <c r="R460">
        <f>IF(Delivery_data[[#This Row],[On Time]]=1,0,1)</f>
        <v>1</v>
      </c>
    </row>
    <row r="461" spans="1:18" x14ac:dyDescent="0.35">
      <c r="A461">
        <v>1599</v>
      </c>
      <c r="B461" t="s">
        <v>589</v>
      </c>
      <c r="C461" s="1">
        <v>45171.354166666664</v>
      </c>
      <c r="D461" t="s">
        <v>16</v>
      </c>
      <c r="E461" t="s">
        <v>102</v>
      </c>
      <c r="F461" t="s">
        <v>18</v>
      </c>
      <c r="G461" t="s">
        <v>557</v>
      </c>
      <c r="H461">
        <v>134</v>
      </c>
      <c r="I461">
        <v>11</v>
      </c>
      <c r="J461" t="s">
        <v>35</v>
      </c>
      <c r="K461" t="s">
        <v>28</v>
      </c>
      <c r="L461" t="s">
        <v>22</v>
      </c>
      <c r="M461" t="s">
        <v>23</v>
      </c>
      <c r="N461">
        <v>0</v>
      </c>
      <c r="O461">
        <v>1</v>
      </c>
      <c r="P461" s="8">
        <f>INT(Delivery_data[[#This Row],[Order Timestamp]])</f>
        <v>45171</v>
      </c>
      <c r="Q461">
        <f ca="1">IF(Delivery_data[[#This Row],[Order Status]]="In Progress", TODAY()-Delivery_data[[#This Row],[Order Date]], "")</f>
        <v>812</v>
      </c>
      <c r="R461">
        <f>IF(Delivery_data[[#This Row],[On Time]]=1,0,1)</f>
        <v>1</v>
      </c>
    </row>
    <row r="462" spans="1:18" x14ac:dyDescent="0.35">
      <c r="A462">
        <v>1602</v>
      </c>
      <c r="B462" t="s">
        <v>590</v>
      </c>
      <c r="C462" s="1">
        <v>45175.379861111112</v>
      </c>
      <c r="D462" t="s">
        <v>16</v>
      </c>
      <c r="E462" t="s">
        <v>110</v>
      </c>
      <c r="F462" t="s">
        <v>18</v>
      </c>
      <c r="G462" t="s">
        <v>557</v>
      </c>
      <c r="H462">
        <v>60</v>
      </c>
      <c r="I462">
        <v>18</v>
      </c>
      <c r="J462" t="s">
        <v>27</v>
      </c>
      <c r="K462" t="s">
        <v>21</v>
      </c>
      <c r="L462" t="s">
        <v>42</v>
      </c>
      <c r="M462" t="s">
        <v>39</v>
      </c>
      <c r="N462">
        <v>0</v>
      </c>
      <c r="O462">
        <v>0</v>
      </c>
      <c r="P462" s="8">
        <f>INT(Delivery_data[[#This Row],[Order Timestamp]])</f>
        <v>45175</v>
      </c>
      <c r="Q462">
        <f ca="1">IF(Delivery_data[[#This Row],[Order Status]]="In Progress", TODAY()-Delivery_data[[#This Row],[Order Date]], "")</f>
        <v>808</v>
      </c>
      <c r="R462">
        <f>IF(Delivery_data[[#This Row],[On Time]]=1,0,1)</f>
        <v>1</v>
      </c>
    </row>
    <row r="463" spans="1:18" x14ac:dyDescent="0.35">
      <c r="A463">
        <v>1626</v>
      </c>
      <c r="B463" t="s">
        <v>591</v>
      </c>
      <c r="C463" s="1">
        <v>45176.575694444444</v>
      </c>
      <c r="D463" t="s">
        <v>16</v>
      </c>
      <c r="E463" t="s">
        <v>447</v>
      </c>
      <c r="F463" t="s">
        <v>18</v>
      </c>
      <c r="G463" t="s">
        <v>557</v>
      </c>
      <c r="H463">
        <v>189</v>
      </c>
      <c r="I463">
        <v>26</v>
      </c>
      <c r="J463" t="s">
        <v>27</v>
      </c>
      <c r="K463" t="s">
        <v>21</v>
      </c>
      <c r="L463" t="s">
        <v>29</v>
      </c>
      <c r="M463" t="s">
        <v>39</v>
      </c>
      <c r="N463">
        <v>0</v>
      </c>
      <c r="O463">
        <v>0</v>
      </c>
      <c r="P463" s="8">
        <f>INT(Delivery_data[[#This Row],[Order Timestamp]])</f>
        <v>45176</v>
      </c>
      <c r="Q463">
        <f ca="1">IF(Delivery_data[[#This Row],[Order Status]]="In Progress", TODAY()-Delivery_data[[#This Row],[Order Date]], "")</f>
        <v>807</v>
      </c>
      <c r="R463">
        <f>IF(Delivery_data[[#This Row],[On Time]]=1,0,1)</f>
        <v>1</v>
      </c>
    </row>
    <row r="464" spans="1:18" x14ac:dyDescent="0.35">
      <c r="A464">
        <v>1635</v>
      </c>
      <c r="B464" t="s">
        <v>592</v>
      </c>
      <c r="C464" s="1">
        <v>45173.602777777778</v>
      </c>
      <c r="D464" t="s">
        <v>16</v>
      </c>
      <c r="E464" t="s">
        <v>58</v>
      </c>
      <c r="F464" t="s">
        <v>18</v>
      </c>
      <c r="G464" t="s">
        <v>557</v>
      </c>
      <c r="H464">
        <v>129</v>
      </c>
      <c r="I464">
        <v>24</v>
      </c>
      <c r="J464" t="s">
        <v>35</v>
      </c>
      <c r="K464" t="s">
        <v>28</v>
      </c>
      <c r="L464" t="s">
        <v>29</v>
      </c>
      <c r="M464" t="s">
        <v>39</v>
      </c>
      <c r="N464">
        <v>0</v>
      </c>
      <c r="O464">
        <v>1</v>
      </c>
      <c r="P464" s="8">
        <f>INT(Delivery_data[[#This Row],[Order Timestamp]])</f>
        <v>45173</v>
      </c>
      <c r="Q464">
        <f ca="1">IF(Delivery_data[[#This Row],[Order Status]]="In Progress", TODAY()-Delivery_data[[#This Row],[Order Date]], "")</f>
        <v>810</v>
      </c>
      <c r="R464">
        <f>IF(Delivery_data[[#This Row],[On Time]]=1,0,1)</f>
        <v>1</v>
      </c>
    </row>
    <row r="465" spans="1:18" x14ac:dyDescent="0.35">
      <c r="A465">
        <v>1657</v>
      </c>
      <c r="B465" t="s">
        <v>593</v>
      </c>
      <c r="C465" s="1">
        <v>45174.431250000001</v>
      </c>
      <c r="D465" t="s">
        <v>16</v>
      </c>
      <c r="E465" t="s">
        <v>292</v>
      </c>
      <c r="F465" t="s">
        <v>18</v>
      </c>
      <c r="G465" t="s">
        <v>557</v>
      </c>
      <c r="H465">
        <v>110</v>
      </c>
      <c r="I465">
        <v>4</v>
      </c>
      <c r="J465" t="s">
        <v>35</v>
      </c>
      <c r="K465" t="s">
        <v>38</v>
      </c>
      <c r="L465" t="s">
        <v>22</v>
      </c>
      <c r="M465" t="s">
        <v>39</v>
      </c>
      <c r="N465">
        <v>0</v>
      </c>
      <c r="O465">
        <v>1</v>
      </c>
      <c r="P465" s="8">
        <f>INT(Delivery_data[[#This Row],[Order Timestamp]])</f>
        <v>45174</v>
      </c>
      <c r="Q465">
        <f ca="1">IF(Delivery_data[[#This Row],[Order Status]]="In Progress", TODAY()-Delivery_data[[#This Row],[Order Date]], "")</f>
        <v>809</v>
      </c>
      <c r="R465">
        <f>IF(Delivery_data[[#This Row],[On Time]]=1,0,1)</f>
        <v>1</v>
      </c>
    </row>
    <row r="466" spans="1:18" x14ac:dyDescent="0.35">
      <c r="A466">
        <v>1675</v>
      </c>
      <c r="B466" t="s">
        <v>594</v>
      </c>
      <c r="C466" s="1">
        <v>45177.408333333333</v>
      </c>
      <c r="D466" t="s">
        <v>25</v>
      </c>
      <c r="E466" t="s">
        <v>184</v>
      </c>
      <c r="F466" t="s">
        <v>18</v>
      </c>
      <c r="G466" t="s">
        <v>557</v>
      </c>
      <c r="H466">
        <v>103</v>
      </c>
      <c r="I466">
        <v>13</v>
      </c>
      <c r="J466" t="s">
        <v>27</v>
      </c>
      <c r="K466" t="s">
        <v>33</v>
      </c>
      <c r="L466" t="s">
        <v>29</v>
      </c>
      <c r="M466" t="s">
        <v>39</v>
      </c>
      <c r="N466">
        <v>0</v>
      </c>
      <c r="O466">
        <v>0</v>
      </c>
      <c r="P466" s="8">
        <f>INT(Delivery_data[[#This Row],[Order Timestamp]])</f>
        <v>45177</v>
      </c>
      <c r="Q466" t="str">
        <f ca="1">IF(Delivery_data[[#This Row],[Order Status]]="In Progress", TODAY()-Delivery_data[[#This Row],[Order Date]], "")</f>
        <v/>
      </c>
      <c r="R466">
        <f>IF(Delivery_data[[#This Row],[On Time]]=1,0,1)</f>
        <v>1</v>
      </c>
    </row>
    <row r="467" spans="1:18" x14ac:dyDescent="0.35">
      <c r="A467">
        <v>1684</v>
      </c>
      <c r="B467" t="s">
        <v>595</v>
      </c>
      <c r="C467" s="1">
        <v>45175.345138888886</v>
      </c>
      <c r="D467" t="s">
        <v>25</v>
      </c>
      <c r="E467" t="s">
        <v>108</v>
      </c>
      <c r="F467" t="s">
        <v>18</v>
      </c>
      <c r="G467" t="s">
        <v>557</v>
      </c>
      <c r="H467">
        <v>82</v>
      </c>
      <c r="I467">
        <v>6</v>
      </c>
      <c r="J467" t="s">
        <v>20</v>
      </c>
      <c r="K467" t="s">
        <v>51</v>
      </c>
      <c r="L467" t="s">
        <v>29</v>
      </c>
      <c r="M467" t="s">
        <v>39</v>
      </c>
      <c r="N467">
        <v>0</v>
      </c>
      <c r="O467">
        <v>0</v>
      </c>
      <c r="P467" s="8">
        <f>INT(Delivery_data[[#This Row],[Order Timestamp]])</f>
        <v>45175</v>
      </c>
      <c r="Q467" t="str">
        <f ca="1">IF(Delivery_data[[#This Row],[Order Status]]="In Progress", TODAY()-Delivery_data[[#This Row],[Order Date]], "")</f>
        <v/>
      </c>
      <c r="R467">
        <f>IF(Delivery_data[[#This Row],[On Time]]=1,0,1)</f>
        <v>1</v>
      </c>
    </row>
    <row r="468" spans="1:18" x14ac:dyDescent="0.35">
      <c r="A468">
        <v>1685</v>
      </c>
      <c r="B468" t="s">
        <v>596</v>
      </c>
      <c r="C468" s="1">
        <v>45173.418055555558</v>
      </c>
      <c r="D468" t="s">
        <v>16</v>
      </c>
      <c r="E468" t="s">
        <v>212</v>
      </c>
      <c r="F468" t="s">
        <v>18</v>
      </c>
      <c r="G468" t="s">
        <v>557</v>
      </c>
      <c r="H468">
        <v>228</v>
      </c>
      <c r="I468">
        <v>20</v>
      </c>
      <c r="J468" t="s">
        <v>20</v>
      </c>
      <c r="K468" t="s">
        <v>51</v>
      </c>
      <c r="L468" t="s">
        <v>22</v>
      </c>
      <c r="M468" t="s">
        <v>30</v>
      </c>
      <c r="N468">
        <v>0</v>
      </c>
      <c r="O468">
        <v>0</v>
      </c>
      <c r="P468" s="8">
        <f>INT(Delivery_data[[#This Row],[Order Timestamp]])</f>
        <v>45173</v>
      </c>
      <c r="Q468">
        <f ca="1">IF(Delivery_data[[#This Row],[Order Status]]="In Progress", TODAY()-Delivery_data[[#This Row],[Order Date]], "")</f>
        <v>810</v>
      </c>
      <c r="R468">
        <f>IF(Delivery_data[[#This Row],[On Time]]=1,0,1)</f>
        <v>1</v>
      </c>
    </row>
    <row r="469" spans="1:18" x14ac:dyDescent="0.35">
      <c r="A469">
        <v>1690</v>
      </c>
      <c r="B469" t="s">
        <v>597</v>
      </c>
      <c r="C469" s="1">
        <v>45173.574999999997</v>
      </c>
      <c r="D469" t="s">
        <v>25</v>
      </c>
      <c r="E469" t="s">
        <v>598</v>
      </c>
      <c r="F469" t="s">
        <v>18</v>
      </c>
      <c r="G469" t="s">
        <v>557</v>
      </c>
      <c r="H469">
        <v>90</v>
      </c>
      <c r="I469">
        <v>4</v>
      </c>
      <c r="J469" t="s">
        <v>27</v>
      </c>
      <c r="K469" t="s">
        <v>21</v>
      </c>
      <c r="L469" t="s">
        <v>29</v>
      </c>
      <c r="M469" t="s">
        <v>39</v>
      </c>
      <c r="N469">
        <v>0</v>
      </c>
      <c r="O469">
        <v>0</v>
      </c>
      <c r="P469" s="8">
        <f>INT(Delivery_data[[#This Row],[Order Timestamp]])</f>
        <v>45173</v>
      </c>
      <c r="Q469" t="str">
        <f ca="1">IF(Delivery_data[[#This Row],[Order Status]]="In Progress", TODAY()-Delivery_data[[#This Row],[Order Date]], "")</f>
        <v/>
      </c>
      <c r="R469">
        <f>IF(Delivery_data[[#This Row],[On Time]]=1,0,1)</f>
        <v>1</v>
      </c>
    </row>
    <row r="470" spans="1:18" x14ac:dyDescent="0.35">
      <c r="A470">
        <v>1693</v>
      </c>
      <c r="B470" t="s">
        <v>599</v>
      </c>
      <c r="C470" s="1">
        <v>45170.586111111108</v>
      </c>
      <c r="D470" t="s">
        <v>16</v>
      </c>
      <c r="E470" t="s">
        <v>32</v>
      </c>
      <c r="F470" t="s">
        <v>18</v>
      </c>
      <c r="G470" t="s">
        <v>557</v>
      </c>
      <c r="H470">
        <v>199</v>
      </c>
      <c r="I470">
        <v>21</v>
      </c>
      <c r="J470" t="s">
        <v>35</v>
      </c>
      <c r="K470" t="s">
        <v>51</v>
      </c>
      <c r="L470" t="s">
        <v>42</v>
      </c>
      <c r="M470" t="s">
        <v>23</v>
      </c>
      <c r="N470">
        <v>0</v>
      </c>
      <c r="O470">
        <v>1</v>
      </c>
      <c r="P470" s="8">
        <f>INT(Delivery_data[[#This Row],[Order Timestamp]])</f>
        <v>45170</v>
      </c>
      <c r="Q470">
        <f ca="1">IF(Delivery_data[[#This Row],[Order Status]]="In Progress", TODAY()-Delivery_data[[#This Row],[Order Date]], "")</f>
        <v>813</v>
      </c>
      <c r="R470">
        <f>IF(Delivery_data[[#This Row],[On Time]]=1,0,1)</f>
        <v>1</v>
      </c>
    </row>
    <row r="471" spans="1:18" x14ac:dyDescent="0.35">
      <c r="A471">
        <v>1714</v>
      </c>
      <c r="B471" t="s">
        <v>600</v>
      </c>
      <c r="C471" s="1">
        <v>45170.442361111112</v>
      </c>
      <c r="D471" t="s">
        <v>25</v>
      </c>
      <c r="E471" t="s">
        <v>200</v>
      </c>
      <c r="F471" t="s">
        <v>18</v>
      </c>
      <c r="G471" t="s">
        <v>557</v>
      </c>
      <c r="H471">
        <v>150</v>
      </c>
      <c r="I471">
        <v>27</v>
      </c>
      <c r="J471" t="s">
        <v>27</v>
      </c>
      <c r="K471" t="s">
        <v>21</v>
      </c>
      <c r="L471" t="s">
        <v>22</v>
      </c>
      <c r="M471" t="s">
        <v>23</v>
      </c>
      <c r="N471">
        <v>0</v>
      </c>
      <c r="O471">
        <v>0</v>
      </c>
      <c r="P471" s="8">
        <f>INT(Delivery_data[[#This Row],[Order Timestamp]])</f>
        <v>45170</v>
      </c>
      <c r="Q471" t="str">
        <f ca="1">IF(Delivery_data[[#This Row],[Order Status]]="In Progress", TODAY()-Delivery_data[[#This Row],[Order Date]], "")</f>
        <v/>
      </c>
      <c r="R471">
        <f>IF(Delivery_data[[#This Row],[On Time]]=1,0,1)</f>
        <v>1</v>
      </c>
    </row>
    <row r="472" spans="1:18" x14ac:dyDescent="0.35">
      <c r="A472">
        <v>1720</v>
      </c>
      <c r="B472" t="s">
        <v>601</v>
      </c>
      <c r="C472" s="1">
        <v>45173.348611111112</v>
      </c>
      <c r="D472" t="s">
        <v>25</v>
      </c>
      <c r="E472" t="s">
        <v>62</v>
      </c>
      <c r="F472" t="s">
        <v>18</v>
      </c>
      <c r="G472" t="s">
        <v>557</v>
      </c>
      <c r="H472">
        <v>148</v>
      </c>
      <c r="I472">
        <v>1</v>
      </c>
      <c r="J472" t="s">
        <v>27</v>
      </c>
      <c r="K472" t="s">
        <v>28</v>
      </c>
      <c r="L472" t="s">
        <v>42</v>
      </c>
      <c r="M472" t="s">
        <v>30</v>
      </c>
      <c r="N472">
        <v>0</v>
      </c>
      <c r="O472">
        <v>0</v>
      </c>
      <c r="P472" s="8">
        <f>INT(Delivery_data[[#This Row],[Order Timestamp]])</f>
        <v>45173</v>
      </c>
      <c r="Q472" t="str">
        <f ca="1">IF(Delivery_data[[#This Row],[Order Status]]="In Progress", TODAY()-Delivery_data[[#This Row],[Order Date]], "")</f>
        <v/>
      </c>
      <c r="R472">
        <f>IF(Delivery_data[[#This Row],[On Time]]=1,0,1)</f>
        <v>1</v>
      </c>
    </row>
    <row r="473" spans="1:18" x14ac:dyDescent="0.35">
      <c r="A473">
        <v>1725</v>
      </c>
      <c r="B473" t="s">
        <v>602</v>
      </c>
      <c r="C473" s="1">
        <v>45172.634722222225</v>
      </c>
      <c r="D473" t="s">
        <v>25</v>
      </c>
      <c r="E473" t="s">
        <v>48</v>
      </c>
      <c r="F473" t="s">
        <v>18</v>
      </c>
      <c r="G473" t="s">
        <v>557</v>
      </c>
      <c r="H473">
        <v>60</v>
      </c>
      <c r="I473">
        <v>20</v>
      </c>
      <c r="J473" t="s">
        <v>27</v>
      </c>
      <c r="K473" t="s">
        <v>28</v>
      </c>
      <c r="L473" t="s">
        <v>29</v>
      </c>
      <c r="M473" t="s">
        <v>30</v>
      </c>
      <c r="N473">
        <v>0</v>
      </c>
      <c r="O473">
        <v>0</v>
      </c>
      <c r="P473" s="8">
        <f>INT(Delivery_data[[#This Row],[Order Timestamp]])</f>
        <v>45172</v>
      </c>
      <c r="Q473" t="str">
        <f ca="1">IF(Delivery_data[[#This Row],[Order Status]]="In Progress", TODAY()-Delivery_data[[#This Row],[Order Date]], "")</f>
        <v/>
      </c>
      <c r="R473">
        <f>IF(Delivery_data[[#This Row],[On Time]]=1,0,1)</f>
        <v>1</v>
      </c>
    </row>
    <row r="474" spans="1:18" x14ac:dyDescent="0.35">
      <c r="A474">
        <v>1735</v>
      </c>
      <c r="B474" t="s">
        <v>603</v>
      </c>
      <c r="C474" s="1">
        <v>45171.674305555556</v>
      </c>
      <c r="D474" t="s">
        <v>16</v>
      </c>
      <c r="E474" t="s">
        <v>144</v>
      </c>
      <c r="F474" t="s">
        <v>18</v>
      </c>
      <c r="G474" t="s">
        <v>557</v>
      </c>
      <c r="H474">
        <v>228</v>
      </c>
      <c r="I474">
        <v>1</v>
      </c>
      <c r="J474" t="s">
        <v>20</v>
      </c>
      <c r="K474" t="s">
        <v>33</v>
      </c>
      <c r="L474" t="s">
        <v>22</v>
      </c>
      <c r="M474" t="s">
        <v>39</v>
      </c>
      <c r="N474">
        <v>0</v>
      </c>
      <c r="O474">
        <v>0</v>
      </c>
      <c r="P474" s="8">
        <f>INT(Delivery_data[[#This Row],[Order Timestamp]])</f>
        <v>45171</v>
      </c>
      <c r="Q474">
        <f ca="1">IF(Delivery_data[[#This Row],[Order Status]]="In Progress", TODAY()-Delivery_data[[#This Row],[Order Date]], "")</f>
        <v>812</v>
      </c>
      <c r="R474">
        <f>IF(Delivery_data[[#This Row],[On Time]]=1,0,1)</f>
        <v>1</v>
      </c>
    </row>
    <row r="475" spans="1:18" x14ac:dyDescent="0.35">
      <c r="A475">
        <v>1747</v>
      </c>
      <c r="B475" t="s">
        <v>604</v>
      </c>
      <c r="C475" s="1">
        <v>45176.397222222222</v>
      </c>
      <c r="D475" t="s">
        <v>16</v>
      </c>
      <c r="E475" t="s">
        <v>48</v>
      </c>
      <c r="F475" t="s">
        <v>18</v>
      </c>
      <c r="G475" t="s">
        <v>557</v>
      </c>
      <c r="H475">
        <v>149</v>
      </c>
      <c r="I475">
        <v>19</v>
      </c>
      <c r="J475" t="s">
        <v>20</v>
      </c>
      <c r="K475" t="s">
        <v>21</v>
      </c>
      <c r="L475" t="s">
        <v>42</v>
      </c>
      <c r="M475" t="s">
        <v>30</v>
      </c>
      <c r="N475">
        <v>0</v>
      </c>
      <c r="O475">
        <v>0</v>
      </c>
      <c r="P475" s="8">
        <f>INT(Delivery_data[[#This Row],[Order Timestamp]])</f>
        <v>45176</v>
      </c>
      <c r="Q475">
        <f ca="1">IF(Delivery_data[[#This Row],[Order Status]]="In Progress", TODAY()-Delivery_data[[#This Row],[Order Date]], "")</f>
        <v>807</v>
      </c>
      <c r="R475">
        <f>IF(Delivery_data[[#This Row],[On Time]]=1,0,1)</f>
        <v>1</v>
      </c>
    </row>
    <row r="476" spans="1:18" x14ac:dyDescent="0.35">
      <c r="A476">
        <v>1771</v>
      </c>
      <c r="B476" t="s">
        <v>605</v>
      </c>
      <c r="C476" s="1">
        <v>45170.449305555558</v>
      </c>
      <c r="D476" t="s">
        <v>25</v>
      </c>
      <c r="E476" t="s">
        <v>200</v>
      </c>
      <c r="F476" t="s">
        <v>18</v>
      </c>
      <c r="G476" t="s">
        <v>557</v>
      </c>
      <c r="H476">
        <v>61</v>
      </c>
      <c r="I476">
        <v>10</v>
      </c>
      <c r="J476" t="s">
        <v>35</v>
      </c>
      <c r="K476" t="s">
        <v>51</v>
      </c>
      <c r="L476" t="s">
        <v>22</v>
      </c>
      <c r="M476" t="s">
        <v>39</v>
      </c>
      <c r="N476">
        <v>0</v>
      </c>
      <c r="O476">
        <v>1</v>
      </c>
      <c r="P476" s="8">
        <f>INT(Delivery_data[[#This Row],[Order Timestamp]])</f>
        <v>45170</v>
      </c>
      <c r="Q476" t="str">
        <f ca="1">IF(Delivery_data[[#This Row],[Order Status]]="In Progress", TODAY()-Delivery_data[[#This Row],[Order Date]], "")</f>
        <v/>
      </c>
      <c r="R476">
        <f>IF(Delivery_data[[#This Row],[On Time]]=1,0,1)</f>
        <v>1</v>
      </c>
    </row>
    <row r="477" spans="1:18" x14ac:dyDescent="0.35">
      <c r="A477">
        <v>1807</v>
      </c>
      <c r="B477" t="s">
        <v>606</v>
      </c>
      <c r="C477" s="1">
        <v>45170.513194444444</v>
      </c>
      <c r="D477" t="s">
        <v>25</v>
      </c>
      <c r="E477" t="s">
        <v>559</v>
      </c>
      <c r="F477" t="s">
        <v>18</v>
      </c>
      <c r="G477" t="s">
        <v>557</v>
      </c>
      <c r="H477">
        <v>157</v>
      </c>
      <c r="I477">
        <v>10</v>
      </c>
      <c r="J477" t="s">
        <v>20</v>
      </c>
      <c r="K477" t="s">
        <v>33</v>
      </c>
      <c r="L477" t="s">
        <v>22</v>
      </c>
      <c r="M477" t="s">
        <v>23</v>
      </c>
      <c r="N477">
        <v>0</v>
      </c>
      <c r="O477">
        <v>0</v>
      </c>
      <c r="P477" s="8">
        <f>INT(Delivery_data[[#This Row],[Order Timestamp]])</f>
        <v>45170</v>
      </c>
      <c r="Q477" t="str">
        <f ca="1">IF(Delivery_data[[#This Row],[Order Status]]="In Progress", TODAY()-Delivery_data[[#This Row],[Order Date]], "")</f>
        <v/>
      </c>
      <c r="R477">
        <f>IF(Delivery_data[[#This Row],[On Time]]=1,0,1)</f>
        <v>1</v>
      </c>
    </row>
    <row r="478" spans="1:18" x14ac:dyDescent="0.35">
      <c r="A478">
        <v>1912</v>
      </c>
      <c r="B478" t="s">
        <v>607</v>
      </c>
      <c r="C478" s="1">
        <v>45173.634722222225</v>
      </c>
      <c r="D478" t="s">
        <v>25</v>
      </c>
      <c r="E478" t="s">
        <v>32</v>
      </c>
      <c r="F478" t="s">
        <v>18</v>
      </c>
      <c r="G478" t="s">
        <v>557</v>
      </c>
      <c r="H478">
        <v>85</v>
      </c>
      <c r="I478">
        <v>2</v>
      </c>
      <c r="J478" t="s">
        <v>20</v>
      </c>
      <c r="K478" t="s">
        <v>21</v>
      </c>
      <c r="L478" t="s">
        <v>42</v>
      </c>
      <c r="M478" t="s">
        <v>23</v>
      </c>
      <c r="N478">
        <v>0</v>
      </c>
      <c r="O478">
        <v>0</v>
      </c>
      <c r="P478" s="8">
        <f>INT(Delivery_data[[#This Row],[Order Timestamp]])</f>
        <v>45173</v>
      </c>
      <c r="Q478" t="str">
        <f ca="1">IF(Delivery_data[[#This Row],[Order Status]]="In Progress", TODAY()-Delivery_data[[#This Row],[Order Date]], "")</f>
        <v/>
      </c>
      <c r="R478">
        <f>IF(Delivery_data[[#This Row],[On Time]]=1,0,1)</f>
        <v>1</v>
      </c>
    </row>
    <row r="479" spans="1:18" x14ac:dyDescent="0.35">
      <c r="A479">
        <v>1923</v>
      </c>
      <c r="B479" t="s">
        <v>608</v>
      </c>
      <c r="C479" s="1">
        <v>45171.659722222219</v>
      </c>
      <c r="D479" t="s">
        <v>16</v>
      </c>
      <c r="E479" t="s">
        <v>320</v>
      </c>
      <c r="F479" t="s">
        <v>18</v>
      </c>
      <c r="G479" t="s">
        <v>557</v>
      </c>
      <c r="H479">
        <v>90</v>
      </c>
      <c r="I479">
        <v>9</v>
      </c>
      <c r="J479" t="s">
        <v>27</v>
      </c>
      <c r="K479" t="s">
        <v>51</v>
      </c>
      <c r="L479" t="s">
        <v>42</v>
      </c>
      <c r="M479" t="s">
        <v>23</v>
      </c>
      <c r="N479">
        <v>0</v>
      </c>
      <c r="O479">
        <v>0</v>
      </c>
      <c r="P479" s="8">
        <f>INT(Delivery_data[[#This Row],[Order Timestamp]])</f>
        <v>45171</v>
      </c>
      <c r="Q479">
        <f ca="1">IF(Delivery_data[[#This Row],[Order Status]]="In Progress", TODAY()-Delivery_data[[#This Row],[Order Date]], "")</f>
        <v>812</v>
      </c>
      <c r="R479">
        <f>IF(Delivery_data[[#This Row],[On Time]]=1,0,1)</f>
        <v>1</v>
      </c>
    </row>
    <row r="480" spans="1:18" x14ac:dyDescent="0.35">
      <c r="A480">
        <v>1927</v>
      </c>
      <c r="B480" t="s">
        <v>609</v>
      </c>
      <c r="C480" s="1">
        <v>45176.381249999999</v>
      </c>
      <c r="D480" t="s">
        <v>16</v>
      </c>
      <c r="E480" t="s">
        <v>287</v>
      </c>
      <c r="F480" t="s">
        <v>18</v>
      </c>
      <c r="G480" t="s">
        <v>557</v>
      </c>
      <c r="H480">
        <v>72</v>
      </c>
      <c r="I480">
        <v>27</v>
      </c>
      <c r="J480" t="s">
        <v>35</v>
      </c>
      <c r="K480" t="s">
        <v>21</v>
      </c>
      <c r="L480" t="s">
        <v>42</v>
      </c>
      <c r="M480" t="s">
        <v>23</v>
      </c>
      <c r="N480">
        <v>0</v>
      </c>
      <c r="O480">
        <v>1</v>
      </c>
      <c r="P480" s="8">
        <f>INT(Delivery_data[[#This Row],[Order Timestamp]])</f>
        <v>45176</v>
      </c>
      <c r="Q480">
        <f ca="1">IF(Delivery_data[[#This Row],[Order Status]]="In Progress", TODAY()-Delivery_data[[#This Row],[Order Date]], "")</f>
        <v>807</v>
      </c>
      <c r="R480">
        <f>IF(Delivery_data[[#This Row],[On Time]]=1,0,1)</f>
        <v>1</v>
      </c>
    </row>
    <row r="481" spans="1:18" x14ac:dyDescent="0.35">
      <c r="A481">
        <v>1937</v>
      </c>
      <c r="B481" t="s">
        <v>610</v>
      </c>
      <c r="C481" s="1">
        <v>45170.423611111109</v>
      </c>
      <c r="D481" t="s">
        <v>16</v>
      </c>
      <c r="E481" t="s">
        <v>352</v>
      </c>
      <c r="F481" t="s">
        <v>18</v>
      </c>
      <c r="G481" t="s">
        <v>557</v>
      </c>
      <c r="H481">
        <v>222</v>
      </c>
      <c r="I481">
        <v>7</v>
      </c>
      <c r="J481" t="s">
        <v>20</v>
      </c>
      <c r="K481" t="s">
        <v>33</v>
      </c>
      <c r="L481" t="s">
        <v>29</v>
      </c>
      <c r="M481" t="s">
        <v>30</v>
      </c>
      <c r="N481">
        <v>0</v>
      </c>
      <c r="O481">
        <v>0</v>
      </c>
      <c r="P481" s="8">
        <f>INT(Delivery_data[[#This Row],[Order Timestamp]])</f>
        <v>45170</v>
      </c>
      <c r="Q481">
        <f ca="1">IF(Delivery_data[[#This Row],[Order Status]]="In Progress", TODAY()-Delivery_data[[#This Row],[Order Date]], "")</f>
        <v>813</v>
      </c>
      <c r="R481">
        <f>IF(Delivery_data[[#This Row],[On Time]]=1,0,1)</f>
        <v>1</v>
      </c>
    </row>
    <row r="482" spans="1:18" x14ac:dyDescent="0.35">
      <c r="A482">
        <v>1967</v>
      </c>
      <c r="B482" t="s">
        <v>611</v>
      </c>
      <c r="C482" s="1">
        <v>45173.609027777777</v>
      </c>
      <c r="D482" t="s">
        <v>16</v>
      </c>
      <c r="E482" t="s">
        <v>204</v>
      </c>
      <c r="F482" t="s">
        <v>18</v>
      </c>
      <c r="G482" t="s">
        <v>557</v>
      </c>
      <c r="H482">
        <v>202</v>
      </c>
      <c r="I482">
        <v>14</v>
      </c>
      <c r="J482" t="s">
        <v>20</v>
      </c>
      <c r="K482" t="s">
        <v>28</v>
      </c>
      <c r="L482" t="s">
        <v>29</v>
      </c>
      <c r="M482" t="s">
        <v>39</v>
      </c>
      <c r="N482">
        <v>0</v>
      </c>
      <c r="O482">
        <v>0</v>
      </c>
      <c r="P482" s="8">
        <f>INT(Delivery_data[[#This Row],[Order Timestamp]])</f>
        <v>45173</v>
      </c>
      <c r="Q482">
        <f ca="1">IF(Delivery_data[[#This Row],[Order Status]]="In Progress", TODAY()-Delivery_data[[#This Row],[Order Date]], "")</f>
        <v>810</v>
      </c>
      <c r="R482">
        <f>IF(Delivery_data[[#This Row],[On Time]]=1,0,1)</f>
        <v>1</v>
      </c>
    </row>
    <row r="483" spans="1:18" x14ac:dyDescent="0.35">
      <c r="A483">
        <v>1981</v>
      </c>
      <c r="B483" t="s">
        <v>612</v>
      </c>
      <c r="C483" s="1">
        <v>45177.604861111111</v>
      </c>
      <c r="D483" t="s">
        <v>25</v>
      </c>
      <c r="E483" t="s">
        <v>158</v>
      </c>
      <c r="F483" t="s">
        <v>18</v>
      </c>
      <c r="G483" t="s">
        <v>557</v>
      </c>
      <c r="H483">
        <v>123</v>
      </c>
      <c r="I483">
        <v>11</v>
      </c>
      <c r="J483" t="s">
        <v>35</v>
      </c>
      <c r="K483" t="s">
        <v>28</v>
      </c>
      <c r="L483" t="s">
        <v>22</v>
      </c>
      <c r="M483" t="s">
        <v>23</v>
      </c>
      <c r="N483">
        <v>0</v>
      </c>
      <c r="O483">
        <v>1</v>
      </c>
      <c r="P483" s="8">
        <f>INT(Delivery_data[[#This Row],[Order Timestamp]])</f>
        <v>45177</v>
      </c>
      <c r="Q483" t="str">
        <f ca="1">IF(Delivery_data[[#This Row],[Order Status]]="In Progress", TODAY()-Delivery_data[[#This Row],[Order Date]], "")</f>
        <v/>
      </c>
      <c r="R483">
        <f>IF(Delivery_data[[#This Row],[On Time]]=1,0,1)</f>
        <v>1</v>
      </c>
    </row>
    <row r="484" spans="1:18" x14ac:dyDescent="0.35">
      <c r="A484">
        <v>1990</v>
      </c>
      <c r="B484" t="s">
        <v>613</v>
      </c>
      <c r="C484" s="1">
        <v>45173.554861111108</v>
      </c>
      <c r="D484" t="s">
        <v>16</v>
      </c>
      <c r="E484" t="s">
        <v>416</v>
      </c>
      <c r="F484" t="s">
        <v>18</v>
      </c>
      <c r="G484" t="s">
        <v>557</v>
      </c>
      <c r="H484">
        <v>75</v>
      </c>
      <c r="I484">
        <v>28</v>
      </c>
      <c r="J484" t="s">
        <v>20</v>
      </c>
      <c r="K484" t="s">
        <v>51</v>
      </c>
      <c r="L484" t="s">
        <v>22</v>
      </c>
      <c r="M484" t="s">
        <v>30</v>
      </c>
      <c r="N484">
        <v>0</v>
      </c>
      <c r="O484">
        <v>0</v>
      </c>
      <c r="P484" s="8">
        <f>INT(Delivery_data[[#This Row],[Order Timestamp]])</f>
        <v>45173</v>
      </c>
      <c r="Q484">
        <f ca="1">IF(Delivery_data[[#This Row],[Order Status]]="In Progress", TODAY()-Delivery_data[[#This Row],[Order Date]], "")</f>
        <v>810</v>
      </c>
      <c r="R484">
        <f>IF(Delivery_data[[#This Row],[On Time]]=1,0,1)</f>
        <v>1</v>
      </c>
    </row>
    <row r="485" spans="1:18" x14ac:dyDescent="0.35">
      <c r="A485">
        <v>2028</v>
      </c>
      <c r="B485" t="s">
        <v>614</v>
      </c>
      <c r="C485" s="1">
        <v>45176.612500000003</v>
      </c>
      <c r="D485" t="s">
        <v>25</v>
      </c>
      <c r="E485" t="s">
        <v>320</v>
      </c>
      <c r="F485" t="s">
        <v>18</v>
      </c>
      <c r="G485" t="s">
        <v>557</v>
      </c>
      <c r="H485">
        <v>157</v>
      </c>
      <c r="I485">
        <v>20</v>
      </c>
      <c r="J485" t="s">
        <v>35</v>
      </c>
      <c r="K485" t="s">
        <v>38</v>
      </c>
      <c r="L485" t="s">
        <v>22</v>
      </c>
      <c r="M485" t="s">
        <v>39</v>
      </c>
      <c r="N485">
        <v>0</v>
      </c>
      <c r="O485">
        <v>1</v>
      </c>
      <c r="P485" s="8">
        <f>INT(Delivery_data[[#This Row],[Order Timestamp]])</f>
        <v>45176</v>
      </c>
      <c r="Q485" t="str">
        <f ca="1">IF(Delivery_data[[#This Row],[Order Status]]="In Progress", TODAY()-Delivery_data[[#This Row],[Order Date]], "")</f>
        <v/>
      </c>
      <c r="R485">
        <f>IF(Delivery_data[[#This Row],[On Time]]=1,0,1)</f>
        <v>1</v>
      </c>
    </row>
    <row r="486" spans="1:18" x14ac:dyDescent="0.35">
      <c r="A486">
        <v>2038</v>
      </c>
      <c r="B486" t="s">
        <v>615</v>
      </c>
      <c r="C486" s="1">
        <v>45172.7</v>
      </c>
      <c r="D486" t="s">
        <v>25</v>
      </c>
      <c r="E486" t="s">
        <v>292</v>
      </c>
      <c r="F486" t="s">
        <v>18</v>
      </c>
      <c r="G486" t="s">
        <v>557</v>
      </c>
      <c r="H486">
        <v>173</v>
      </c>
      <c r="I486">
        <v>21</v>
      </c>
      <c r="J486" t="s">
        <v>27</v>
      </c>
      <c r="K486" t="s">
        <v>38</v>
      </c>
      <c r="L486" t="s">
        <v>42</v>
      </c>
      <c r="M486" t="s">
        <v>39</v>
      </c>
      <c r="N486">
        <v>0</v>
      </c>
      <c r="O486">
        <v>0</v>
      </c>
      <c r="P486" s="8">
        <f>INT(Delivery_data[[#This Row],[Order Timestamp]])</f>
        <v>45172</v>
      </c>
      <c r="Q486" t="str">
        <f ca="1">IF(Delivery_data[[#This Row],[Order Status]]="In Progress", TODAY()-Delivery_data[[#This Row],[Order Date]], "")</f>
        <v/>
      </c>
      <c r="R486">
        <f>IF(Delivery_data[[#This Row],[On Time]]=1,0,1)</f>
        <v>1</v>
      </c>
    </row>
    <row r="487" spans="1:18" x14ac:dyDescent="0.35">
      <c r="A487">
        <v>2074</v>
      </c>
      <c r="B487" t="s">
        <v>616</v>
      </c>
      <c r="C487" s="1">
        <v>45176.495138888888</v>
      </c>
      <c r="D487" t="s">
        <v>16</v>
      </c>
      <c r="E487" t="s">
        <v>416</v>
      </c>
      <c r="F487" t="s">
        <v>18</v>
      </c>
      <c r="G487" t="s">
        <v>557</v>
      </c>
      <c r="H487">
        <v>117</v>
      </c>
      <c r="I487">
        <v>13</v>
      </c>
      <c r="J487" t="s">
        <v>20</v>
      </c>
      <c r="K487" t="s">
        <v>21</v>
      </c>
      <c r="L487" t="s">
        <v>29</v>
      </c>
      <c r="M487" t="s">
        <v>23</v>
      </c>
      <c r="N487">
        <v>0</v>
      </c>
      <c r="O487">
        <v>0</v>
      </c>
      <c r="P487" s="8">
        <f>INT(Delivery_data[[#This Row],[Order Timestamp]])</f>
        <v>45176</v>
      </c>
      <c r="Q487">
        <f ca="1">IF(Delivery_data[[#This Row],[Order Status]]="In Progress", TODAY()-Delivery_data[[#This Row],[Order Date]], "")</f>
        <v>807</v>
      </c>
      <c r="R487">
        <f>IF(Delivery_data[[#This Row],[On Time]]=1,0,1)</f>
        <v>1</v>
      </c>
    </row>
    <row r="488" spans="1:18" x14ac:dyDescent="0.35">
      <c r="A488">
        <v>2075</v>
      </c>
      <c r="B488" t="s">
        <v>617</v>
      </c>
      <c r="C488" s="1">
        <v>45172.457638888889</v>
      </c>
      <c r="D488" t="s">
        <v>16</v>
      </c>
      <c r="E488" t="s">
        <v>346</v>
      </c>
      <c r="F488" t="s">
        <v>18</v>
      </c>
      <c r="G488" t="s">
        <v>557</v>
      </c>
      <c r="H488">
        <v>131</v>
      </c>
      <c r="I488">
        <v>24</v>
      </c>
      <c r="J488" t="s">
        <v>35</v>
      </c>
      <c r="K488" t="s">
        <v>38</v>
      </c>
      <c r="L488" t="s">
        <v>22</v>
      </c>
      <c r="M488" t="s">
        <v>39</v>
      </c>
      <c r="N488">
        <v>0</v>
      </c>
      <c r="O488">
        <v>1</v>
      </c>
      <c r="P488" s="8">
        <f>INT(Delivery_data[[#This Row],[Order Timestamp]])</f>
        <v>45172</v>
      </c>
      <c r="Q488">
        <f ca="1">IF(Delivery_data[[#This Row],[Order Status]]="In Progress", TODAY()-Delivery_data[[#This Row],[Order Date]], "")</f>
        <v>811</v>
      </c>
      <c r="R488">
        <f>IF(Delivery_data[[#This Row],[On Time]]=1,0,1)</f>
        <v>1</v>
      </c>
    </row>
    <row r="489" spans="1:18" x14ac:dyDescent="0.35">
      <c r="A489">
        <v>2082</v>
      </c>
      <c r="B489" t="s">
        <v>618</v>
      </c>
      <c r="C489" s="1">
        <v>45176.699305555558</v>
      </c>
      <c r="D489" t="s">
        <v>25</v>
      </c>
      <c r="E489" t="s">
        <v>46</v>
      </c>
      <c r="F489" t="s">
        <v>18</v>
      </c>
      <c r="G489" t="s">
        <v>557</v>
      </c>
      <c r="H489">
        <v>92</v>
      </c>
      <c r="I489">
        <v>16</v>
      </c>
      <c r="J489" t="s">
        <v>27</v>
      </c>
      <c r="K489" t="s">
        <v>21</v>
      </c>
      <c r="L489" t="s">
        <v>29</v>
      </c>
      <c r="M489" t="s">
        <v>23</v>
      </c>
      <c r="N489">
        <v>0</v>
      </c>
      <c r="O489">
        <v>0</v>
      </c>
      <c r="P489" s="8">
        <f>INT(Delivery_data[[#This Row],[Order Timestamp]])</f>
        <v>45176</v>
      </c>
      <c r="Q489" t="str">
        <f ca="1">IF(Delivery_data[[#This Row],[Order Status]]="In Progress", TODAY()-Delivery_data[[#This Row],[Order Date]], "")</f>
        <v/>
      </c>
      <c r="R489">
        <f>IF(Delivery_data[[#This Row],[On Time]]=1,0,1)</f>
        <v>1</v>
      </c>
    </row>
    <row r="490" spans="1:18" x14ac:dyDescent="0.35">
      <c r="A490">
        <v>2089</v>
      </c>
      <c r="B490" t="s">
        <v>619</v>
      </c>
      <c r="C490" s="1">
        <v>45174.395138888889</v>
      </c>
      <c r="D490" t="s">
        <v>16</v>
      </c>
      <c r="E490" t="s">
        <v>158</v>
      </c>
      <c r="F490" t="s">
        <v>18</v>
      </c>
      <c r="G490" t="s">
        <v>557</v>
      </c>
      <c r="H490">
        <v>127</v>
      </c>
      <c r="I490">
        <v>9</v>
      </c>
      <c r="J490" t="s">
        <v>20</v>
      </c>
      <c r="K490" t="s">
        <v>28</v>
      </c>
      <c r="L490" t="s">
        <v>22</v>
      </c>
      <c r="M490" t="s">
        <v>23</v>
      </c>
      <c r="N490">
        <v>0</v>
      </c>
      <c r="O490">
        <v>0</v>
      </c>
      <c r="P490" s="8">
        <f>INT(Delivery_data[[#This Row],[Order Timestamp]])</f>
        <v>45174</v>
      </c>
      <c r="Q490">
        <f ca="1">IF(Delivery_data[[#This Row],[Order Status]]="In Progress", TODAY()-Delivery_data[[#This Row],[Order Date]], "")</f>
        <v>809</v>
      </c>
      <c r="R490">
        <f>IF(Delivery_data[[#This Row],[On Time]]=1,0,1)</f>
        <v>1</v>
      </c>
    </row>
    <row r="491" spans="1:18" x14ac:dyDescent="0.35">
      <c r="A491">
        <v>2103</v>
      </c>
      <c r="B491" t="s">
        <v>620</v>
      </c>
      <c r="C491" s="1">
        <v>45170.467361111114</v>
      </c>
      <c r="D491" t="s">
        <v>16</v>
      </c>
      <c r="E491" t="s">
        <v>85</v>
      </c>
      <c r="F491" t="s">
        <v>18</v>
      </c>
      <c r="G491" t="s">
        <v>557</v>
      </c>
      <c r="H491">
        <v>188</v>
      </c>
      <c r="I491">
        <v>1</v>
      </c>
      <c r="J491" t="s">
        <v>35</v>
      </c>
      <c r="K491" t="s">
        <v>51</v>
      </c>
      <c r="L491" t="s">
        <v>42</v>
      </c>
      <c r="M491" t="s">
        <v>39</v>
      </c>
      <c r="N491">
        <v>0</v>
      </c>
      <c r="O491">
        <v>1</v>
      </c>
      <c r="P491" s="8">
        <f>INT(Delivery_data[[#This Row],[Order Timestamp]])</f>
        <v>45170</v>
      </c>
      <c r="Q491">
        <f ca="1">IF(Delivery_data[[#This Row],[Order Status]]="In Progress", TODAY()-Delivery_data[[#This Row],[Order Date]], "")</f>
        <v>813</v>
      </c>
      <c r="R491">
        <f>IF(Delivery_data[[#This Row],[On Time]]=1,0,1)</f>
        <v>1</v>
      </c>
    </row>
    <row r="492" spans="1:18" x14ac:dyDescent="0.35">
      <c r="A492">
        <v>2122</v>
      </c>
      <c r="B492" t="s">
        <v>621</v>
      </c>
      <c r="C492" s="1">
        <v>45172.395138888889</v>
      </c>
      <c r="D492" t="s">
        <v>16</v>
      </c>
      <c r="E492" t="s">
        <v>165</v>
      </c>
      <c r="F492" t="s">
        <v>18</v>
      </c>
      <c r="G492" t="s">
        <v>557</v>
      </c>
      <c r="H492">
        <v>74</v>
      </c>
      <c r="I492">
        <v>19</v>
      </c>
      <c r="J492" t="s">
        <v>27</v>
      </c>
      <c r="K492" t="s">
        <v>28</v>
      </c>
      <c r="L492" t="s">
        <v>29</v>
      </c>
      <c r="M492" t="s">
        <v>39</v>
      </c>
      <c r="N492">
        <v>0</v>
      </c>
      <c r="O492">
        <v>0</v>
      </c>
      <c r="P492" s="8">
        <f>INT(Delivery_data[[#This Row],[Order Timestamp]])</f>
        <v>45172</v>
      </c>
      <c r="Q492">
        <f ca="1">IF(Delivery_data[[#This Row],[Order Status]]="In Progress", TODAY()-Delivery_data[[#This Row],[Order Date]], "")</f>
        <v>811</v>
      </c>
      <c r="R492">
        <f>IF(Delivery_data[[#This Row],[On Time]]=1,0,1)</f>
        <v>1</v>
      </c>
    </row>
    <row r="493" spans="1:18" x14ac:dyDescent="0.35">
      <c r="A493">
        <v>2135</v>
      </c>
      <c r="B493" t="s">
        <v>622</v>
      </c>
      <c r="C493" s="1">
        <v>45175.42291666667</v>
      </c>
      <c r="D493" t="s">
        <v>16</v>
      </c>
      <c r="E493" t="s">
        <v>102</v>
      </c>
      <c r="F493" t="s">
        <v>18</v>
      </c>
      <c r="G493" t="s">
        <v>557</v>
      </c>
      <c r="H493">
        <v>101</v>
      </c>
      <c r="I493">
        <v>25</v>
      </c>
      <c r="J493" t="s">
        <v>27</v>
      </c>
      <c r="K493" t="s">
        <v>38</v>
      </c>
      <c r="L493" t="s">
        <v>22</v>
      </c>
      <c r="M493" t="s">
        <v>39</v>
      </c>
      <c r="N493">
        <v>0</v>
      </c>
      <c r="O493">
        <v>0</v>
      </c>
      <c r="P493" s="8">
        <f>INT(Delivery_data[[#This Row],[Order Timestamp]])</f>
        <v>45175</v>
      </c>
      <c r="Q493">
        <f ca="1">IF(Delivery_data[[#This Row],[Order Status]]="In Progress", TODAY()-Delivery_data[[#This Row],[Order Date]], "")</f>
        <v>808</v>
      </c>
      <c r="R493">
        <f>IF(Delivery_data[[#This Row],[On Time]]=1,0,1)</f>
        <v>1</v>
      </c>
    </row>
    <row r="494" spans="1:18" x14ac:dyDescent="0.35">
      <c r="A494">
        <v>2152</v>
      </c>
      <c r="B494" t="s">
        <v>623</v>
      </c>
      <c r="C494" s="1">
        <v>45171.396527777775</v>
      </c>
      <c r="D494" t="s">
        <v>25</v>
      </c>
      <c r="E494" t="s">
        <v>89</v>
      </c>
      <c r="F494" t="s">
        <v>18</v>
      </c>
      <c r="G494" t="s">
        <v>557</v>
      </c>
      <c r="H494">
        <v>84</v>
      </c>
      <c r="I494">
        <v>7</v>
      </c>
      <c r="J494" t="s">
        <v>27</v>
      </c>
      <c r="K494" t="s">
        <v>28</v>
      </c>
      <c r="L494" t="s">
        <v>42</v>
      </c>
      <c r="M494" t="s">
        <v>39</v>
      </c>
      <c r="N494">
        <v>0</v>
      </c>
      <c r="O494">
        <v>0</v>
      </c>
      <c r="P494" s="8">
        <f>INT(Delivery_data[[#This Row],[Order Timestamp]])</f>
        <v>45171</v>
      </c>
      <c r="Q494" t="str">
        <f ca="1">IF(Delivery_data[[#This Row],[Order Status]]="In Progress", TODAY()-Delivery_data[[#This Row],[Order Date]], "")</f>
        <v/>
      </c>
      <c r="R494">
        <f>IF(Delivery_data[[#This Row],[On Time]]=1,0,1)</f>
        <v>1</v>
      </c>
    </row>
    <row r="495" spans="1:18" x14ac:dyDescent="0.35">
      <c r="A495">
        <v>2168</v>
      </c>
      <c r="B495" t="s">
        <v>624</v>
      </c>
      <c r="C495" s="1">
        <v>45177.345138888886</v>
      </c>
      <c r="D495" t="s">
        <v>25</v>
      </c>
      <c r="E495" t="s">
        <v>85</v>
      </c>
      <c r="F495" t="s">
        <v>18</v>
      </c>
      <c r="G495" t="s">
        <v>557</v>
      </c>
      <c r="H495">
        <v>138</v>
      </c>
      <c r="I495">
        <v>19</v>
      </c>
      <c r="J495" t="s">
        <v>20</v>
      </c>
      <c r="K495" t="s">
        <v>33</v>
      </c>
      <c r="L495" t="s">
        <v>22</v>
      </c>
      <c r="M495" t="s">
        <v>23</v>
      </c>
      <c r="N495">
        <v>0</v>
      </c>
      <c r="O495">
        <v>0</v>
      </c>
      <c r="P495" s="8">
        <f>INT(Delivery_data[[#This Row],[Order Timestamp]])</f>
        <v>45177</v>
      </c>
      <c r="Q495" t="str">
        <f ca="1">IF(Delivery_data[[#This Row],[Order Status]]="In Progress", TODAY()-Delivery_data[[#This Row],[Order Date]], "")</f>
        <v/>
      </c>
      <c r="R495">
        <f>IF(Delivery_data[[#This Row],[On Time]]=1,0,1)</f>
        <v>1</v>
      </c>
    </row>
    <row r="496" spans="1:18" x14ac:dyDescent="0.35">
      <c r="A496">
        <v>2172</v>
      </c>
      <c r="B496" t="s">
        <v>625</v>
      </c>
      <c r="C496" s="1">
        <v>45175.402083333334</v>
      </c>
      <c r="D496" t="s">
        <v>25</v>
      </c>
      <c r="E496" t="s">
        <v>214</v>
      </c>
      <c r="F496" t="s">
        <v>18</v>
      </c>
      <c r="G496" t="s">
        <v>557</v>
      </c>
      <c r="H496">
        <v>164</v>
      </c>
      <c r="I496">
        <v>6</v>
      </c>
      <c r="J496" t="s">
        <v>20</v>
      </c>
      <c r="K496" t="s">
        <v>28</v>
      </c>
      <c r="L496" t="s">
        <v>29</v>
      </c>
      <c r="M496" t="s">
        <v>23</v>
      </c>
      <c r="N496">
        <v>0</v>
      </c>
      <c r="O496">
        <v>0</v>
      </c>
      <c r="P496" s="8">
        <f>INT(Delivery_data[[#This Row],[Order Timestamp]])</f>
        <v>45175</v>
      </c>
      <c r="Q496" t="str">
        <f ca="1">IF(Delivery_data[[#This Row],[Order Status]]="In Progress", TODAY()-Delivery_data[[#This Row],[Order Date]], "")</f>
        <v/>
      </c>
      <c r="R496">
        <f>IF(Delivery_data[[#This Row],[On Time]]=1,0,1)</f>
        <v>1</v>
      </c>
    </row>
    <row r="497" spans="1:18" x14ac:dyDescent="0.35">
      <c r="A497">
        <v>2174</v>
      </c>
      <c r="B497" t="s">
        <v>626</v>
      </c>
      <c r="C497" s="1">
        <v>45172.636111111111</v>
      </c>
      <c r="D497" t="s">
        <v>16</v>
      </c>
      <c r="E497" t="s">
        <v>181</v>
      </c>
      <c r="F497" t="s">
        <v>18</v>
      </c>
      <c r="G497" t="s">
        <v>557</v>
      </c>
      <c r="H497">
        <v>89</v>
      </c>
      <c r="I497">
        <v>18</v>
      </c>
      <c r="J497" t="s">
        <v>27</v>
      </c>
      <c r="K497" t="s">
        <v>38</v>
      </c>
      <c r="L497" t="s">
        <v>29</v>
      </c>
      <c r="M497" t="s">
        <v>30</v>
      </c>
      <c r="N497">
        <v>0</v>
      </c>
      <c r="O497">
        <v>0</v>
      </c>
      <c r="P497" s="8">
        <f>INT(Delivery_data[[#This Row],[Order Timestamp]])</f>
        <v>45172</v>
      </c>
      <c r="Q497">
        <f ca="1">IF(Delivery_data[[#This Row],[Order Status]]="In Progress", TODAY()-Delivery_data[[#This Row],[Order Date]], "")</f>
        <v>811</v>
      </c>
      <c r="R497">
        <f>IF(Delivery_data[[#This Row],[On Time]]=1,0,1)</f>
        <v>1</v>
      </c>
    </row>
    <row r="498" spans="1:18" x14ac:dyDescent="0.35">
      <c r="A498">
        <v>2180</v>
      </c>
      <c r="B498" t="s">
        <v>627</v>
      </c>
      <c r="C498" s="1">
        <v>45175.456944444442</v>
      </c>
      <c r="D498" t="s">
        <v>16</v>
      </c>
      <c r="E498" t="s">
        <v>248</v>
      </c>
      <c r="F498" t="s">
        <v>18</v>
      </c>
      <c r="G498" t="s">
        <v>557</v>
      </c>
      <c r="H498">
        <v>105</v>
      </c>
      <c r="I498">
        <v>13</v>
      </c>
      <c r="J498" t="s">
        <v>27</v>
      </c>
      <c r="K498" t="s">
        <v>38</v>
      </c>
      <c r="L498" t="s">
        <v>29</v>
      </c>
      <c r="M498" t="s">
        <v>23</v>
      </c>
      <c r="N498">
        <v>0</v>
      </c>
      <c r="O498">
        <v>0</v>
      </c>
      <c r="P498" s="8">
        <f>INT(Delivery_data[[#This Row],[Order Timestamp]])</f>
        <v>45175</v>
      </c>
      <c r="Q498">
        <f ca="1">IF(Delivery_data[[#This Row],[Order Status]]="In Progress", TODAY()-Delivery_data[[#This Row],[Order Date]], "")</f>
        <v>808</v>
      </c>
      <c r="R498">
        <f>IF(Delivery_data[[#This Row],[On Time]]=1,0,1)</f>
        <v>1</v>
      </c>
    </row>
    <row r="499" spans="1:18" x14ac:dyDescent="0.35">
      <c r="A499">
        <v>2227</v>
      </c>
      <c r="B499" t="s">
        <v>628</v>
      </c>
      <c r="C499" s="1">
        <v>45174.417361111111</v>
      </c>
      <c r="D499" t="s">
        <v>25</v>
      </c>
      <c r="E499" t="s">
        <v>252</v>
      </c>
      <c r="F499" t="s">
        <v>18</v>
      </c>
      <c r="G499" t="s">
        <v>557</v>
      </c>
      <c r="H499">
        <v>94</v>
      </c>
      <c r="I499">
        <v>19</v>
      </c>
      <c r="J499" t="s">
        <v>27</v>
      </c>
      <c r="K499" t="s">
        <v>28</v>
      </c>
      <c r="L499" t="s">
        <v>29</v>
      </c>
      <c r="M499" t="s">
        <v>23</v>
      </c>
      <c r="N499">
        <v>0</v>
      </c>
      <c r="O499">
        <v>0</v>
      </c>
      <c r="P499" s="8">
        <f>INT(Delivery_data[[#This Row],[Order Timestamp]])</f>
        <v>45174</v>
      </c>
      <c r="Q499" t="str">
        <f ca="1">IF(Delivery_data[[#This Row],[Order Status]]="In Progress", TODAY()-Delivery_data[[#This Row],[Order Date]], "")</f>
        <v/>
      </c>
      <c r="R499">
        <f>IF(Delivery_data[[#This Row],[On Time]]=1,0,1)</f>
        <v>1</v>
      </c>
    </row>
    <row r="500" spans="1:18" x14ac:dyDescent="0.35">
      <c r="A500">
        <v>2254</v>
      </c>
      <c r="B500" t="s">
        <v>629</v>
      </c>
      <c r="C500" s="1">
        <v>45173.624305555553</v>
      </c>
      <c r="D500" t="s">
        <v>25</v>
      </c>
      <c r="E500" t="s">
        <v>89</v>
      </c>
      <c r="F500" t="s">
        <v>18</v>
      </c>
      <c r="G500" t="s">
        <v>557</v>
      </c>
      <c r="H500">
        <v>75</v>
      </c>
      <c r="I500">
        <v>8</v>
      </c>
      <c r="J500" t="s">
        <v>27</v>
      </c>
      <c r="K500" t="s">
        <v>33</v>
      </c>
      <c r="L500" t="s">
        <v>42</v>
      </c>
      <c r="M500" t="s">
        <v>39</v>
      </c>
      <c r="N500">
        <v>0</v>
      </c>
      <c r="O500">
        <v>0</v>
      </c>
      <c r="P500" s="8">
        <f>INT(Delivery_data[[#This Row],[Order Timestamp]])</f>
        <v>45173</v>
      </c>
      <c r="Q500" t="str">
        <f ca="1">IF(Delivery_data[[#This Row],[Order Status]]="In Progress", TODAY()-Delivery_data[[#This Row],[Order Date]], "")</f>
        <v/>
      </c>
      <c r="R500">
        <f>IF(Delivery_data[[#This Row],[On Time]]=1,0,1)</f>
        <v>1</v>
      </c>
    </row>
    <row r="501" spans="1:18" x14ac:dyDescent="0.35">
      <c r="A501">
        <v>2261</v>
      </c>
      <c r="B501" t="s">
        <v>630</v>
      </c>
      <c r="C501" s="1">
        <v>45177.434027777781</v>
      </c>
      <c r="D501" t="s">
        <v>16</v>
      </c>
      <c r="E501" t="s">
        <v>541</v>
      </c>
      <c r="F501" t="s">
        <v>18</v>
      </c>
      <c r="G501" t="s">
        <v>557</v>
      </c>
      <c r="H501">
        <v>96</v>
      </c>
      <c r="I501">
        <v>21</v>
      </c>
      <c r="J501" t="s">
        <v>20</v>
      </c>
      <c r="K501" t="s">
        <v>21</v>
      </c>
      <c r="L501" t="s">
        <v>22</v>
      </c>
      <c r="M501" t="s">
        <v>23</v>
      </c>
      <c r="N501">
        <v>0</v>
      </c>
      <c r="O501">
        <v>0</v>
      </c>
      <c r="P501" s="8">
        <f>INT(Delivery_data[[#This Row],[Order Timestamp]])</f>
        <v>45177</v>
      </c>
      <c r="Q501">
        <f ca="1">IF(Delivery_data[[#This Row],[Order Status]]="In Progress", TODAY()-Delivery_data[[#This Row],[Order Date]], "")</f>
        <v>806</v>
      </c>
      <c r="R501">
        <f>IF(Delivery_data[[#This Row],[On Time]]=1,0,1)</f>
        <v>1</v>
      </c>
    </row>
    <row r="502" spans="1:18" x14ac:dyDescent="0.35">
      <c r="A502">
        <v>2275</v>
      </c>
      <c r="B502" t="s">
        <v>631</v>
      </c>
      <c r="C502" s="1">
        <v>45171.510416666664</v>
      </c>
      <c r="D502" t="s">
        <v>25</v>
      </c>
      <c r="E502" t="s">
        <v>254</v>
      </c>
      <c r="F502" t="s">
        <v>18</v>
      </c>
      <c r="G502" t="s">
        <v>557</v>
      </c>
      <c r="H502">
        <v>178</v>
      </c>
      <c r="I502">
        <v>29</v>
      </c>
      <c r="J502" t="s">
        <v>35</v>
      </c>
      <c r="K502" t="s">
        <v>28</v>
      </c>
      <c r="L502" t="s">
        <v>42</v>
      </c>
      <c r="M502" t="s">
        <v>23</v>
      </c>
      <c r="N502">
        <v>0</v>
      </c>
      <c r="O502">
        <v>1</v>
      </c>
      <c r="P502" s="8">
        <f>INT(Delivery_data[[#This Row],[Order Timestamp]])</f>
        <v>45171</v>
      </c>
      <c r="Q502" t="str">
        <f ca="1">IF(Delivery_data[[#This Row],[Order Status]]="In Progress", TODAY()-Delivery_data[[#This Row],[Order Date]], "")</f>
        <v/>
      </c>
      <c r="R502">
        <f>IF(Delivery_data[[#This Row],[On Time]]=1,0,1)</f>
        <v>1</v>
      </c>
    </row>
    <row r="503" spans="1:18" x14ac:dyDescent="0.35">
      <c r="A503">
        <v>2292</v>
      </c>
      <c r="B503" t="s">
        <v>632</v>
      </c>
      <c r="C503" s="1">
        <v>45177.366666666669</v>
      </c>
      <c r="D503" t="s">
        <v>16</v>
      </c>
      <c r="E503" t="s">
        <v>108</v>
      </c>
      <c r="F503" t="s">
        <v>18</v>
      </c>
      <c r="G503" t="s">
        <v>557</v>
      </c>
      <c r="H503">
        <v>191</v>
      </c>
      <c r="I503">
        <v>19</v>
      </c>
      <c r="J503" t="s">
        <v>20</v>
      </c>
      <c r="K503" t="s">
        <v>33</v>
      </c>
      <c r="L503" t="s">
        <v>42</v>
      </c>
      <c r="M503" t="s">
        <v>30</v>
      </c>
      <c r="N503">
        <v>0</v>
      </c>
      <c r="O503">
        <v>0</v>
      </c>
      <c r="P503" s="8">
        <f>INT(Delivery_data[[#This Row],[Order Timestamp]])</f>
        <v>45177</v>
      </c>
      <c r="Q503">
        <f ca="1">IF(Delivery_data[[#This Row],[Order Status]]="In Progress", TODAY()-Delivery_data[[#This Row],[Order Date]], "")</f>
        <v>806</v>
      </c>
      <c r="R503">
        <f>IF(Delivery_data[[#This Row],[On Time]]=1,0,1)</f>
        <v>1</v>
      </c>
    </row>
    <row r="504" spans="1:18" x14ac:dyDescent="0.35">
      <c r="A504">
        <v>2317</v>
      </c>
      <c r="B504" t="s">
        <v>633</v>
      </c>
      <c r="C504" s="1">
        <v>45170.595833333333</v>
      </c>
      <c r="D504" t="s">
        <v>16</v>
      </c>
      <c r="E504" t="s">
        <v>87</v>
      </c>
      <c r="F504" t="s">
        <v>18</v>
      </c>
      <c r="G504" t="s">
        <v>557</v>
      </c>
      <c r="H504">
        <v>67</v>
      </c>
      <c r="I504">
        <v>26</v>
      </c>
      <c r="J504" t="s">
        <v>20</v>
      </c>
      <c r="K504" t="s">
        <v>21</v>
      </c>
      <c r="L504" t="s">
        <v>29</v>
      </c>
      <c r="M504" t="s">
        <v>23</v>
      </c>
      <c r="N504">
        <v>0</v>
      </c>
      <c r="O504">
        <v>0</v>
      </c>
      <c r="P504" s="8">
        <f>INT(Delivery_data[[#This Row],[Order Timestamp]])</f>
        <v>45170</v>
      </c>
      <c r="Q504">
        <f ca="1">IF(Delivery_data[[#This Row],[Order Status]]="In Progress", TODAY()-Delivery_data[[#This Row],[Order Date]], "")</f>
        <v>813</v>
      </c>
      <c r="R504">
        <f>IF(Delivery_data[[#This Row],[On Time]]=1,0,1)</f>
        <v>1</v>
      </c>
    </row>
    <row r="505" spans="1:18" x14ac:dyDescent="0.35">
      <c r="A505">
        <v>2338</v>
      </c>
      <c r="B505" t="s">
        <v>634</v>
      </c>
      <c r="C505" s="1">
        <v>45171.361805555556</v>
      </c>
      <c r="D505" t="s">
        <v>25</v>
      </c>
      <c r="E505" t="s">
        <v>209</v>
      </c>
      <c r="F505" t="s">
        <v>18</v>
      </c>
      <c r="G505" t="s">
        <v>557</v>
      </c>
      <c r="H505">
        <v>218</v>
      </c>
      <c r="I505">
        <v>4</v>
      </c>
      <c r="J505" t="s">
        <v>20</v>
      </c>
      <c r="K505" t="s">
        <v>38</v>
      </c>
      <c r="L505" t="s">
        <v>29</v>
      </c>
      <c r="M505" t="s">
        <v>23</v>
      </c>
      <c r="N505">
        <v>0</v>
      </c>
      <c r="O505">
        <v>0</v>
      </c>
      <c r="P505" s="8">
        <f>INT(Delivery_data[[#This Row],[Order Timestamp]])</f>
        <v>45171</v>
      </c>
      <c r="Q505" t="str">
        <f ca="1">IF(Delivery_data[[#This Row],[Order Status]]="In Progress", TODAY()-Delivery_data[[#This Row],[Order Date]], "")</f>
        <v/>
      </c>
      <c r="R505">
        <f>IF(Delivery_data[[#This Row],[On Time]]=1,0,1)</f>
        <v>1</v>
      </c>
    </row>
    <row r="506" spans="1:18" x14ac:dyDescent="0.35">
      <c r="A506">
        <v>2340</v>
      </c>
      <c r="B506" t="s">
        <v>635</v>
      </c>
      <c r="C506" s="1">
        <v>45170.62222222222</v>
      </c>
      <c r="D506" t="s">
        <v>25</v>
      </c>
      <c r="E506" t="s">
        <v>279</v>
      </c>
      <c r="F506" t="s">
        <v>18</v>
      </c>
      <c r="G506" t="s">
        <v>557</v>
      </c>
      <c r="H506">
        <v>191</v>
      </c>
      <c r="I506">
        <v>18</v>
      </c>
      <c r="J506" t="s">
        <v>35</v>
      </c>
      <c r="K506" t="s">
        <v>21</v>
      </c>
      <c r="L506" t="s">
        <v>42</v>
      </c>
      <c r="M506" t="s">
        <v>23</v>
      </c>
      <c r="N506">
        <v>0</v>
      </c>
      <c r="O506">
        <v>1</v>
      </c>
      <c r="P506" s="8">
        <f>INT(Delivery_data[[#This Row],[Order Timestamp]])</f>
        <v>45170</v>
      </c>
      <c r="Q506" t="str">
        <f ca="1">IF(Delivery_data[[#This Row],[Order Status]]="In Progress", TODAY()-Delivery_data[[#This Row],[Order Date]], "")</f>
        <v/>
      </c>
      <c r="R506">
        <f>IF(Delivery_data[[#This Row],[On Time]]=1,0,1)</f>
        <v>1</v>
      </c>
    </row>
    <row r="507" spans="1:18" x14ac:dyDescent="0.35">
      <c r="A507">
        <v>2353</v>
      </c>
      <c r="B507" t="s">
        <v>636</v>
      </c>
      <c r="C507" s="1">
        <v>45172.617361111108</v>
      </c>
      <c r="D507" t="s">
        <v>16</v>
      </c>
      <c r="E507" t="s">
        <v>46</v>
      </c>
      <c r="F507" t="s">
        <v>18</v>
      </c>
      <c r="G507" t="s">
        <v>557</v>
      </c>
      <c r="H507">
        <v>162</v>
      </c>
      <c r="I507">
        <v>2</v>
      </c>
      <c r="J507" t="s">
        <v>27</v>
      </c>
      <c r="K507" t="s">
        <v>38</v>
      </c>
      <c r="L507" t="s">
        <v>42</v>
      </c>
      <c r="M507" t="s">
        <v>39</v>
      </c>
      <c r="N507">
        <v>0</v>
      </c>
      <c r="O507">
        <v>0</v>
      </c>
      <c r="P507" s="8">
        <f>INT(Delivery_data[[#This Row],[Order Timestamp]])</f>
        <v>45172</v>
      </c>
      <c r="Q507">
        <f ca="1">IF(Delivery_data[[#This Row],[Order Status]]="In Progress", TODAY()-Delivery_data[[#This Row],[Order Date]], "")</f>
        <v>811</v>
      </c>
      <c r="R507">
        <f>IF(Delivery_data[[#This Row],[On Time]]=1,0,1)</f>
        <v>1</v>
      </c>
    </row>
    <row r="508" spans="1:18" x14ac:dyDescent="0.35">
      <c r="A508">
        <v>2374</v>
      </c>
      <c r="B508" t="s">
        <v>637</v>
      </c>
      <c r="C508" s="1">
        <v>45174.617361111108</v>
      </c>
      <c r="D508" t="s">
        <v>16</v>
      </c>
      <c r="E508" t="s">
        <v>85</v>
      </c>
      <c r="F508" t="s">
        <v>18</v>
      </c>
      <c r="G508" t="s">
        <v>557</v>
      </c>
      <c r="H508">
        <v>167</v>
      </c>
      <c r="I508">
        <v>7</v>
      </c>
      <c r="J508" t="s">
        <v>20</v>
      </c>
      <c r="K508" t="s">
        <v>21</v>
      </c>
      <c r="L508" t="s">
        <v>22</v>
      </c>
      <c r="M508" t="s">
        <v>30</v>
      </c>
      <c r="N508">
        <v>0</v>
      </c>
      <c r="O508">
        <v>0</v>
      </c>
      <c r="P508" s="8">
        <f>INT(Delivery_data[[#This Row],[Order Timestamp]])</f>
        <v>45174</v>
      </c>
      <c r="Q508">
        <f ca="1">IF(Delivery_data[[#This Row],[Order Status]]="In Progress", TODAY()-Delivery_data[[#This Row],[Order Date]], "")</f>
        <v>809</v>
      </c>
      <c r="R508">
        <f>IF(Delivery_data[[#This Row],[On Time]]=1,0,1)</f>
        <v>1</v>
      </c>
    </row>
    <row r="509" spans="1:18" x14ac:dyDescent="0.35">
      <c r="A509">
        <v>2390</v>
      </c>
      <c r="B509" t="s">
        <v>638</v>
      </c>
      <c r="C509" s="1">
        <v>45175.491666666669</v>
      </c>
      <c r="D509" t="s">
        <v>16</v>
      </c>
      <c r="E509" t="s">
        <v>360</v>
      </c>
      <c r="F509" t="s">
        <v>18</v>
      </c>
      <c r="G509" t="s">
        <v>557</v>
      </c>
      <c r="H509">
        <v>166</v>
      </c>
      <c r="I509">
        <v>1</v>
      </c>
      <c r="J509" t="s">
        <v>20</v>
      </c>
      <c r="K509" t="s">
        <v>33</v>
      </c>
      <c r="L509" t="s">
        <v>29</v>
      </c>
      <c r="M509" t="s">
        <v>23</v>
      </c>
      <c r="N509">
        <v>0</v>
      </c>
      <c r="O509">
        <v>0</v>
      </c>
      <c r="P509" s="8">
        <f>INT(Delivery_data[[#This Row],[Order Timestamp]])</f>
        <v>45175</v>
      </c>
      <c r="Q509">
        <f ca="1">IF(Delivery_data[[#This Row],[Order Status]]="In Progress", TODAY()-Delivery_data[[#This Row],[Order Date]], "")</f>
        <v>808</v>
      </c>
      <c r="R509">
        <f>IF(Delivery_data[[#This Row],[On Time]]=1,0,1)</f>
        <v>1</v>
      </c>
    </row>
    <row r="510" spans="1:18" x14ac:dyDescent="0.35">
      <c r="A510">
        <v>2398</v>
      </c>
      <c r="B510" t="s">
        <v>639</v>
      </c>
      <c r="C510" s="1">
        <v>45170.647222222222</v>
      </c>
      <c r="D510" t="s">
        <v>16</v>
      </c>
      <c r="E510" t="s">
        <v>195</v>
      </c>
      <c r="F510" t="s">
        <v>18</v>
      </c>
      <c r="G510" t="s">
        <v>557</v>
      </c>
      <c r="H510">
        <v>77</v>
      </c>
      <c r="I510">
        <v>27</v>
      </c>
      <c r="J510" t="s">
        <v>35</v>
      </c>
      <c r="K510" t="s">
        <v>38</v>
      </c>
      <c r="L510" t="s">
        <v>29</v>
      </c>
      <c r="M510" t="s">
        <v>30</v>
      </c>
      <c r="N510">
        <v>0</v>
      </c>
      <c r="O510">
        <v>1</v>
      </c>
      <c r="P510" s="8">
        <f>INT(Delivery_data[[#This Row],[Order Timestamp]])</f>
        <v>45170</v>
      </c>
      <c r="Q510">
        <f ca="1">IF(Delivery_data[[#This Row],[Order Status]]="In Progress", TODAY()-Delivery_data[[#This Row],[Order Date]], "")</f>
        <v>813</v>
      </c>
      <c r="R510">
        <f>IF(Delivery_data[[#This Row],[On Time]]=1,0,1)</f>
        <v>1</v>
      </c>
    </row>
    <row r="511" spans="1:18" x14ac:dyDescent="0.35">
      <c r="A511">
        <v>2407</v>
      </c>
      <c r="B511" t="s">
        <v>640</v>
      </c>
      <c r="C511" s="1">
        <v>45174.458333333336</v>
      </c>
      <c r="D511" t="s">
        <v>25</v>
      </c>
      <c r="E511" t="s">
        <v>44</v>
      </c>
      <c r="F511" t="s">
        <v>18</v>
      </c>
      <c r="G511" t="s">
        <v>557</v>
      </c>
      <c r="H511">
        <v>177</v>
      </c>
      <c r="I511">
        <v>3</v>
      </c>
      <c r="J511" t="s">
        <v>27</v>
      </c>
      <c r="K511" t="s">
        <v>28</v>
      </c>
      <c r="L511" t="s">
        <v>22</v>
      </c>
      <c r="M511" t="s">
        <v>23</v>
      </c>
      <c r="N511">
        <v>0</v>
      </c>
      <c r="O511">
        <v>0</v>
      </c>
      <c r="P511" s="8">
        <f>INT(Delivery_data[[#This Row],[Order Timestamp]])</f>
        <v>45174</v>
      </c>
      <c r="Q511" t="str">
        <f ca="1">IF(Delivery_data[[#This Row],[Order Status]]="In Progress", TODAY()-Delivery_data[[#This Row],[Order Date]], "")</f>
        <v/>
      </c>
      <c r="R511">
        <f>IF(Delivery_data[[#This Row],[On Time]]=1,0,1)</f>
        <v>1</v>
      </c>
    </row>
    <row r="512" spans="1:18" x14ac:dyDescent="0.35">
      <c r="A512">
        <v>2426</v>
      </c>
      <c r="B512" t="s">
        <v>641</v>
      </c>
      <c r="C512" s="1">
        <v>45170.36041666667</v>
      </c>
      <c r="D512" t="s">
        <v>16</v>
      </c>
      <c r="E512" t="s">
        <v>89</v>
      </c>
      <c r="F512" t="s">
        <v>18</v>
      </c>
      <c r="G512" t="s">
        <v>557</v>
      </c>
      <c r="H512">
        <v>194</v>
      </c>
      <c r="I512">
        <v>23</v>
      </c>
      <c r="J512" t="s">
        <v>35</v>
      </c>
      <c r="K512" t="s">
        <v>51</v>
      </c>
      <c r="L512" t="s">
        <v>42</v>
      </c>
      <c r="M512" t="s">
        <v>39</v>
      </c>
      <c r="N512">
        <v>0</v>
      </c>
      <c r="O512">
        <v>1</v>
      </c>
      <c r="P512" s="8">
        <f>INT(Delivery_data[[#This Row],[Order Timestamp]])</f>
        <v>45170</v>
      </c>
      <c r="Q512">
        <f ca="1">IF(Delivery_data[[#This Row],[Order Status]]="In Progress", TODAY()-Delivery_data[[#This Row],[Order Date]], "")</f>
        <v>813</v>
      </c>
      <c r="R512">
        <f>IF(Delivery_data[[#This Row],[On Time]]=1,0,1)</f>
        <v>1</v>
      </c>
    </row>
    <row r="513" spans="1:18" x14ac:dyDescent="0.35">
      <c r="A513">
        <v>2437</v>
      </c>
      <c r="B513" t="s">
        <v>642</v>
      </c>
      <c r="C513" s="1">
        <v>45175.631944444445</v>
      </c>
      <c r="D513" t="s">
        <v>25</v>
      </c>
      <c r="E513" t="s">
        <v>121</v>
      </c>
      <c r="F513" t="s">
        <v>18</v>
      </c>
      <c r="G513" t="s">
        <v>557</v>
      </c>
      <c r="H513">
        <v>101</v>
      </c>
      <c r="I513">
        <v>17</v>
      </c>
      <c r="J513" t="s">
        <v>20</v>
      </c>
      <c r="K513" t="s">
        <v>38</v>
      </c>
      <c r="L513" t="s">
        <v>29</v>
      </c>
      <c r="M513" t="s">
        <v>39</v>
      </c>
      <c r="N513">
        <v>0</v>
      </c>
      <c r="O513">
        <v>0</v>
      </c>
      <c r="P513" s="8">
        <f>INT(Delivery_data[[#This Row],[Order Timestamp]])</f>
        <v>45175</v>
      </c>
      <c r="Q513" t="str">
        <f ca="1">IF(Delivery_data[[#This Row],[Order Status]]="In Progress", TODAY()-Delivery_data[[#This Row],[Order Date]], "")</f>
        <v/>
      </c>
      <c r="R513">
        <f>IF(Delivery_data[[#This Row],[On Time]]=1,0,1)</f>
        <v>1</v>
      </c>
    </row>
    <row r="514" spans="1:18" x14ac:dyDescent="0.35">
      <c r="A514">
        <v>2448</v>
      </c>
      <c r="B514" t="s">
        <v>520</v>
      </c>
      <c r="C514" s="1">
        <v>45173.534722222219</v>
      </c>
      <c r="D514" t="s">
        <v>16</v>
      </c>
      <c r="E514" t="s">
        <v>83</v>
      </c>
      <c r="F514" t="s">
        <v>18</v>
      </c>
      <c r="G514" t="s">
        <v>557</v>
      </c>
      <c r="H514">
        <v>232</v>
      </c>
      <c r="I514">
        <v>5</v>
      </c>
      <c r="J514" t="s">
        <v>20</v>
      </c>
      <c r="K514" t="s">
        <v>21</v>
      </c>
      <c r="L514" t="s">
        <v>29</v>
      </c>
      <c r="M514" t="s">
        <v>39</v>
      </c>
      <c r="N514">
        <v>0</v>
      </c>
      <c r="O514">
        <v>0</v>
      </c>
      <c r="P514" s="8">
        <f>INT(Delivery_data[[#This Row],[Order Timestamp]])</f>
        <v>45173</v>
      </c>
      <c r="Q514">
        <f ca="1">IF(Delivery_data[[#This Row],[Order Status]]="In Progress", TODAY()-Delivery_data[[#This Row],[Order Date]], "")</f>
        <v>810</v>
      </c>
      <c r="R514">
        <f>IF(Delivery_data[[#This Row],[On Time]]=1,0,1)</f>
        <v>1</v>
      </c>
    </row>
    <row r="515" spans="1:18" x14ac:dyDescent="0.35">
      <c r="A515">
        <v>2461</v>
      </c>
      <c r="B515" t="s">
        <v>643</v>
      </c>
      <c r="C515" s="1">
        <v>45176.704861111109</v>
      </c>
      <c r="D515" t="s">
        <v>16</v>
      </c>
      <c r="E515" t="s">
        <v>66</v>
      </c>
      <c r="F515" t="s">
        <v>18</v>
      </c>
      <c r="G515" t="s">
        <v>557</v>
      </c>
      <c r="H515">
        <v>136</v>
      </c>
      <c r="I515">
        <v>18</v>
      </c>
      <c r="J515" t="s">
        <v>20</v>
      </c>
      <c r="K515" t="s">
        <v>51</v>
      </c>
      <c r="L515" t="s">
        <v>29</v>
      </c>
      <c r="M515" t="s">
        <v>30</v>
      </c>
      <c r="N515">
        <v>0</v>
      </c>
      <c r="O515">
        <v>0</v>
      </c>
      <c r="P515" s="8">
        <f>INT(Delivery_data[[#This Row],[Order Timestamp]])</f>
        <v>45176</v>
      </c>
      <c r="Q515">
        <f ca="1">IF(Delivery_data[[#This Row],[Order Status]]="In Progress", TODAY()-Delivery_data[[#This Row],[Order Date]], "")</f>
        <v>807</v>
      </c>
      <c r="R515">
        <f>IF(Delivery_data[[#This Row],[On Time]]=1,0,1)</f>
        <v>1</v>
      </c>
    </row>
    <row r="516" spans="1:18" x14ac:dyDescent="0.35">
      <c r="A516">
        <v>2467</v>
      </c>
      <c r="B516" t="s">
        <v>644</v>
      </c>
      <c r="C516" s="1">
        <v>45172.55</v>
      </c>
      <c r="D516" t="s">
        <v>25</v>
      </c>
      <c r="E516" t="s">
        <v>66</v>
      </c>
      <c r="F516" t="s">
        <v>18</v>
      </c>
      <c r="G516" t="s">
        <v>557</v>
      </c>
      <c r="H516">
        <v>162</v>
      </c>
      <c r="I516">
        <v>16</v>
      </c>
      <c r="J516" t="s">
        <v>27</v>
      </c>
      <c r="K516" t="s">
        <v>38</v>
      </c>
      <c r="L516" t="s">
        <v>29</v>
      </c>
      <c r="M516" t="s">
        <v>23</v>
      </c>
      <c r="N516">
        <v>0</v>
      </c>
      <c r="O516">
        <v>0</v>
      </c>
      <c r="P516" s="8">
        <f>INT(Delivery_data[[#This Row],[Order Timestamp]])</f>
        <v>45172</v>
      </c>
      <c r="Q516" t="str">
        <f ca="1">IF(Delivery_data[[#This Row],[Order Status]]="In Progress", TODAY()-Delivery_data[[#This Row],[Order Date]], "")</f>
        <v/>
      </c>
      <c r="R516">
        <f>IF(Delivery_data[[#This Row],[On Time]]=1,0,1)</f>
        <v>1</v>
      </c>
    </row>
    <row r="517" spans="1:18" x14ac:dyDescent="0.35">
      <c r="A517">
        <v>1029</v>
      </c>
      <c r="B517" t="s">
        <v>645</v>
      </c>
      <c r="C517" s="1">
        <v>45176.697916666664</v>
      </c>
      <c r="D517" t="s">
        <v>16</v>
      </c>
      <c r="E517" t="s">
        <v>274</v>
      </c>
      <c r="F517" t="s">
        <v>646</v>
      </c>
      <c r="G517" t="s">
        <v>233</v>
      </c>
      <c r="H517">
        <v>196</v>
      </c>
      <c r="I517">
        <v>13</v>
      </c>
      <c r="J517" t="s">
        <v>27</v>
      </c>
      <c r="K517" t="s">
        <v>38</v>
      </c>
      <c r="L517" t="s">
        <v>22</v>
      </c>
      <c r="M517" t="s">
        <v>30</v>
      </c>
      <c r="N517">
        <v>0</v>
      </c>
      <c r="O517">
        <v>0</v>
      </c>
      <c r="P517" s="8">
        <f>INT(Delivery_data[[#This Row],[Order Timestamp]])</f>
        <v>45176</v>
      </c>
      <c r="Q517">
        <f ca="1">IF(Delivery_data[[#This Row],[Order Status]]="In Progress", TODAY()-Delivery_data[[#This Row],[Order Date]], "")</f>
        <v>807</v>
      </c>
      <c r="R517">
        <f>IF(Delivery_data[[#This Row],[On Time]]=1,0,1)</f>
        <v>1</v>
      </c>
    </row>
    <row r="518" spans="1:18" x14ac:dyDescent="0.35">
      <c r="A518">
        <v>1034</v>
      </c>
      <c r="B518" t="s">
        <v>647</v>
      </c>
      <c r="C518" s="1">
        <v>45174.65902777778</v>
      </c>
      <c r="D518" t="s">
        <v>16</v>
      </c>
      <c r="E518" t="s">
        <v>227</v>
      </c>
      <c r="F518" t="s">
        <v>646</v>
      </c>
      <c r="G518" t="s">
        <v>557</v>
      </c>
      <c r="H518">
        <v>215</v>
      </c>
      <c r="I518">
        <v>26</v>
      </c>
      <c r="J518" t="s">
        <v>35</v>
      </c>
      <c r="K518" t="s">
        <v>51</v>
      </c>
      <c r="L518" t="s">
        <v>22</v>
      </c>
      <c r="M518" t="s">
        <v>30</v>
      </c>
      <c r="N518">
        <v>0</v>
      </c>
      <c r="O518">
        <v>1</v>
      </c>
      <c r="P518" s="8">
        <f>INT(Delivery_data[[#This Row],[Order Timestamp]])</f>
        <v>45174</v>
      </c>
      <c r="Q518">
        <f ca="1">IF(Delivery_data[[#This Row],[Order Status]]="In Progress", TODAY()-Delivery_data[[#This Row],[Order Date]], "")</f>
        <v>809</v>
      </c>
      <c r="R518">
        <f>IF(Delivery_data[[#This Row],[On Time]]=1,0,1)</f>
        <v>1</v>
      </c>
    </row>
    <row r="519" spans="1:18" x14ac:dyDescent="0.35">
      <c r="A519">
        <v>1049</v>
      </c>
      <c r="B519" t="s">
        <v>648</v>
      </c>
      <c r="C519" s="1">
        <v>45171.604166666664</v>
      </c>
      <c r="D519" t="s">
        <v>16</v>
      </c>
      <c r="E519" t="s">
        <v>62</v>
      </c>
      <c r="F519" t="s">
        <v>646</v>
      </c>
      <c r="G519" t="s">
        <v>362</v>
      </c>
      <c r="H519">
        <v>67</v>
      </c>
      <c r="I519">
        <v>14</v>
      </c>
      <c r="J519" t="s">
        <v>27</v>
      </c>
      <c r="K519" t="s">
        <v>33</v>
      </c>
      <c r="L519" t="s">
        <v>22</v>
      </c>
      <c r="M519" t="s">
        <v>39</v>
      </c>
      <c r="N519">
        <v>0</v>
      </c>
      <c r="O519">
        <v>0</v>
      </c>
      <c r="P519" s="8">
        <f>INT(Delivery_data[[#This Row],[Order Timestamp]])</f>
        <v>45171</v>
      </c>
      <c r="Q519">
        <f ca="1">IF(Delivery_data[[#This Row],[Order Status]]="In Progress", TODAY()-Delivery_data[[#This Row],[Order Date]], "")</f>
        <v>812</v>
      </c>
      <c r="R519">
        <f>IF(Delivery_data[[#This Row],[On Time]]=1,0,1)</f>
        <v>1</v>
      </c>
    </row>
    <row r="520" spans="1:18" x14ac:dyDescent="0.35">
      <c r="A520">
        <v>1052</v>
      </c>
      <c r="B520" t="s">
        <v>649</v>
      </c>
      <c r="C520" s="1">
        <v>45174.334027777775</v>
      </c>
      <c r="D520" t="s">
        <v>16</v>
      </c>
      <c r="E520" t="s">
        <v>108</v>
      </c>
      <c r="F520" t="s">
        <v>646</v>
      </c>
      <c r="G520" t="s">
        <v>463</v>
      </c>
      <c r="H520">
        <v>204</v>
      </c>
      <c r="I520">
        <v>14</v>
      </c>
      <c r="J520" t="s">
        <v>35</v>
      </c>
      <c r="K520" t="s">
        <v>21</v>
      </c>
      <c r="L520" t="s">
        <v>22</v>
      </c>
      <c r="M520" t="s">
        <v>39</v>
      </c>
      <c r="N520">
        <v>0</v>
      </c>
      <c r="O520">
        <v>1</v>
      </c>
      <c r="P520" s="8">
        <f>INT(Delivery_data[[#This Row],[Order Timestamp]])</f>
        <v>45174</v>
      </c>
      <c r="Q520">
        <f ca="1">IF(Delivery_data[[#This Row],[Order Status]]="In Progress", TODAY()-Delivery_data[[#This Row],[Order Date]], "")</f>
        <v>809</v>
      </c>
      <c r="R520">
        <f>IF(Delivery_data[[#This Row],[On Time]]=1,0,1)</f>
        <v>1</v>
      </c>
    </row>
    <row r="521" spans="1:18" x14ac:dyDescent="0.35">
      <c r="A521">
        <v>1062</v>
      </c>
      <c r="B521" t="s">
        <v>650</v>
      </c>
      <c r="C521" s="1">
        <v>45172.590277777781</v>
      </c>
      <c r="D521" t="s">
        <v>16</v>
      </c>
      <c r="E521" t="s">
        <v>64</v>
      </c>
      <c r="F521" t="s">
        <v>646</v>
      </c>
      <c r="G521" t="s">
        <v>362</v>
      </c>
      <c r="H521">
        <v>76</v>
      </c>
      <c r="I521">
        <v>4</v>
      </c>
      <c r="J521" t="s">
        <v>20</v>
      </c>
      <c r="K521" t="s">
        <v>28</v>
      </c>
      <c r="L521" t="s">
        <v>22</v>
      </c>
      <c r="M521" t="s">
        <v>39</v>
      </c>
      <c r="N521">
        <v>0</v>
      </c>
      <c r="O521">
        <v>0</v>
      </c>
      <c r="P521" s="8">
        <f>INT(Delivery_data[[#This Row],[Order Timestamp]])</f>
        <v>45172</v>
      </c>
      <c r="Q521">
        <f ca="1">IF(Delivery_data[[#This Row],[Order Status]]="In Progress", TODAY()-Delivery_data[[#This Row],[Order Date]], "")</f>
        <v>811</v>
      </c>
      <c r="R521">
        <f>IF(Delivery_data[[#This Row],[On Time]]=1,0,1)</f>
        <v>1</v>
      </c>
    </row>
    <row r="522" spans="1:18" x14ac:dyDescent="0.35">
      <c r="A522">
        <v>1076</v>
      </c>
      <c r="B522" t="s">
        <v>372</v>
      </c>
      <c r="C522" s="1">
        <v>45170.37222222222</v>
      </c>
      <c r="D522" t="s">
        <v>25</v>
      </c>
      <c r="E522" t="s">
        <v>110</v>
      </c>
      <c r="F522" t="s">
        <v>646</v>
      </c>
      <c r="G522" t="s">
        <v>362</v>
      </c>
      <c r="H522">
        <v>126</v>
      </c>
      <c r="I522">
        <v>7</v>
      </c>
      <c r="J522" t="s">
        <v>20</v>
      </c>
      <c r="K522" t="s">
        <v>51</v>
      </c>
      <c r="L522" t="s">
        <v>22</v>
      </c>
      <c r="M522" t="s">
        <v>30</v>
      </c>
      <c r="N522">
        <v>0</v>
      </c>
      <c r="O522">
        <v>0</v>
      </c>
      <c r="P522" s="8">
        <f>INT(Delivery_data[[#This Row],[Order Timestamp]])</f>
        <v>45170</v>
      </c>
      <c r="Q522" t="str">
        <f ca="1">IF(Delivery_data[[#This Row],[Order Status]]="In Progress", TODAY()-Delivery_data[[#This Row],[Order Date]], "")</f>
        <v/>
      </c>
      <c r="R522">
        <f>IF(Delivery_data[[#This Row],[On Time]]=1,0,1)</f>
        <v>1</v>
      </c>
    </row>
    <row r="523" spans="1:18" x14ac:dyDescent="0.35">
      <c r="A523">
        <v>1080</v>
      </c>
      <c r="B523" t="s">
        <v>651</v>
      </c>
      <c r="C523" s="1">
        <v>45171.445138888892</v>
      </c>
      <c r="D523" t="s">
        <v>25</v>
      </c>
      <c r="E523" t="s">
        <v>342</v>
      </c>
      <c r="F523" t="s">
        <v>646</v>
      </c>
      <c r="G523" t="s">
        <v>463</v>
      </c>
      <c r="H523">
        <v>85</v>
      </c>
      <c r="I523">
        <v>10</v>
      </c>
      <c r="J523" t="s">
        <v>27</v>
      </c>
      <c r="K523" t="s">
        <v>38</v>
      </c>
      <c r="L523" t="s">
        <v>22</v>
      </c>
      <c r="M523" t="s">
        <v>39</v>
      </c>
      <c r="N523">
        <v>0</v>
      </c>
      <c r="O523">
        <v>0</v>
      </c>
      <c r="P523" s="8">
        <f>INT(Delivery_data[[#This Row],[Order Timestamp]])</f>
        <v>45171</v>
      </c>
      <c r="Q523" t="str">
        <f ca="1">IF(Delivery_data[[#This Row],[Order Status]]="In Progress", TODAY()-Delivery_data[[#This Row],[Order Date]], "")</f>
        <v/>
      </c>
      <c r="R523">
        <f>IF(Delivery_data[[#This Row],[On Time]]=1,0,1)</f>
        <v>1</v>
      </c>
    </row>
    <row r="524" spans="1:18" x14ac:dyDescent="0.35">
      <c r="A524">
        <v>1094</v>
      </c>
      <c r="B524" t="s">
        <v>652</v>
      </c>
      <c r="C524" s="1">
        <v>45173.554166666669</v>
      </c>
      <c r="D524" t="s">
        <v>25</v>
      </c>
      <c r="E524" t="s">
        <v>653</v>
      </c>
      <c r="F524" t="s">
        <v>646</v>
      </c>
      <c r="G524" t="s">
        <v>233</v>
      </c>
      <c r="H524">
        <v>225</v>
      </c>
      <c r="I524">
        <v>18</v>
      </c>
      <c r="J524" t="s">
        <v>27</v>
      </c>
      <c r="K524" t="s">
        <v>51</v>
      </c>
      <c r="L524" t="s">
        <v>22</v>
      </c>
      <c r="M524" t="s">
        <v>30</v>
      </c>
      <c r="N524">
        <v>0</v>
      </c>
      <c r="O524">
        <v>0</v>
      </c>
      <c r="P524" s="8">
        <f>INT(Delivery_data[[#This Row],[Order Timestamp]])</f>
        <v>45173</v>
      </c>
      <c r="Q524" t="str">
        <f ca="1">IF(Delivery_data[[#This Row],[Order Status]]="In Progress", TODAY()-Delivery_data[[#This Row],[Order Date]], "")</f>
        <v/>
      </c>
      <c r="R524">
        <f>IF(Delivery_data[[#This Row],[On Time]]=1,0,1)</f>
        <v>1</v>
      </c>
    </row>
    <row r="525" spans="1:18" x14ac:dyDescent="0.35">
      <c r="A525">
        <v>1106</v>
      </c>
      <c r="B525" t="s">
        <v>654</v>
      </c>
      <c r="C525" s="1">
        <v>45171.642361111109</v>
      </c>
      <c r="D525" t="s">
        <v>16</v>
      </c>
      <c r="E525" t="s">
        <v>175</v>
      </c>
      <c r="F525" t="s">
        <v>646</v>
      </c>
      <c r="G525" t="s">
        <v>19</v>
      </c>
      <c r="H525">
        <v>195</v>
      </c>
      <c r="I525">
        <v>5</v>
      </c>
      <c r="J525" t="s">
        <v>20</v>
      </c>
      <c r="K525" t="s">
        <v>51</v>
      </c>
      <c r="L525" t="s">
        <v>22</v>
      </c>
      <c r="M525" t="s">
        <v>30</v>
      </c>
      <c r="N525">
        <v>0</v>
      </c>
      <c r="O525">
        <v>0</v>
      </c>
      <c r="P525" s="8">
        <f>INT(Delivery_data[[#This Row],[Order Timestamp]])</f>
        <v>45171</v>
      </c>
      <c r="Q525">
        <f ca="1">IF(Delivery_data[[#This Row],[Order Status]]="In Progress", TODAY()-Delivery_data[[#This Row],[Order Date]], "")</f>
        <v>812</v>
      </c>
      <c r="R525">
        <f>IF(Delivery_data[[#This Row],[On Time]]=1,0,1)</f>
        <v>1</v>
      </c>
    </row>
    <row r="526" spans="1:18" x14ac:dyDescent="0.35">
      <c r="A526">
        <v>1108</v>
      </c>
      <c r="B526" t="s">
        <v>655</v>
      </c>
      <c r="C526" s="1">
        <v>45177.5625</v>
      </c>
      <c r="D526" t="s">
        <v>16</v>
      </c>
      <c r="E526" t="s">
        <v>26</v>
      </c>
      <c r="F526" t="s">
        <v>646</v>
      </c>
      <c r="G526" t="s">
        <v>463</v>
      </c>
      <c r="H526">
        <v>203</v>
      </c>
      <c r="I526">
        <v>24</v>
      </c>
      <c r="J526" t="s">
        <v>20</v>
      </c>
      <c r="K526" t="s">
        <v>38</v>
      </c>
      <c r="L526" t="s">
        <v>22</v>
      </c>
      <c r="M526" t="s">
        <v>39</v>
      </c>
      <c r="N526">
        <v>0</v>
      </c>
      <c r="O526">
        <v>0</v>
      </c>
      <c r="P526" s="8">
        <f>INT(Delivery_data[[#This Row],[Order Timestamp]])</f>
        <v>45177</v>
      </c>
      <c r="Q526">
        <f ca="1">IF(Delivery_data[[#This Row],[Order Status]]="In Progress", TODAY()-Delivery_data[[#This Row],[Order Date]], "")</f>
        <v>806</v>
      </c>
      <c r="R526">
        <f>IF(Delivery_data[[#This Row],[On Time]]=1,0,1)</f>
        <v>1</v>
      </c>
    </row>
    <row r="527" spans="1:18" x14ac:dyDescent="0.35">
      <c r="A527">
        <v>1109</v>
      </c>
      <c r="B527" t="s">
        <v>656</v>
      </c>
      <c r="C527" s="1">
        <v>45175.552777777775</v>
      </c>
      <c r="D527" t="s">
        <v>25</v>
      </c>
      <c r="E527" t="s">
        <v>598</v>
      </c>
      <c r="F527" t="s">
        <v>646</v>
      </c>
      <c r="G527" t="s">
        <v>19</v>
      </c>
      <c r="H527">
        <v>219</v>
      </c>
      <c r="I527">
        <v>19</v>
      </c>
      <c r="J527" t="s">
        <v>20</v>
      </c>
      <c r="K527" t="s">
        <v>33</v>
      </c>
      <c r="L527" t="s">
        <v>22</v>
      </c>
      <c r="M527" t="s">
        <v>30</v>
      </c>
      <c r="N527">
        <v>0</v>
      </c>
      <c r="O527">
        <v>0</v>
      </c>
      <c r="P527" s="8">
        <f>INT(Delivery_data[[#This Row],[Order Timestamp]])</f>
        <v>45175</v>
      </c>
      <c r="Q527" t="str">
        <f ca="1">IF(Delivery_data[[#This Row],[Order Status]]="In Progress", TODAY()-Delivery_data[[#This Row],[Order Date]], "")</f>
        <v/>
      </c>
      <c r="R527">
        <f>IF(Delivery_data[[#This Row],[On Time]]=1,0,1)</f>
        <v>1</v>
      </c>
    </row>
    <row r="528" spans="1:18" x14ac:dyDescent="0.35">
      <c r="A528">
        <v>1114</v>
      </c>
      <c r="B528" t="s">
        <v>657</v>
      </c>
      <c r="C528" s="1">
        <v>45177.702777777777</v>
      </c>
      <c r="D528" t="s">
        <v>25</v>
      </c>
      <c r="E528" t="s">
        <v>44</v>
      </c>
      <c r="F528" t="s">
        <v>646</v>
      </c>
      <c r="G528" t="s">
        <v>463</v>
      </c>
      <c r="H528">
        <v>233</v>
      </c>
      <c r="I528">
        <v>1</v>
      </c>
      <c r="J528" t="s">
        <v>27</v>
      </c>
      <c r="K528" t="s">
        <v>51</v>
      </c>
      <c r="L528" t="s">
        <v>22</v>
      </c>
      <c r="M528" t="s">
        <v>23</v>
      </c>
      <c r="N528">
        <v>0</v>
      </c>
      <c r="O528">
        <v>0</v>
      </c>
      <c r="P528" s="8">
        <f>INT(Delivery_data[[#This Row],[Order Timestamp]])</f>
        <v>45177</v>
      </c>
      <c r="Q528" t="str">
        <f ca="1">IF(Delivery_data[[#This Row],[Order Status]]="In Progress", TODAY()-Delivery_data[[#This Row],[Order Date]], "")</f>
        <v/>
      </c>
      <c r="R528">
        <f>IF(Delivery_data[[#This Row],[On Time]]=1,0,1)</f>
        <v>1</v>
      </c>
    </row>
    <row r="529" spans="1:18" x14ac:dyDescent="0.35">
      <c r="A529">
        <v>1138</v>
      </c>
      <c r="B529" t="s">
        <v>658</v>
      </c>
      <c r="C529" s="1">
        <v>45171.652083333334</v>
      </c>
      <c r="D529" t="s">
        <v>25</v>
      </c>
      <c r="E529" t="s">
        <v>181</v>
      </c>
      <c r="F529" t="s">
        <v>646</v>
      </c>
      <c r="G529" t="s">
        <v>557</v>
      </c>
      <c r="H529">
        <v>72</v>
      </c>
      <c r="I529">
        <v>11</v>
      </c>
      <c r="J529" t="s">
        <v>20</v>
      </c>
      <c r="K529" t="s">
        <v>38</v>
      </c>
      <c r="L529" t="s">
        <v>22</v>
      </c>
      <c r="M529" t="s">
        <v>39</v>
      </c>
      <c r="N529">
        <v>0</v>
      </c>
      <c r="O529">
        <v>0</v>
      </c>
      <c r="P529" s="8">
        <f>INT(Delivery_data[[#This Row],[Order Timestamp]])</f>
        <v>45171</v>
      </c>
      <c r="Q529" t="str">
        <f ca="1">IF(Delivery_data[[#This Row],[Order Status]]="In Progress", TODAY()-Delivery_data[[#This Row],[Order Date]], "")</f>
        <v/>
      </c>
      <c r="R529">
        <f>IF(Delivery_data[[#This Row],[On Time]]=1,0,1)</f>
        <v>1</v>
      </c>
    </row>
    <row r="530" spans="1:18" x14ac:dyDescent="0.35">
      <c r="A530">
        <v>1142</v>
      </c>
      <c r="B530" t="s">
        <v>659</v>
      </c>
      <c r="C530" s="1">
        <v>45175.418749999997</v>
      </c>
      <c r="D530" t="s">
        <v>16</v>
      </c>
      <c r="E530" t="s">
        <v>212</v>
      </c>
      <c r="F530" t="s">
        <v>646</v>
      </c>
      <c r="G530" t="s">
        <v>19</v>
      </c>
      <c r="H530">
        <v>138</v>
      </c>
      <c r="I530">
        <v>21</v>
      </c>
      <c r="J530" t="s">
        <v>27</v>
      </c>
      <c r="K530" t="s">
        <v>33</v>
      </c>
      <c r="L530" t="s">
        <v>22</v>
      </c>
      <c r="M530" t="s">
        <v>30</v>
      </c>
      <c r="N530">
        <v>0</v>
      </c>
      <c r="O530">
        <v>0</v>
      </c>
      <c r="P530" s="8">
        <f>INT(Delivery_data[[#This Row],[Order Timestamp]])</f>
        <v>45175</v>
      </c>
      <c r="Q530">
        <f ca="1">IF(Delivery_data[[#This Row],[Order Status]]="In Progress", TODAY()-Delivery_data[[#This Row],[Order Date]], "")</f>
        <v>808</v>
      </c>
      <c r="R530">
        <f>IF(Delivery_data[[#This Row],[On Time]]=1,0,1)</f>
        <v>1</v>
      </c>
    </row>
    <row r="531" spans="1:18" x14ac:dyDescent="0.35">
      <c r="A531">
        <v>1146</v>
      </c>
      <c r="B531" t="s">
        <v>660</v>
      </c>
      <c r="C531" s="1">
        <v>45173.547222222223</v>
      </c>
      <c r="D531" t="s">
        <v>16</v>
      </c>
      <c r="E531" t="s">
        <v>200</v>
      </c>
      <c r="F531" t="s">
        <v>646</v>
      </c>
      <c r="G531" t="s">
        <v>557</v>
      </c>
      <c r="H531">
        <v>172</v>
      </c>
      <c r="I531">
        <v>15</v>
      </c>
      <c r="J531" t="s">
        <v>27</v>
      </c>
      <c r="K531" t="s">
        <v>38</v>
      </c>
      <c r="L531" t="s">
        <v>22</v>
      </c>
      <c r="M531" t="s">
        <v>23</v>
      </c>
      <c r="N531">
        <v>0</v>
      </c>
      <c r="O531">
        <v>0</v>
      </c>
      <c r="P531" s="8">
        <f>INT(Delivery_data[[#This Row],[Order Timestamp]])</f>
        <v>45173</v>
      </c>
      <c r="Q531">
        <f ca="1">IF(Delivery_data[[#This Row],[Order Status]]="In Progress", TODAY()-Delivery_data[[#This Row],[Order Date]], "")</f>
        <v>810</v>
      </c>
      <c r="R531">
        <f>IF(Delivery_data[[#This Row],[On Time]]=1,0,1)</f>
        <v>1</v>
      </c>
    </row>
    <row r="532" spans="1:18" x14ac:dyDescent="0.35">
      <c r="A532">
        <v>1167</v>
      </c>
      <c r="B532" t="s">
        <v>661</v>
      </c>
      <c r="C532" s="1">
        <v>45174.479166666664</v>
      </c>
      <c r="D532" t="s">
        <v>25</v>
      </c>
      <c r="E532" t="s">
        <v>108</v>
      </c>
      <c r="F532" t="s">
        <v>646</v>
      </c>
      <c r="G532" t="s">
        <v>557</v>
      </c>
      <c r="H532">
        <v>69</v>
      </c>
      <c r="I532">
        <v>8</v>
      </c>
      <c r="J532" t="s">
        <v>35</v>
      </c>
      <c r="K532" t="s">
        <v>38</v>
      </c>
      <c r="L532" t="s">
        <v>22</v>
      </c>
      <c r="M532" t="s">
        <v>39</v>
      </c>
      <c r="N532">
        <v>0</v>
      </c>
      <c r="O532">
        <v>1</v>
      </c>
      <c r="P532" s="8">
        <f>INT(Delivery_data[[#This Row],[Order Timestamp]])</f>
        <v>45174</v>
      </c>
      <c r="Q532" t="str">
        <f ca="1">IF(Delivery_data[[#This Row],[Order Status]]="In Progress", TODAY()-Delivery_data[[#This Row],[Order Date]], "")</f>
        <v/>
      </c>
      <c r="R532">
        <f>IF(Delivery_data[[#This Row],[On Time]]=1,0,1)</f>
        <v>1</v>
      </c>
    </row>
    <row r="533" spans="1:18" x14ac:dyDescent="0.35">
      <c r="A533">
        <v>1170</v>
      </c>
      <c r="B533" t="s">
        <v>662</v>
      </c>
      <c r="C533" s="1">
        <v>45171.604166666664</v>
      </c>
      <c r="D533" t="s">
        <v>16</v>
      </c>
      <c r="E533" t="s">
        <v>161</v>
      </c>
      <c r="F533" t="s">
        <v>646</v>
      </c>
      <c r="G533" t="s">
        <v>557</v>
      </c>
      <c r="H533">
        <v>64</v>
      </c>
      <c r="I533">
        <v>25</v>
      </c>
      <c r="J533" t="s">
        <v>20</v>
      </c>
      <c r="K533" t="s">
        <v>51</v>
      </c>
      <c r="L533" t="s">
        <v>22</v>
      </c>
      <c r="M533" t="s">
        <v>30</v>
      </c>
      <c r="N533">
        <v>0</v>
      </c>
      <c r="O533">
        <v>0</v>
      </c>
      <c r="P533" s="8">
        <f>INT(Delivery_data[[#This Row],[Order Timestamp]])</f>
        <v>45171</v>
      </c>
      <c r="Q533">
        <f ca="1">IF(Delivery_data[[#This Row],[Order Status]]="In Progress", TODAY()-Delivery_data[[#This Row],[Order Date]], "")</f>
        <v>812</v>
      </c>
      <c r="R533">
        <f>IF(Delivery_data[[#This Row],[On Time]]=1,0,1)</f>
        <v>1</v>
      </c>
    </row>
    <row r="534" spans="1:18" x14ac:dyDescent="0.35">
      <c r="A534">
        <v>1174</v>
      </c>
      <c r="B534" t="s">
        <v>663</v>
      </c>
      <c r="C534" s="1">
        <v>45172.448611111111</v>
      </c>
      <c r="D534" t="s">
        <v>25</v>
      </c>
      <c r="E534" t="s">
        <v>100</v>
      </c>
      <c r="F534" t="s">
        <v>646</v>
      </c>
      <c r="G534" t="s">
        <v>557</v>
      </c>
      <c r="H534">
        <v>178</v>
      </c>
      <c r="I534">
        <v>10</v>
      </c>
      <c r="J534" t="s">
        <v>20</v>
      </c>
      <c r="K534" t="s">
        <v>33</v>
      </c>
      <c r="L534" t="s">
        <v>22</v>
      </c>
      <c r="M534" t="s">
        <v>30</v>
      </c>
      <c r="N534">
        <v>0</v>
      </c>
      <c r="O534">
        <v>0</v>
      </c>
      <c r="P534" s="8">
        <f>INT(Delivery_data[[#This Row],[Order Timestamp]])</f>
        <v>45172</v>
      </c>
      <c r="Q534" t="str">
        <f ca="1">IF(Delivery_data[[#This Row],[Order Status]]="In Progress", TODAY()-Delivery_data[[#This Row],[Order Date]], "")</f>
        <v/>
      </c>
      <c r="R534">
        <f>IF(Delivery_data[[#This Row],[On Time]]=1,0,1)</f>
        <v>1</v>
      </c>
    </row>
    <row r="535" spans="1:18" x14ac:dyDescent="0.35">
      <c r="A535">
        <v>1186</v>
      </c>
      <c r="B535" t="s">
        <v>664</v>
      </c>
      <c r="C535" s="1">
        <v>45175.6</v>
      </c>
      <c r="D535" t="s">
        <v>25</v>
      </c>
      <c r="E535" t="s">
        <v>342</v>
      </c>
      <c r="F535" t="s">
        <v>646</v>
      </c>
      <c r="G535" t="s">
        <v>463</v>
      </c>
      <c r="H535">
        <v>196</v>
      </c>
      <c r="I535">
        <v>15</v>
      </c>
      <c r="J535" t="s">
        <v>20</v>
      </c>
      <c r="K535" t="s">
        <v>33</v>
      </c>
      <c r="L535" t="s">
        <v>22</v>
      </c>
      <c r="M535" t="s">
        <v>30</v>
      </c>
      <c r="N535">
        <v>0</v>
      </c>
      <c r="O535">
        <v>0</v>
      </c>
      <c r="P535" s="8">
        <f>INT(Delivery_data[[#This Row],[Order Timestamp]])</f>
        <v>45175</v>
      </c>
      <c r="Q535" t="str">
        <f ca="1">IF(Delivery_data[[#This Row],[Order Status]]="In Progress", TODAY()-Delivery_data[[#This Row],[Order Date]], "")</f>
        <v/>
      </c>
      <c r="R535">
        <f>IF(Delivery_data[[#This Row],[On Time]]=1,0,1)</f>
        <v>1</v>
      </c>
    </row>
    <row r="536" spans="1:18" x14ac:dyDescent="0.35">
      <c r="A536">
        <v>1189</v>
      </c>
      <c r="B536" t="s">
        <v>665</v>
      </c>
      <c r="C536" s="1">
        <v>45172.67083333333</v>
      </c>
      <c r="D536" t="s">
        <v>25</v>
      </c>
      <c r="E536" t="s">
        <v>666</v>
      </c>
      <c r="F536" t="s">
        <v>646</v>
      </c>
      <c r="G536" t="s">
        <v>463</v>
      </c>
      <c r="H536">
        <v>224</v>
      </c>
      <c r="I536">
        <v>23</v>
      </c>
      <c r="J536" t="s">
        <v>27</v>
      </c>
      <c r="K536" t="s">
        <v>21</v>
      </c>
      <c r="L536" t="s">
        <v>22</v>
      </c>
      <c r="M536" t="s">
        <v>39</v>
      </c>
      <c r="N536">
        <v>0</v>
      </c>
      <c r="O536">
        <v>0</v>
      </c>
      <c r="P536" s="8">
        <f>INT(Delivery_data[[#This Row],[Order Timestamp]])</f>
        <v>45172</v>
      </c>
      <c r="Q536" t="str">
        <f ca="1">IF(Delivery_data[[#This Row],[Order Status]]="In Progress", TODAY()-Delivery_data[[#This Row],[Order Date]], "")</f>
        <v/>
      </c>
      <c r="R536">
        <f>IF(Delivery_data[[#This Row],[On Time]]=1,0,1)</f>
        <v>1</v>
      </c>
    </row>
    <row r="537" spans="1:18" x14ac:dyDescent="0.35">
      <c r="A537">
        <v>1194</v>
      </c>
      <c r="B537" t="s">
        <v>667</v>
      </c>
      <c r="C537" s="1">
        <v>45175.35833333333</v>
      </c>
      <c r="D537" t="s">
        <v>25</v>
      </c>
      <c r="E537" t="s">
        <v>91</v>
      </c>
      <c r="F537" t="s">
        <v>646</v>
      </c>
      <c r="G537" t="s">
        <v>557</v>
      </c>
      <c r="H537">
        <v>234</v>
      </c>
      <c r="I537">
        <v>8</v>
      </c>
      <c r="J537" t="s">
        <v>35</v>
      </c>
      <c r="K537" t="s">
        <v>28</v>
      </c>
      <c r="L537" t="s">
        <v>22</v>
      </c>
      <c r="M537" t="s">
        <v>39</v>
      </c>
      <c r="N537">
        <v>0</v>
      </c>
      <c r="O537">
        <v>1</v>
      </c>
      <c r="P537" s="8">
        <f>INT(Delivery_data[[#This Row],[Order Timestamp]])</f>
        <v>45175</v>
      </c>
      <c r="Q537" t="str">
        <f ca="1">IF(Delivery_data[[#This Row],[Order Status]]="In Progress", TODAY()-Delivery_data[[#This Row],[Order Date]], "")</f>
        <v/>
      </c>
      <c r="R537">
        <f>IF(Delivery_data[[#This Row],[On Time]]=1,0,1)</f>
        <v>1</v>
      </c>
    </row>
    <row r="538" spans="1:18" x14ac:dyDescent="0.35">
      <c r="A538">
        <v>1207</v>
      </c>
      <c r="B538" t="s">
        <v>668</v>
      </c>
      <c r="C538" s="1">
        <v>45172.59652777778</v>
      </c>
      <c r="D538" t="s">
        <v>25</v>
      </c>
      <c r="E538" t="s">
        <v>89</v>
      </c>
      <c r="F538" t="s">
        <v>646</v>
      </c>
      <c r="G538" t="s">
        <v>233</v>
      </c>
      <c r="H538">
        <v>107</v>
      </c>
      <c r="I538">
        <v>11</v>
      </c>
      <c r="J538" t="s">
        <v>27</v>
      </c>
      <c r="K538" t="s">
        <v>21</v>
      </c>
      <c r="L538" t="s">
        <v>22</v>
      </c>
      <c r="M538" t="s">
        <v>30</v>
      </c>
      <c r="N538">
        <v>0</v>
      </c>
      <c r="O538">
        <v>0</v>
      </c>
      <c r="P538" s="8">
        <f>INT(Delivery_data[[#This Row],[Order Timestamp]])</f>
        <v>45172</v>
      </c>
      <c r="Q538" t="str">
        <f ca="1">IF(Delivery_data[[#This Row],[Order Status]]="In Progress", TODAY()-Delivery_data[[#This Row],[Order Date]], "")</f>
        <v/>
      </c>
      <c r="R538">
        <f>IF(Delivery_data[[#This Row],[On Time]]=1,0,1)</f>
        <v>1</v>
      </c>
    </row>
    <row r="539" spans="1:18" x14ac:dyDescent="0.35">
      <c r="A539">
        <v>1218</v>
      </c>
      <c r="B539" t="s">
        <v>669</v>
      </c>
      <c r="C539" s="1">
        <v>45174.454861111109</v>
      </c>
      <c r="D539" t="s">
        <v>25</v>
      </c>
      <c r="E539" t="s">
        <v>320</v>
      </c>
      <c r="F539" t="s">
        <v>646</v>
      </c>
      <c r="G539" t="s">
        <v>362</v>
      </c>
      <c r="H539">
        <v>164</v>
      </c>
      <c r="I539">
        <v>6</v>
      </c>
      <c r="J539" t="s">
        <v>27</v>
      </c>
      <c r="K539" t="s">
        <v>21</v>
      </c>
      <c r="L539" t="s">
        <v>22</v>
      </c>
      <c r="M539" t="s">
        <v>39</v>
      </c>
      <c r="N539">
        <v>0</v>
      </c>
      <c r="O539">
        <v>0</v>
      </c>
      <c r="P539" s="8">
        <f>INT(Delivery_data[[#This Row],[Order Timestamp]])</f>
        <v>45174</v>
      </c>
      <c r="Q539" t="str">
        <f ca="1">IF(Delivery_data[[#This Row],[Order Status]]="In Progress", TODAY()-Delivery_data[[#This Row],[Order Date]], "")</f>
        <v/>
      </c>
      <c r="R539">
        <f>IF(Delivery_data[[#This Row],[On Time]]=1,0,1)</f>
        <v>1</v>
      </c>
    </row>
    <row r="540" spans="1:18" x14ac:dyDescent="0.35">
      <c r="A540">
        <v>1226</v>
      </c>
      <c r="B540" t="s">
        <v>670</v>
      </c>
      <c r="C540" s="1">
        <v>45174.560416666667</v>
      </c>
      <c r="D540" t="s">
        <v>25</v>
      </c>
      <c r="E540" t="s">
        <v>89</v>
      </c>
      <c r="F540" t="s">
        <v>646</v>
      </c>
      <c r="G540" t="s">
        <v>362</v>
      </c>
      <c r="H540">
        <v>88</v>
      </c>
      <c r="I540">
        <v>27</v>
      </c>
      <c r="J540" t="s">
        <v>20</v>
      </c>
      <c r="K540" t="s">
        <v>51</v>
      </c>
      <c r="L540" t="s">
        <v>22</v>
      </c>
      <c r="M540" t="s">
        <v>23</v>
      </c>
      <c r="N540">
        <v>0</v>
      </c>
      <c r="O540">
        <v>0</v>
      </c>
      <c r="P540" s="8">
        <f>INT(Delivery_data[[#This Row],[Order Timestamp]])</f>
        <v>45174</v>
      </c>
      <c r="Q540" t="str">
        <f ca="1">IF(Delivery_data[[#This Row],[Order Status]]="In Progress", TODAY()-Delivery_data[[#This Row],[Order Date]], "")</f>
        <v/>
      </c>
      <c r="R540">
        <f>IF(Delivery_data[[#This Row],[On Time]]=1,0,1)</f>
        <v>1</v>
      </c>
    </row>
    <row r="541" spans="1:18" x14ac:dyDescent="0.35">
      <c r="A541">
        <v>1236</v>
      </c>
      <c r="B541" t="s">
        <v>671</v>
      </c>
      <c r="C541" s="1">
        <v>45173.607638888891</v>
      </c>
      <c r="D541" t="s">
        <v>25</v>
      </c>
      <c r="E541" t="s">
        <v>134</v>
      </c>
      <c r="F541" t="s">
        <v>646</v>
      </c>
      <c r="G541" t="s">
        <v>19</v>
      </c>
      <c r="H541">
        <v>232</v>
      </c>
      <c r="I541">
        <v>4</v>
      </c>
      <c r="J541" t="s">
        <v>35</v>
      </c>
      <c r="K541" t="s">
        <v>51</v>
      </c>
      <c r="L541" t="s">
        <v>22</v>
      </c>
      <c r="M541" t="s">
        <v>39</v>
      </c>
      <c r="N541">
        <v>0</v>
      </c>
      <c r="O541">
        <v>1</v>
      </c>
      <c r="P541" s="8">
        <f>INT(Delivery_data[[#This Row],[Order Timestamp]])</f>
        <v>45173</v>
      </c>
      <c r="Q541" t="str">
        <f ca="1">IF(Delivery_data[[#This Row],[Order Status]]="In Progress", TODAY()-Delivery_data[[#This Row],[Order Date]], "")</f>
        <v/>
      </c>
      <c r="R541">
        <f>IF(Delivery_data[[#This Row],[On Time]]=1,0,1)</f>
        <v>1</v>
      </c>
    </row>
    <row r="542" spans="1:18" x14ac:dyDescent="0.35">
      <c r="A542">
        <v>1237</v>
      </c>
      <c r="B542" t="s">
        <v>672</v>
      </c>
      <c r="C542" s="1">
        <v>45176.394444444442</v>
      </c>
      <c r="D542" t="s">
        <v>16</v>
      </c>
      <c r="E542" t="s">
        <v>325</v>
      </c>
      <c r="F542" t="s">
        <v>646</v>
      </c>
      <c r="G542" t="s">
        <v>233</v>
      </c>
      <c r="H542">
        <v>79</v>
      </c>
      <c r="I542">
        <v>19</v>
      </c>
      <c r="J542" t="s">
        <v>35</v>
      </c>
      <c r="K542" t="s">
        <v>21</v>
      </c>
      <c r="L542" t="s">
        <v>22</v>
      </c>
      <c r="M542" t="s">
        <v>23</v>
      </c>
      <c r="N542">
        <v>0</v>
      </c>
      <c r="O542">
        <v>1</v>
      </c>
      <c r="P542" s="8">
        <f>INT(Delivery_data[[#This Row],[Order Timestamp]])</f>
        <v>45176</v>
      </c>
      <c r="Q542">
        <f ca="1">IF(Delivery_data[[#This Row],[Order Status]]="In Progress", TODAY()-Delivery_data[[#This Row],[Order Date]], "")</f>
        <v>807</v>
      </c>
      <c r="R542">
        <f>IF(Delivery_data[[#This Row],[On Time]]=1,0,1)</f>
        <v>1</v>
      </c>
    </row>
    <row r="543" spans="1:18" x14ac:dyDescent="0.35">
      <c r="A543">
        <v>1239</v>
      </c>
      <c r="B543" t="s">
        <v>673</v>
      </c>
      <c r="C543" s="1">
        <v>45176.631944444445</v>
      </c>
      <c r="D543" t="s">
        <v>25</v>
      </c>
      <c r="E543" t="s">
        <v>195</v>
      </c>
      <c r="F543" t="s">
        <v>646</v>
      </c>
      <c r="G543" t="s">
        <v>19</v>
      </c>
      <c r="H543">
        <v>89</v>
      </c>
      <c r="I543">
        <v>26</v>
      </c>
      <c r="J543" t="s">
        <v>35</v>
      </c>
      <c r="K543" t="s">
        <v>28</v>
      </c>
      <c r="L543" t="s">
        <v>22</v>
      </c>
      <c r="M543" t="s">
        <v>39</v>
      </c>
      <c r="N543">
        <v>0</v>
      </c>
      <c r="O543">
        <v>1</v>
      </c>
      <c r="P543" s="8">
        <f>INT(Delivery_data[[#This Row],[Order Timestamp]])</f>
        <v>45176</v>
      </c>
      <c r="Q543" t="str">
        <f ca="1">IF(Delivery_data[[#This Row],[Order Status]]="In Progress", TODAY()-Delivery_data[[#This Row],[Order Date]], "")</f>
        <v/>
      </c>
      <c r="R543">
        <f>IF(Delivery_data[[#This Row],[On Time]]=1,0,1)</f>
        <v>1</v>
      </c>
    </row>
    <row r="544" spans="1:18" x14ac:dyDescent="0.35">
      <c r="A544">
        <v>1281</v>
      </c>
      <c r="B544" t="s">
        <v>674</v>
      </c>
      <c r="C544" s="1">
        <v>45177.478472222225</v>
      </c>
      <c r="D544" t="s">
        <v>16</v>
      </c>
      <c r="E544" t="s">
        <v>158</v>
      </c>
      <c r="F544" t="s">
        <v>646</v>
      </c>
      <c r="G544" t="s">
        <v>233</v>
      </c>
      <c r="H544">
        <v>220</v>
      </c>
      <c r="I544">
        <v>27</v>
      </c>
      <c r="J544" t="s">
        <v>20</v>
      </c>
      <c r="K544" t="s">
        <v>21</v>
      </c>
      <c r="L544" t="s">
        <v>22</v>
      </c>
      <c r="M544" t="s">
        <v>39</v>
      </c>
      <c r="N544">
        <v>0</v>
      </c>
      <c r="O544">
        <v>0</v>
      </c>
      <c r="P544" s="8">
        <f>INT(Delivery_data[[#This Row],[Order Timestamp]])</f>
        <v>45177</v>
      </c>
      <c r="Q544">
        <f ca="1">IF(Delivery_data[[#This Row],[Order Status]]="In Progress", TODAY()-Delivery_data[[#This Row],[Order Date]], "")</f>
        <v>806</v>
      </c>
      <c r="R544">
        <f>IF(Delivery_data[[#This Row],[On Time]]=1,0,1)</f>
        <v>1</v>
      </c>
    </row>
    <row r="545" spans="1:18" x14ac:dyDescent="0.35">
      <c r="A545">
        <v>1299</v>
      </c>
      <c r="B545" t="s">
        <v>675</v>
      </c>
      <c r="C545" s="1">
        <v>45174.361111111109</v>
      </c>
      <c r="D545" t="s">
        <v>25</v>
      </c>
      <c r="E545" t="s">
        <v>91</v>
      </c>
      <c r="F545" t="s">
        <v>646</v>
      </c>
      <c r="G545" t="s">
        <v>463</v>
      </c>
      <c r="H545">
        <v>153</v>
      </c>
      <c r="I545">
        <v>2</v>
      </c>
      <c r="J545" t="s">
        <v>35</v>
      </c>
      <c r="K545" t="s">
        <v>21</v>
      </c>
      <c r="L545" t="s">
        <v>22</v>
      </c>
      <c r="M545" t="s">
        <v>23</v>
      </c>
      <c r="N545">
        <v>0</v>
      </c>
      <c r="O545">
        <v>1</v>
      </c>
      <c r="P545" s="8">
        <f>INT(Delivery_data[[#This Row],[Order Timestamp]])</f>
        <v>45174</v>
      </c>
      <c r="Q545" t="str">
        <f ca="1">IF(Delivery_data[[#This Row],[Order Status]]="In Progress", TODAY()-Delivery_data[[#This Row],[Order Date]], "")</f>
        <v/>
      </c>
      <c r="R545">
        <f>IF(Delivery_data[[#This Row],[On Time]]=1,0,1)</f>
        <v>1</v>
      </c>
    </row>
    <row r="546" spans="1:18" x14ac:dyDescent="0.35">
      <c r="A546">
        <v>1314</v>
      </c>
      <c r="B546" t="s">
        <v>676</v>
      </c>
      <c r="C546" s="1">
        <v>45170.344444444447</v>
      </c>
      <c r="D546" t="s">
        <v>25</v>
      </c>
      <c r="E546" t="s">
        <v>115</v>
      </c>
      <c r="F546" t="s">
        <v>646</v>
      </c>
      <c r="G546" t="s">
        <v>362</v>
      </c>
      <c r="H546">
        <v>96</v>
      </c>
      <c r="I546">
        <v>4</v>
      </c>
      <c r="J546" t="s">
        <v>20</v>
      </c>
      <c r="K546" t="s">
        <v>51</v>
      </c>
      <c r="L546" t="s">
        <v>22</v>
      </c>
      <c r="M546" t="s">
        <v>30</v>
      </c>
      <c r="N546">
        <v>0</v>
      </c>
      <c r="O546">
        <v>0</v>
      </c>
      <c r="P546" s="8">
        <f>INT(Delivery_data[[#This Row],[Order Timestamp]])</f>
        <v>45170</v>
      </c>
      <c r="Q546" t="str">
        <f ca="1">IF(Delivery_data[[#This Row],[Order Status]]="In Progress", TODAY()-Delivery_data[[#This Row],[Order Date]], "")</f>
        <v/>
      </c>
      <c r="R546">
        <f>IF(Delivery_data[[#This Row],[On Time]]=1,0,1)</f>
        <v>1</v>
      </c>
    </row>
    <row r="547" spans="1:18" x14ac:dyDescent="0.35">
      <c r="A547">
        <v>1318</v>
      </c>
      <c r="B547" t="s">
        <v>677</v>
      </c>
      <c r="C547" s="1">
        <v>45171.60833333333</v>
      </c>
      <c r="D547" t="s">
        <v>25</v>
      </c>
      <c r="E547" t="s">
        <v>195</v>
      </c>
      <c r="F547" t="s">
        <v>646</v>
      </c>
      <c r="G547" t="s">
        <v>557</v>
      </c>
      <c r="H547">
        <v>135</v>
      </c>
      <c r="I547">
        <v>11</v>
      </c>
      <c r="J547" t="s">
        <v>27</v>
      </c>
      <c r="K547" t="s">
        <v>21</v>
      </c>
      <c r="L547" t="s">
        <v>22</v>
      </c>
      <c r="M547" t="s">
        <v>39</v>
      </c>
      <c r="N547">
        <v>0</v>
      </c>
      <c r="O547">
        <v>0</v>
      </c>
      <c r="P547" s="8">
        <f>INT(Delivery_data[[#This Row],[Order Timestamp]])</f>
        <v>45171</v>
      </c>
      <c r="Q547" t="str">
        <f ca="1">IF(Delivery_data[[#This Row],[Order Status]]="In Progress", TODAY()-Delivery_data[[#This Row],[Order Date]], "")</f>
        <v/>
      </c>
      <c r="R547">
        <f>IF(Delivery_data[[#This Row],[On Time]]=1,0,1)</f>
        <v>1</v>
      </c>
    </row>
    <row r="548" spans="1:18" x14ac:dyDescent="0.35">
      <c r="A548">
        <v>1326</v>
      </c>
      <c r="B548" t="s">
        <v>678</v>
      </c>
      <c r="C548" s="1">
        <v>45175.501388888886</v>
      </c>
      <c r="D548" t="s">
        <v>25</v>
      </c>
      <c r="E548" t="s">
        <v>292</v>
      </c>
      <c r="F548" t="s">
        <v>646</v>
      </c>
      <c r="G548" t="s">
        <v>19</v>
      </c>
      <c r="H548">
        <v>122</v>
      </c>
      <c r="I548">
        <v>8</v>
      </c>
      <c r="J548" t="s">
        <v>27</v>
      </c>
      <c r="K548" t="s">
        <v>38</v>
      </c>
      <c r="L548" t="s">
        <v>22</v>
      </c>
      <c r="M548" t="s">
        <v>39</v>
      </c>
      <c r="N548">
        <v>0</v>
      </c>
      <c r="O548">
        <v>0</v>
      </c>
      <c r="P548" s="8">
        <f>INT(Delivery_data[[#This Row],[Order Timestamp]])</f>
        <v>45175</v>
      </c>
      <c r="Q548" t="str">
        <f ca="1">IF(Delivery_data[[#This Row],[Order Status]]="In Progress", TODAY()-Delivery_data[[#This Row],[Order Date]], "")</f>
        <v/>
      </c>
      <c r="R548">
        <f>IF(Delivery_data[[#This Row],[On Time]]=1,0,1)</f>
        <v>1</v>
      </c>
    </row>
    <row r="549" spans="1:18" x14ac:dyDescent="0.35">
      <c r="A549">
        <v>1340</v>
      </c>
      <c r="B549" t="s">
        <v>679</v>
      </c>
      <c r="C549" s="1">
        <v>45176.540972222225</v>
      </c>
      <c r="D549" t="s">
        <v>16</v>
      </c>
      <c r="E549" t="s">
        <v>91</v>
      </c>
      <c r="F549" t="s">
        <v>646</v>
      </c>
      <c r="G549" t="s">
        <v>362</v>
      </c>
      <c r="H549">
        <v>215</v>
      </c>
      <c r="I549">
        <v>9</v>
      </c>
      <c r="J549" t="s">
        <v>27</v>
      </c>
      <c r="K549" t="s">
        <v>38</v>
      </c>
      <c r="L549" t="s">
        <v>22</v>
      </c>
      <c r="M549" t="s">
        <v>23</v>
      </c>
      <c r="N549">
        <v>0</v>
      </c>
      <c r="O549">
        <v>0</v>
      </c>
      <c r="P549" s="8">
        <f>INT(Delivery_data[[#This Row],[Order Timestamp]])</f>
        <v>45176</v>
      </c>
      <c r="Q549">
        <f ca="1">IF(Delivery_data[[#This Row],[Order Status]]="In Progress", TODAY()-Delivery_data[[#This Row],[Order Date]], "")</f>
        <v>807</v>
      </c>
      <c r="R549">
        <f>IF(Delivery_data[[#This Row],[On Time]]=1,0,1)</f>
        <v>1</v>
      </c>
    </row>
    <row r="550" spans="1:18" x14ac:dyDescent="0.35">
      <c r="A550">
        <v>1347</v>
      </c>
      <c r="B550" t="s">
        <v>680</v>
      </c>
      <c r="C550" s="1">
        <v>45176.494444444441</v>
      </c>
      <c r="D550" t="s">
        <v>25</v>
      </c>
      <c r="E550" t="s">
        <v>287</v>
      </c>
      <c r="F550" t="s">
        <v>646</v>
      </c>
      <c r="G550" t="s">
        <v>362</v>
      </c>
      <c r="H550">
        <v>185</v>
      </c>
      <c r="I550">
        <v>12</v>
      </c>
      <c r="J550" t="s">
        <v>35</v>
      </c>
      <c r="K550" t="s">
        <v>51</v>
      </c>
      <c r="L550" t="s">
        <v>22</v>
      </c>
      <c r="M550" t="s">
        <v>39</v>
      </c>
      <c r="N550">
        <v>0</v>
      </c>
      <c r="O550">
        <v>1</v>
      </c>
      <c r="P550" s="8">
        <f>INT(Delivery_data[[#This Row],[Order Timestamp]])</f>
        <v>45176</v>
      </c>
      <c r="Q550" t="str">
        <f ca="1">IF(Delivery_data[[#This Row],[Order Status]]="In Progress", TODAY()-Delivery_data[[#This Row],[Order Date]], "")</f>
        <v/>
      </c>
      <c r="R550">
        <f>IF(Delivery_data[[#This Row],[On Time]]=1,0,1)</f>
        <v>1</v>
      </c>
    </row>
    <row r="551" spans="1:18" x14ac:dyDescent="0.35">
      <c r="A551">
        <v>1351</v>
      </c>
      <c r="B551" t="s">
        <v>681</v>
      </c>
      <c r="C551" s="1">
        <v>45173.697222222225</v>
      </c>
      <c r="D551" t="s">
        <v>25</v>
      </c>
      <c r="E551" t="s">
        <v>342</v>
      </c>
      <c r="F551" t="s">
        <v>646</v>
      </c>
      <c r="G551" t="s">
        <v>233</v>
      </c>
      <c r="H551">
        <v>176</v>
      </c>
      <c r="I551">
        <v>16</v>
      </c>
      <c r="J551" t="s">
        <v>35</v>
      </c>
      <c r="K551" t="s">
        <v>28</v>
      </c>
      <c r="L551" t="s">
        <v>22</v>
      </c>
      <c r="M551" t="s">
        <v>30</v>
      </c>
      <c r="N551">
        <v>0</v>
      </c>
      <c r="O551">
        <v>1</v>
      </c>
      <c r="P551" s="8">
        <f>INT(Delivery_data[[#This Row],[Order Timestamp]])</f>
        <v>45173</v>
      </c>
      <c r="Q551" t="str">
        <f ca="1">IF(Delivery_data[[#This Row],[Order Status]]="In Progress", TODAY()-Delivery_data[[#This Row],[Order Date]], "")</f>
        <v/>
      </c>
      <c r="R551">
        <f>IF(Delivery_data[[#This Row],[On Time]]=1,0,1)</f>
        <v>1</v>
      </c>
    </row>
    <row r="552" spans="1:18" x14ac:dyDescent="0.35">
      <c r="A552">
        <v>1370</v>
      </c>
      <c r="B552" t="s">
        <v>682</v>
      </c>
      <c r="C552" s="1">
        <v>45174.488888888889</v>
      </c>
      <c r="D552" t="s">
        <v>25</v>
      </c>
      <c r="E552" t="s">
        <v>46</v>
      </c>
      <c r="F552" t="s">
        <v>646</v>
      </c>
      <c r="G552" t="s">
        <v>362</v>
      </c>
      <c r="H552">
        <v>69</v>
      </c>
      <c r="I552">
        <v>29</v>
      </c>
      <c r="J552" t="s">
        <v>27</v>
      </c>
      <c r="K552" t="s">
        <v>38</v>
      </c>
      <c r="L552" t="s">
        <v>22</v>
      </c>
      <c r="M552" t="s">
        <v>39</v>
      </c>
      <c r="N552">
        <v>0</v>
      </c>
      <c r="O552">
        <v>0</v>
      </c>
      <c r="P552" s="8">
        <f>INT(Delivery_data[[#This Row],[Order Timestamp]])</f>
        <v>45174</v>
      </c>
      <c r="Q552" t="str">
        <f ca="1">IF(Delivery_data[[#This Row],[Order Status]]="In Progress", TODAY()-Delivery_data[[#This Row],[Order Date]], "")</f>
        <v/>
      </c>
      <c r="R552">
        <f>IF(Delivery_data[[#This Row],[On Time]]=1,0,1)</f>
        <v>1</v>
      </c>
    </row>
    <row r="553" spans="1:18" x14ac:dyDescent="0.35">
      <c r="A553">
        <v>1373</v>
      </c>
      <c r="B553" t="s">
        <v>683</v>
      </c>
      <c r="C553" s="1">
        <v>45177.658333333333</v>
      </c>
      <c r="D553" t="s">
        <v>25</v>
      </c>
      <c r="E553" t="s">
        <v>96</v>
      </c>
      <c r="F553" t="s">
        <v>646</v>
      </c>
      <c r="G553" t="s">
        <v>463</v>
      </c>
      <c r="H553">
        <v>165</v>
      </c>
      <c r="I553">
        <v>6</v>
      </c>
      <c r="J553" t="s">
        <v>20</v>
      </c>
      <c r="K553" t="s">
        <v>38</v>
      </c>
      <c r="L553" t="s">
        <v>22</v>
      </c>
      <c r="M553" t="s">
        <v>39</v>
      </c>
      <c r="N553">
        <v>0</v>
      </c>
      <c r="O553">
        <v>0</v>
      </c>
      <c r="P553" s="8">
        <f>INT(Delivery_data[[#This Row],[Order Timestamp]])</f>
        <v>45177</v>
      </c>
      <c r="Q553" t="str">
        <f ca="1">IF(Delivery_data[[#This Row],[Order Status]]="In Progress", TODAY()-Delivery_data[[#This Row],[Order Date]], "")</f>
        <v/>
      </c>
      <c r="R553">
        <f>IF(Delivery_data[[#This Row],[On Time]]=1,0,1)</f>
        <v>1</v>
      </c>
    </row>
    <row r="554" spans="1:18" x14ac:dyDescent="0.35">
      <c r="A554">
        <v>1376</v>
      </c>
      <c r="B554" t="s">
        <v>684</v>
      </c>
      <c r="C554" s="1">
        <v>45170.69027777778</v>
      </c>
      <c r="D554" t="s">
        <v>16</v>
      </c>
      <c r="E554" t="s">
        <v>212</v>
      </c>
      <c r="F554" t="s">
        <v>646</v>
      </c>
      <c r="G554" t="s">
        <v>233</v>
      </c>
      <c r="H554">
        <v>108</v>
      </c>
      <c r="I554">
        <v>5</v>
      </c>
      <c r="J554" t="s">
        <v>35</v>
      </c>
      <c r="K554" t="s">
        <v>28</v>
      </c>
      <c r="L554" t="s">
        <v>22</v>
      </c>
      <c r="M554" t="s">
        <v>23</v>
      </c>
      <c r="N554">
        <v>0</v>
      </c>
      <c r="O554">
        <v>1</v>
      </c>
      <c r="P554" s="8">
        <f>INT(Delivery_data[[#This Row],[Order Timestamp]])</f>
        <v>45170</v>
      </c>
      <c r="Q554">
        <f ca="1">IF(Delivery_data[[#This Row],[Order Status]]="In Progress", TODAY()-Delivery_data[[#This Row],[Order Date]], "")</f>
        <v>813</v>
      </c>
      <c r="R554">
        <f>IF(Delivery_data[[#This Row],[On Time]]=1,0,1)</f>
        <v>1</v>
      </c>
    </row>
    <row r="555" spans="1:18" x14ac:dyDescent="0.35">
      <c r="A555">
        <v>1382</v>
      </c>
      <c r="B555" t="s">
        <v>685</v>
      </c>
      <c r="C555" s="1">
        <v>45176.456944444442</v>
      </c>
      <c r="D555" t="s">
        <v>25</v>
      </c>
      <c r="E555" t="s">
        <v>292</v>
      </c>
      <c r="F555" t="s">
        <v>646</v>
      </c>
      <c r="G555" t="s">
        <v>463</v>
      </c>
      <c r="H555">
        <v>90</v>
      </c>
      <c r="I555">
        <v>3</v>
      </c>
      <c r="J555" t="s">
        <v>35</v>
      </c>
      <c r="K555" t="s">
        <v>33</v>
      </c>
      <c r="L555" t="s">
        <v>22</v>
      </c>
      <c r="M555" t="s">
        <v>39</v>
      </c>
      <c r="N555">
        <v>0</v>
      </c>
      <c r="O555">
        <v>1</v>
      </c>
      <c r="P555" s="8">
        <f>INT(Delivery_data[[#This Row],[Order Timestamp]])</f>
        <v>45176</v>
      </c>
      <c r="Q555" t="str">
        <f ca="1">IF(Delivery_data[[#This Row],[Order Status]]="In Progress", TODAY()-Delivery_data[[#This Row],[Order Date]], "")</f>
        <v/>
      </c>
      <c r="R555">
        <f>IF(Delivery_data[[#This Row],[On Time]]=1,0,1)</f>
        <v>1</v>
      </c>
    </row>
    <row r="556" spans="1:18" x14ac:dyDescent="0.35">
      <c r="A556">
        <v>1389</v>
      </c>
      <c r="B556" t="s">
        <v>686</v>
      </c>
      <c r="C556" s="1">
        <v>45170.57708333333</v>
      </c>
      <c r="D556" t="s">
        <v>16</v>
      </c>
      <c r="E556" t="s">
        <v>511</v>
      </c>
      <c r="F556" t="s">
        <v>646</v>
      </c>
      <c r="G556" t="s">
        <v>19</v>
      </c>
      <c r="H556">
        <v>127</v>
      </c>
      <c r="I556">
        <v>28</v>
      </c>
      <c r="J556" t="s">
        <v>27</v>
      </c>
      <c r="K556" t="s">
        <v>51</v>
      </c>
      <c r="L556" t="s">
        <v>22</v>
      </c>
      <c r="M556" t="s">
        <v>39</v>
      </c>
      <c r="N556">
        <v>0</v>
      </c>
      <c r="O556">
        <v>0</v>
      </c>
      <c r="P556" s="8">
        <f>INT(Delivery_data[[#This Row],[Order Timestamp]])</f>
        <v>45170</v>
      </c>
      <c r="Q556">
        <f ca="1">IF(Delivery_data[[#This Row],[Order Status]]="In Progress", TODAY()-Delivery_data[[#This Row],[Order Date]], "")</f>
        <v>813</v>
      </c>
      <c r="R556">
        <f>IF(Delivery_data[[#This Row],[On Time]]=1,0,1)</f>
        <v>1</v>
      </c>
    </row>
    <row r="557" spans="1:18" x14ac:dyDescent="0.35">
      <c r="A557">
        <v>1392</v>
      </c>
      <c r="B557" t="s">
        <v>687</v>
      </c>
      <c r="C557" s="1">
        <v>45176.552083333336</v>
      </c>
      <c r="D557" t="s">
        <v>25</v>
      </c>
      <c r="E557" t="s">
        <v>165</v>
      </c>
      <c r="F557" t="s">
        <v>646</v>
      </c>
      <c r="G557" t="s">
        <v>19</v>
      </c>
      <c r="H557">
        <v>193</v>
      </c>
      <c r="I557">
        <v>16</v>
      </c>
      <c r="J557" t="s">
        <v>20</v>
      </c>
      <c r="K557" t="s">
        <v>33</v>
      </c>
      <c r="L557" t="s">
        <v>22</v>
      </c>
      <c r="M557" t="s">
        <v>23</v>
      </c>
      <c r="N557">
        <v>0</v>
      </c>
      <c r="O557">
        <v>0</v>
      </c>
      <c r="P557" s="8">
        <f>INT(Delivery_data[[#This Row],[Order Timestamp]])</f>
        <v>45176</v>
      </c>
      <c r="Q557" t="str">
        <f ca="1">IF(Delivery_data[[#This Row],[Order Status]]="In Progress", TODAY()-Delivery_data[[#This Row],[Order Date]], "")</f>
        <v/>
      </c>
      <c r="R557">
        <f>IF(Delivery_data[[#This Row],[On Time]]=1,0,1)</f>
        <v>1</v>
      </c>
    </row>
    <row r="558" spans="1:18" x14ac:dyDescent="0.35">
      <c r="A558">
        <v>1399</v>
      </c>
      <c r="B558" t="s">
        <v>688</v>
      </c>
      <c r="C558" s="1">
        <v>45174.397222222222</v>
      </c>
      <c r="D558" t="s">
        <v>25</v>
      </c>
      <c r="E558" t="s">
        <v>222</v>
      </c>
      <c r="F558" t="s">
        <v>646</v>
      </c>
      <c r="G558" t="s">
        <v>557</v>
      </c>
      <c r="H558">
        <v>96</v>
      </c>
      <c r="I558">
        <v>18</v>
      </c>
      <c r="J558" t="s">
        <v>27</v>
      </c>
      <c r="K558" t="s">
        <v>51</v>
      </c>
      <c r="L558" t="s">
        <v>22</v>
      </c>
      <c r="M558" t="s">
        <v>39</v>
      </c>
      <c r="N558">
        <v>0</v>
      </c>
      <c r="O558">
        <v>0</v>
      </c>
      <c r="P558" s="8">
        <f>INT(Delivery_data[[#This Row],[Order Timestamp]])</f>
        <v>45174</v>
      </c>
      <c r="Q558" t="str">
        <f ca="1">IF(Delivery_data[[#This Row],[Order Status]]="In Progress", TODAY()-Delivery_data[[#This Row],[Order Date]], "")</f>
        <v/>
      </c>
      <c r="R558">
        <f>IF(Delivery_data[[#This Row],[On Time]]=1,0,1)</f>
        <v>1</v>
      </c>
    </row>
    <row r="559" spans="1:18" x14ac:dyDescent="0.35">
      <c r="A559">
        <v>1400</v>
      </c>
      <c r="B559" t="s">
        <v>689</v>
      </c>
      <c r="C559" s="1">
        <v>45170.557638888888</v>
      </c>
      <c r="D559" t="s">
        <v>25</v>
      </c>
      <c r="E559" t="s">
        <v>74</v>
      </c>
      <c r="F559" t="s">
        <v>646</v>
      </c>
      <c r="G559" t="s">
        <v>463</v>
      </c>
      <c r="H559">
        <v>63</v>
      </c>
      <c r="I559">
        <v>21</v>
      </c>
      <c r="J559" t="s">
        <v>35</v>
      </c>
      <c r="K559" t="s">
        <v>21</v>
      </c>
      <c r="L559" t="s">
        <v>22</v>
      </c>
      <c r="M559" t="s">
        <v>30</v>
      </c>
      <c r="N559">
        <v>0</v>
      </c>
      <c r="O559">
        <v>1</v>
      </c>
      <c r="P559" s="8">
        <f>INT(Delivery_data[[#This Row],[Order Timestamp]])</f>
        <v>45170</v>
      </c>
      <c r="Q559" t="str">
        <f ca="1">IF(Delivery_data[[#This Row],[Order Status]]="In Progress", TODAY()-Delivery_data[[#This Row],[Order Date]], "")</f>
        <v/>
      </c>
      <c r="R559">
        <f>IF(Delivery_data[[#This Row],[On Time]]=1,0,1)</f>
        <v>1</v>
      </c>
    </row>
    <row r="560" spans="1:18" x14ac:dyDescent="0.35">
      <c r="A560">
        <v>1411</v>
      </c>
      <c r="B560" t="s">
        <v>690</v>
      </c>
      <c r="C560" s="1">
        <v>45177.563194444447</v>
      </c>
      <c r="D560" t="s">
        <v>25</v>
      </c>
      <c r="E560" t="s">
        <v>115</v>
      </c>
      <c r="F560" t="s">
        <v>646</v>
      </c>
      <c r="G560" t="s">
        <v>463</v>
      </c>
      <c r="H560">
        <v>203</v>
      </c>
      <c r="I560">
        <v>14</v>
      </c>
      <c r="J560" t="s">
        <v>35</v>
      </c>
      <c r="K560" t="s">
        <v>33</v>
      </c>
      <c r="L560" t="s">
        <v>22</v>
      </c>
      <c r="M560" t="s">
        <v>39</v>
      </c>
      <c r="N560">
        <v>0</v>
      </c>
      <c r="O560">
        <v>1</v>
      </c>
      <c r="P560" s="8">
        <f>INT(Delivery_data[[#This Row],[Order Timestamp]])</f>
        <v>45177</v>
      </c>
      <c r="Q560" t="str">
        <f ca="1">IF(Delivery_data[[#This Row],[Order Status]]="In Progress", TODAY()-Delivery_data[[#This Row],[Order Date]], "")</f>
        <v/>
      </c>
      <c r="R560">
        <f>IF(Delivery_data[[#This Row],[On Time]]=1,0,1)</f>
        <v>1</v>
      </c>
    </row>
    <row r="561" spans="1:18" x14ac:dyDescent="0.35">
      <c r="A561">
        <v>1412</v>
      </c>
      <c r="B561" t="s">
        <v>691</v>
      </c>
      <c r="C561" s="1">
        <v>45170.56527777778</v>
      </c>
      <c r="D561" t="s">
        <v>25</v>
      </c>
      <c r="E561" t="s">
        <v>284</v>
      </c>
      <c r="F561" t="s">
        <v>646</v>
      </c>
      <c r="G561" t="s">
        <v>233</v>
      </c>
      <c r="H561">
        <v>183</v>
      </c>
      <c r="I561">
        <v>21</v>
      </c>
      <c r="J561" t="s">
        <v>35</v>
      </c>
      <c r="K561" t="s">
        <v>38</v>
      </c>
      <c r="L561" t="s">
        <v>22</v>
      </c>
      <c r="M561" t="s">
        <v>39</v>
      </c>
      <c r="N561">
        <v>0</v>
      </c>
      <c r="O561">
        <v>1</v>
      </c>
      <c r="P561" s="8">
        <f>INT(Delivery_data[[#This Row],[Order Timestamp]])</f>
        <v>45170</v>
      </c>
      <c r="Q561" t="str">
        <f ca="1">IF(Delivery_data[[#This Row],[Order Status]]="In Progress", TODAY()-Delivery_data[[#This Row],[Order Date]], "")</f>
        <v/>
      </c>
      <c r="R561">
        <f>IF(Delivery_data[[#This Row],[On Time]]=1,0,1)</f>
        <v>1</v>
      </c>
    </row>
    <row r="562" spans="1:18" x14ac:dyDescent="0.35">
      <c r="A562">
        <v>1417</v>
      </c>
      <c r="B562" t="s">
        <v>692</v>
      </c>
      <c r="C562" s="1">
        <v>45176.552777777775</v>
      </c>
      <c r="D562" t="s">
        <v>25</v>
      </c>
      <c r="E562" t="s">
        <v>74</v>
      </c>
      <c r="F562" t="s">
        <v>646</v>
      </c>
      <c r="G562" t="s">
        <v>19</v>
      </c>
      <c r="H562">
        <v>216</v>
      </c>
      <c r="I562">
        <v>9</v>
      </c>
      <c r="J562" t="s">
        <v>35</v>
      </c>
      <c r="K562" t="s">
        <v>21</v>
      </c>
      <c r="L562" t="s">
        <v>22</v>
      </c>
      <c r="M562" t="s">
        <v>23</v>
      </c>
      <c r="N562">
        <v>0</v>
      </c>
      <c r="O562">
        <v>1</v>
      </c>
      <c r="P562" s="8">
        <f>INT(Delivery_data[[#This Row],[Order Timestamp]])</f>
        <v>45176</v>
      </c>
      <c r="Q562" t="str">
        <f ca="1">IF(Delivery_data[[#This Row],[Order Status]]="In Progress", TODAY()-Delivery_data[[#This Row],[Order Date]], "")</f>
        <v/>
      </c>
      <c r="R562">
        <f>IF(Delivery_data[[#This Row],[On Time]]=1,0,1)</f>
        <v>1</v>
      </c>
    </row>
    <row r="563" spans="1:18" x14ac:dyDescent="0.35">
      <c r="A563">
        <v>1431</v>
      </c>
      <c r="B563" t="s">
        <v>693</v>
      </c>
      <c r="C563" s="1">
        <v>45170.39166666667</v>
      </c>
      <c r="D563" t="s">
        <v>16</v>
      </c>
      <c r="E563" t="s">
        <v>60</v>
      </c>
      <c r="F563" t="s">
        <v>646</v>
      </c>
      <c r="G563" t="s">
        <v>557</v>
      </c>
      <c r="H563">
        <v>140</v>
      </c>
      <c r="I563">
        <v>10</v>
      </c>
      <c r="J563" t="s">
        <v>20</v>
      </c>
      <c r="K563" t="s">
        <v>51</v>
      </c>
      <c r="L563" t="s">
        <v>22</v>
      </c>
      <c r="M563" t="s">
        <v>23</v>
      </c>
      <c r="N563">
        <v>0</v>
      </c>
      <c r="O563">
        <v>0</v>
      </c>
      <c r="P563" s="8">
        <f>INT(Delivery_data[[#This Row],[Order Timestamp]])</f>
        <v>45170</v>
      </c>
      <c r="Q563">
        <f ca="1">IF(Delivery_data[[#This Row],[Order Status]]="In Progress", TODAY()-Delivery_data[[#This Row],[Order Date]], "")</f>
        <v>813</v>
      </c>
      <c r="R563">
        <f>IF(Delivery_data[[#This Row],[On Time]]=1,0,1)</f>
        <v>1</v>
      </c>
    </row>
    <row r="564" spans="1:18" x14ac:dyDescent="0.35">
      <c r="A564">
        <v>1435</v>
      </c>
      <c r="B564" t="s">
        <v>694</v>
      </c>
      <c r="C564" s="1">
        <v>45176.70208333333</v>
      </c>
      <c r="D564" t="s">
        <v>25</v>
      </c>
      <c r="E564" t="s">
        <v>666</v>
      </c>
      <c r="F564" t="s">
        <v>646</v>
      </c>
      <c r="G564" t="s">
        <v>19</v>
      </c>
      <c r="H564">
        <v>184</v>
      </c>
      <c r="I564">
        <v>11</v>
      </c>
      <c r="J564" t="s">
        <v>27</v>
      </c>
      <c r="K564" t="s">
        <v>28</v>
      </c>
      <c r="L564" t="s">
        <v>22</v>
      </c>
      <c r="M564" t="s">
        <v>30</v>
      </c>
      <c r="N564">
        <v>0</v>
      </c>
      <c r="O564">
        <v>0</v>
      </c>
      <c r="P564" s="8">
        <f>INT(Delivery_data[[#This Row],[Order Timestamp]])</f>
        <v>45176</v>
      </c>
      <c r="Q564" t="str">
        <f ca="1">IF(Delivery_data[[#This Row],[Order Status]]="In Progress", TODAY()-Delivery_data[[#This Row],[Order Date]], "")</f>
        <v/>
      </c>
      <c r="R564">
        <f>IF(Delivery_data[[#This Row],[On Time]]=1,0,1)</f>
        <v>1</v>
      </c>
    </row>
    <row r="565" spans="1:18" x14ac:dyDescent="0.35">
      <c r="A565">
        <v>1445</v>
      </c>
      <c r="B565" t="s">
        <v>695</v>
      </c>
      <c r="C565" s="1">
        <v>45171.381249999999</v>
      </c>
      <c r="D565" t="s">
        <v>16</v>
      </c>
      <c r="E565" t="s">
        <v>175</v>
      </c>
      <c r="F565" t="s">
        <v>646</v>
      </c>
      <c r="G565" t="s">
        <v>233</v>
      </c>
      <c r="H565">
        <v>81</v>
      </c>
      <c r="I565">
        <v>2</v>
      </c>
      <c r="J565" t="s">
        <v>27</v>
      </c>
      <c r="K565" t="s">
        <v>21</v>
      </c>
      <c r="L565" t="s">
        <v>22</v>
      </c>
      <c r="M565" t="s">
        <v>30</v>
      </c>
      <c r="N565">
        <v>0</v>
      </c>
      <c r="O565">
        <v>0</v>
      </c>
      <c r="P565" s="8">
        <f>INT(Delivery_data[[#This Row],[Order Timestamp]])</f>
        <v>45171</v>
      </c>
      <c r="Q565">
        <f ca="1">IF(Delivery_data[[#This Row],[Order Status]]="In Progress", TODAY()-Delivery_data[[#This Row],[Order Date]], "")</f>
        <v>812</v>
      </c>
      <c r="R565">
        <f>IF(Delivery_data[[#This Row],[On Time]]=1,0,1)</f>
        <v>1</v>
      </c>
    </row>
    <row r="566" spans="1:18" x14ac:dyDescent="0.35">
      <c r="A566">
        <v>1463</v>
      </c>
      <c r="B566" t="s">
        <v>696</v>
      </c>
      <c r="C566" s="1">
        <v>45177.457638888889</v>
      </c>
      <c r="D566" t="s">
        <v>16</v>
      </c>
      <c r="E566" t="s">
        <v>346</v>
      </c>
      <c r="F566" t="s">
        <v>646</v>
      </c>
      <c r="G566" t="s">
        <v>557</v>
      </c>
      <c r="H566">
        <v>176</v>
      </c>
      <c r="I566">
        <v>29</v>
      </c>
      <c r="J566" t="s">
        <v>27</v>
      </c>
      <c r="K566" t="s">
        <v>38</v>
      </c>
      <c r="L566" t="s">
        <v>22</v>
      </c>
      <c r="M566" t="s">
        <v>39</v>
      </c>
      <c r="N566">
        <v>0</v>
      </c>
      <c r="O566">
        <v>0</v>
      </c>
      <c r="P566" s="8">
        <f>INT(Delivery_data[[#This Row],[Order Timestamp]])</f>
        <v>45177</v>
      </c>
      <c r="Q566">
        <f ca="1">IF(Delivery_data[[#This Row],[Order Status]]="In Progress", TODAY()-Delivery_data[[#This Row],[Order Date]], "")</f>
        <v>806</v>
      </c>
      <c r="R566">
        <f>IF(Delivery_data[[#This Row],[On Time]]=1,0,1)</f>
        <v>1</v>
      </c>
    </row>
    <row r="567" spans="1:18" x14ac:dyDescent="0.35">
      <c r="A567">
        <v>1470</v>
      </c>
      <c r="B567" t="s">
        <v>697</v>
      </c>
      <c r="C567" s="1">
        <v>45171.452777777777</v>
      </c>
      <c r="D567" t="s">
        <v>25</v>
      </c>
      <c r="E567" t="s">
        <v>144</v>
      </c>
      <c r="F567" t="s">
        <v>646</v>
      </c>
      <c r="G567" t="s">
        <v>557</v>
      </c>
      <c r="H567">
        <v>86</v>
      </c>
      <c r="I567">
        <v>18</v>
      </c>
      <c r="J567" t="s">
        <v>35</v>
      </c>
      <c r="K567" t="s">
        <v>21</v>
      </c>
      <c r="L567" t="s">
        <v>22</v>
      </c>
      <c r="M567" t="s">
        <v>30</v>
      </c>
      <c r="N567">
        <v>0</v>
      </c>
      <c r="O567">
        <v>1</v>
      </c>
      <c r="P567" s="8">
        <f>INT(Delivery_data[[#This Row],[Order Timestamp]])</f>
        <v>45171</v>
      </c>
      <c r="Q567" t="str">
        <f ca="1">IF(Delivery_data[[#This Row],[Order Status]]="In Progress", TODAY()-Delivery_data[[#This Row],[Order Date]], "")</f>
        <v/>
      </c>
      <c r="R567">
        <f>IF(Delivery_data[[#This Row],[On Time]]=1,0,1)</f>
        <v>1</v>
      </c>
    </row>
    <row r="568" spans="1:18" x14ac:dyDescent="0.35">
      <c r="A568">
        <v>1472</v>
      </c>
      <c r="B568" t="s">
        <v>698</v>
      </c>
      <c r="C568" s="1">
        <v>45171.668749999997</v>
      </c>
      <c r="D568" t="s">
        <v>16</v>
      </c>
      <c r="E568" t="s">
        <v>260</v>
      </c>
      <c r="F568" t="s">
        <v>646</v>
      </c>
      <c r="G568" t="s">
        <v>233</v>
      </c>
      <c r="H568">
        <v>204</v>
      </c>
      <c r="I568">
        <v>5</v>
      </c>
      <c r="J568" t="s">
        <v>27</v>
      </c>
      <c r="K568" t="s">
        <v>51</v>
      </c>
      <c r="L568" t="s">
        <v>22</v>
      </c>
      <c r="M568" t="s">
        <v>30</v>
      </c>
      <c r="N568">
        <v>0</v>
      </c>
      <c r="O568">
        <v>0</v>
      </c>
      <c r="P568" s="8">
        <f>INT(Delivery_data[[#This Row],[Order Timestamp]])</f>
        <v>45171</v>
      </c>
      <c r="Q568">
        <f ca="1">IF(Delivery_data[[#This Row],[Order Status]]="In Progress", TODAY()-Delivery_data[[#This Row],[Order Date]], "")</f>
        <v>812</v>
      </c>
      <c r="R568">
        <f>IF(Delivery_data[[#This Row],[On Time]]=1,0,1)</f>
        <v>1</v>
      </c>
    </row>
    <row r="569" spans="1:18" x14ac:dyDescent="0.35">
      <c r="A569">
        <v>1483</v>
      </c>
      <c r="B569" t="s">
        <v>699</v>
      </c>
      <c r="C569" s="1">
        <v>45172.598611111112</v>
      </c>
      <c r="D569" t="s">
        <v>16</v>
      </c>
      <c r="E569" t="s">
        <v>254</v>
      </c>
      <c r="F569" t="s">
        <v>646</v>
      </c>
      <c r="G569" t="s">
        <v>233</v>
      </c>
      <c r="H569">
        <v>69</v>
      </c>
      <c r="I569">
        <v>22</v>
      </c>
      <c r="J569" t="s">
        <v>20</v>
      </c>
      <c r="K569" t="s">
        <v>21</v>
      </c>
      <c r="L569" t="s">
        <v>22</v>
      </c>
      <c r="M569" t="s">
        <v>23</v>
      </c>
      <c r="N569">
        <v>0</v>
      </c>
      <c r="O569">
        <v>0</v>
      </c>
      <c r="P569" s="8">
        <f>INT(Delivery_data[[#This Row],[Order Timestamp]])</f>
        <v>45172</v>
      </c>
      <c r="Q569">
        <f ca="1">IF(Delivery_data[[#This Row],[Order Status]]="In Progress", TODAY()-Delivery_data[[#This Row],[Order Date]], "")</f>
        <v>811</v>
      </c>
      <c r="R569">
        <f>IF(Delivery_data[[#This Row],[On Time]]=1,0,1)</f>
        <v>1</v>
      </c>
    </row>
    <row r="570" spans="1:18" x14ac:dyDescent="0.35">
      <c r="A570">
        <v>1489</v>
      </c>
      <c r="B570" t="s">
        <v>700</v>
      </c>
      <c r="C570" s="1">
        <v>45171.65625</v>
      </c>
      <c r="D570" t="s">
        <v>16</v>
      </c>
      <c r="E570" t="s">
        <v>191</v>
      </c>
      <c r="F570" t="s">
        <v>646</v>
      </c>
      <c r="G570" t="s">
        <v>19</v>
      </c>
      <c r="H570">
        <v>172</v>
      </c>
      <c r="I570">
        <v>12</v>
      </c>
      <c r="J570" t="s">
        <v>35</v>
      </c>
      <c r="K570" t="s">
        <v>38</v>
      </c>
      <c r="L570" t="s">
        <v>22</v>
      </c>
      <c r="M570" t="s">
        <v>23</v>
      </c>
      <c r="N570">
        <v>0</v>
      </c>
      <c r="O570">
        <v>1</v>
      </c>
      <c r="P570" s="8">
        <f>INT(Delivery_data[[#This Row],[Order Timestamp]])</f>
        <v>45171</v>
      </c>
      <c r="Q570">
        <f ca="1">IF(Delivery_data[[#This Row],[Order Status]]="In Progress", TODAY()-Delivery_data[[#This Row],[Order Date]], "")</f>
        <v>812</v>
      </c>
      <c r="R570">
        <f>IF(Delivery_data[[#This Row],[On Time]]=1,0,1)</f>
        <v>1</v>
      </c>
    </row>
    <row r="571" spans="1:18" x14ac:dyDescent="0.35">
      <c r="A571">
        <v>1492</v>
      </c>
      <c r="B571" t="s">
        <v>701</v>
      </c>
      <c r="C571" s="1">
        <v>45177.44027777778</v>
      </c>
      <c r="D571" t="s">
        <v>16</v>
      </c>
      <c r="E571" t="s">
        <v>44</v>
      </c>
      <c r="F571" t="s">
        <v>646</v>
      </c>
      <c r="G571" t="s">
        <v>19</v>
      </c>
      <c r="H571">
        <v>235</v>
      </c>
      <c r="I571">
        <v>1</v>
      </c>
      <c r="J571" t="s">
        <v>20</v>
      </c>
      <c r="K571" t="s">
        <v>21</v>
      </c>
      <c r="L571" t="s">
        <v>22</v>
      </c>
      <c r="M571" t="s">
        <v>39</v>
      </c>
      <c r="N571">
        <v>0</v>
      </c>
      <c r="O571">
        <v>0</v>
      </c>
      <c r="P571" s="8">
        <f>INT(Delivery_data[[#This Row],[Order Timestamp]])</f>
        <v>45177</v>
      </c>
      <c r="Q571">
        <f ca="1">IF(Delivery_data[[#This Row],[Order Status]]="In Progress", TODAY()-Delivery_data[[#This Row],[Order Date]], "")</f>
        <v>806</v>
      </c>
      <c r="R571">
        <f>IF(Delivery_data[[#This Row],[On Time]]=1,0,1)</f>
        <v>1</v>
      </c>
    </row>
    <row r="572" spans="1:18" x14ac:dyDescent="0.35">
      <c r="A572">
        <v>1501</v>
      </c>
      <c r="B572" t="s">
        <v>702</v>
      </c>
      <c r="C572" s="1">
        <v>45171.368750000001</v>
      </c>
      <c r="D572" t="s">
        <v>16</v>
      </c>
      <c r="E572" t="s">
        <v>346</v>
      </c>
      <c r="F572" t="s">
        <v>646</v>
      </c>
      <c r="G572" t="s">
        <v>19</v>
      </c>
      <c r="H572">
        <v>197</v>
      </c>
      <c r="I572">
        <v>19</v>
      </c>
      <c r="J572" t="s">
        <v>27</v>
      </c>
      <c r="K572" t="s">
        <v>51</v>
      </c>
      <c r="L572" t="s">
        <v>22</v>
      </c>
      <c r="M572" t="s">
        <v>39</v>
      </c>
      <c r="N572">
        <v>0</v>
      </c>
      <c r="O572">
        <v>0</v>
      </c>
      <c r="P572" s="8">
        <f>INT(Delivery_data[[#This Row],[Order Timestamp]])</f>
        <v>45171</v>
      </c>
      <c r="Q572">
        <f ca="1">IF(Delivery_data[[#This Row],[Order Status]]="In Progress", TODAY()-Delivery_data[[#This Row],[Order Date]], "")</f>
        <v>812</v>
      </c>
      <c r="R572">
        <f>IF(Delivery_data[[#This Row],[On Time]]=1,0,1)</f>
        <v>1</v>
      </c>
    </row>
    <row r="573" spans="1:18" x14ac:dyDescent="0.35">
      <c r="A573">
        <v>1527</v>
      </c>
      <c r="B573" t="s">
        <v>703</v>
      </c>
      <c r="C573" s="1">
        <v>45176.636805555558</v>
      </c>
      <c r="D573" t="s">
        <v>25</v>
      </c>
      <c r="E573" t="s">
        <v>136</v>
      </c>
      <c r="F573" t="s">
        <v>646</v>
      </c>
      <c r="G573" t="s">
        <v>557</v>
      </c>
      <c r="H573">
        <v>159</v>
      </c>
      <c r="I573">
        <v>27</v>
      </c>
      <c r="J573" t="s">
        <v>27</v>
      </c>
      <c r="K573" t="s">
        <v>28</v>
      </c>
      <c r="L573" t="s">
        <v>22</v>
      </c>
      <c r="M573" t="s">
        <v>39</v>
      </c>
      <c r="N573">
        <v>0</v>
      </c>
      <c r="O573">
        <v>0</v>
      </c>
      <c r="P573" s="8">
        <f>INT(Delivery_data[[#This Row],[Order Timestamp]])</f>
        <v>45176</v>
      </c>
      <c r="Q573" t="str">
        <f ca="1">IF(Delivery_data[[#This Row],[Order Status]]="In Progress", TODAY()-Delivery_data[[#This Row],[Order Date]], "")</f>
        <v/>
      </c>
      <c r="R573">
        <f>IF(Delivery_data[[#This Row],[On Time]]=1,0,1)</f>
        <v>1</v>
      </c>
    </row>
    <row r="574" spans="1:18" x14ac:dyDescent="0.35">
      <c r="A574">
        <v>1539</v>
      </c>
      <c r="B574" t="s">
        <v>704</v>
      </c>
      <c r="C574" s="1">
        <v>45171.595138888886</v>
      </c>
      <c r="D574" t="s">
        <v>16</v>
      </c>
      <c r="E574" t="s">
        <v>342</v>
      </c>
      <c r="F574" t="s">
        <v>646</v>
      </c>
      <c r="G574" t="s">
        <v>463</v>
      </c>
      <c r="H574">
        <v>173</v>
      </c>
      <c r="I574">
        <v>17</v>
      </c>
      <c r="J574" t="s">
        <v>20</v>
      </c>
      <c r="K574" t="s">
        <v>28</v>
      </c>
      <c r="L574" t="s">
        <v>22</v>
      </c>
      <c r="M574" t="s">
        <v>23</v>
      </c>
      <c r="N574">
        <v>0</v>
      </c>
      <c r="O574">
        <v>0</v>
      </c>
      <c r="P574" s="8">
        <f>INT(Delivery_data[[#This Row],[Order Timestamp]])</f>
        <v>45171</v>
      </c>
      <c r="Q574">
        <f ca="1">IF(Delivery_data[[#This Row],[Order Status]]="In Progress", TODAY()-Delivery_data[[#This Row],[Order Date]], "")</f>
        <v>812</v>
      </c>
      <c r="R574">
        <f>IF(Delivery_data[[#This Row],[On Time]]=1,0,1)</f>
        <v>1</v>
      </c>
    </row>
    <row r="575" spans="1:18" x14ac:dyDescent="0.35">
      <c r="A575">
        <v>1548</v>
      </c>
      <c r="B575" t="s">
        <v>705</v>
      </c>
      <c r="C575" s="1">
        <v>45173.601388888892</v>
      </c>
      <c r="D575" t="s">
        <v>25</v>
      </c>
      <c r="E575" t="s">
        <v>325</v>
      </c>
      <c r="F575" t="s">
        <v>646</v>
      </c>
      <c r="G575" t="s">
        <v>557</v>
      </c>
      <c r="H575">
        <v>62</v>
      </c>
      <c r="I575">
        <v>25</v>
      </c>
      <c r="J575" t="s">
        <v>27</v>
      </c>
      <c r="K575" t="s">
        <v>28</v>
      </c>
      <c r="L575" t="s">
        <v>22</v>
      </c>
      <c r="M575" t="s">
        <v>39</v>
      </c>
      <c r="N575">
        <v>0</v>
      </c>
      <c r="O575">
        <v>0</v>
      </c>
      <c r="P575" s="8">
        <f>INT(Delivery_data[[#This Row],[Order Timestamp]])</f>
        <v>45173</v>
      </c>
      <c r="Q575" t="str">
        <f ca="1">IF(Delivery_data[[#This Row],[Order Status]]="In Progress", TODAY()-Delivery_data[[#This Row],[Order Date]], "")</f>
        <v/>
      </c>
      <c r="R575">
        <f>IF(Delivery_data[[#This Row],[On Time]]=1,0,1)</f>
        <v>1</v>
      </c>
    </row>
    <row r="576" spans="1:18" x14ac:dyDescent="0.35">
      <c r="A576">
        <v>1549</v>
      </c>
      <c r="B576" t="s">
        <v>706</v>
      </c>
      <c r="C576" s="1">
        <v>45172.524305555555</v>
      </c>
      <c r="D576" t="s">
        <v>16</v>
      </c>
      <c r="E576" t="s">
        <v>360</v>
      </c>
      <c r="F576" t="s">
        <v>646</v>
      </c>
      <c r="G576" t="s">
        <v>362</v>
      </c>
      <c r="H576">
        <v>75</v>
      </c>
      <c r="I576">
        <v>4</v>
      </c>
      <c r="J576" t="s">
        <v>27</v>
      </c>
      <c r="K576" t="s">
        <v>51</v>
      </c>
      <c r="L576" t="s">
        <v>22</v>
      </c>
      <c r="M576" t="s">
        <v>30</v>
      </c>
      <c r="N576">
        <v>0</v>
      </c>
      <c r="O576">
        <v>0</v>
      </c>
      <c r="P576" s="8">
        <f>INT(Delivery_data[[#This Row],[Order Timestamp]])</f>
        <v>45172</v>
      </c>
      <c r="Q576">
        <f ca="1">IF(Delivery_data[[#This Row],[Order Status]]="In Progress", TODAY()-Delivery_data[[#This Row],[Order Date]], "")</f>
        <v>811</v>
      </c>
      <c r="R576">
        <f>IF(Delivery_data[[#This Row],[On Time]]=1,0,1)</f>
        <v>1</v>
      </c>
    </row>
    <row r="577" spans="1:18" x14ac:dyDescent="0.35">
      <c r="A577">
        <v>1558</v>
      </c>
      <c r="B577" t="s">
        <v>707</v>
      </c>
      <c r="C577" s="1">
        <v>45177.4</v>
      </c>
      <c r="D577" t="s">
        <v>25</v>
      </c>
      <c r="E577" t="s">
        <v>152</v>
      </c>
      <c r="F577" t="s">
        <v>646</v>
      </c>
      <c r="G577" t="s">
        <v>233</v>
      </c>
      <c r="H577">
        <v>170</v>
      </c>
      <c r="I577">
        <v>29</v>
      </c>
      <c r="J577" t="s">
        <v>27</v>
      </c>
      <c r="K577" t="s">
        <v>33</v>
      </c>
      <c r="L577" t="s">
        <v>22</v>
      </c>
      <c r="M577" t="s">
        <v>30</v>
      </c>
      <c r="N577">
        <v>0</v>
      </c>
      <c r="O577">
        <v>0</v>
      </c>
      <c r="P577" s="8">
        <f>INT(Delivery_data[[#This Row],[Order Timestamp]])</f>
        <v>45177</v>
      </c>
      <c r="Q577" t="str">
        <f ca="1">IF(Delivery_data[[#This Row],[Order Status]]="In Progress", TODAY()-Delivery_data[[#This Row],[Order Date]], "")</f>
        <v/>
      </c>
      <c r="R577">
        <f>IF(Delivery_data[[#This Row],[On Time]]=1,0,1)</f>
        <v>1</v>
      </c>
    </row>
    <row r="578" spans="1:18" x14ac:dyDescent="0.35">
      <c r="A578">
        <v>1559</v>
      </c>
      <c r="B578" t="s">
        <v>708</v>
      </c>
      <c r="C578" s="1">
        <v>45173.584027777775</v>
      </c>
      <c r="D578" t="s">
        <v>16</v>
      </c>
      <c r="E578" t="s">
        <v>267</v>
      </c>
      <c r="F578" t="s">
        <v>646</v>
      </c>
      <c r="G578" t="s">
        <v>463</v>
      </c>
      <c r="H578">
        <v>195</v>
      </c>
      <c r="I578">
        <v>23</v>
      </c>
      <c r="J578" t="s">
        <v>27</v>
      </c>
      <c r="K578" t="s">
        <v>51</v>
      </c>
      <c r="L578" t="s">
        <v>22</v>
      </c>
      <c r="M578" t="s">
        <v>30</v>
      </c>
      <c r="N578">
        <v>0</v>
      </c>
      <c r="O578">
        <v>0</v>
      </c>
      <c r="P578" s="8">
        <f>INT(Delivery_data[[#This Row],[Order Timestamp]])</f>
        <v>45173</v>
      </c>
      <c r="Q578">
        <f ca="1">IF(Delivery_data[[#This Row],[Order Status]]="In Progress", TODAY()-Delivery_data[[#This Row],[Order Date]], "")</f>
        <v>810</v>
      </c>
      <c r="R578">
        <f>IF(Delivery_data[[#This Row],[On Time]]=1,0,1)</f>
        <v>1</v>
      </c>
    </row>
    <row r="579" spans="1:18" x14ac:dyDescent="0.35">
      <c r="A579">
        <v>1567</v>
      </c>
      <c r="B579" t="s">
        <v>709</v>
      </c>
      <c r="C579" s="1">
        <v>45175.556250000001</v>
      </c>
      <c r="D579" t="s">
        <v>25</v>
      </c>
      <c r="E579" t="s">
        <v>17</v>
      </c>
      <c r="F579" t="s">
        <v>646</v>
      </c>
      <c r="G579" t="s">
        <v>233</v>
      </c>
      <c r="H579">
        <v>168</v>
      </c>
      <c r="I579">
        <v>19</v>
      </c>
      <c r="J579" t="s">
        <v>27</v>
      </c>
      <c r="K579" t="s">
        <v>38</v>
      </c>
      <c r="L579" t="s">
        <v>22</v>
      </c>
      <c r="M579" t="s">
        <v>23</v>
      </c>
      <c r="N579">
        <v>0</v>
      </c>
      <c r="O579">
        <v>0</v>
      </c>
      <c r="P579" s="8">
        <f>INT(Delivery_data[[#This Row],[Order Timestamp]])</f>
        <v>45175</v>
      </c>
      <c r="Q579" t="str">
        <f ca="1">IF(Delivery_data[[#This Row],[Order Status]]="In Progress", TODAY()-Delivery_data[[#This Row],[Order Date]], "")</f>
        <v/>
      </c>
      <c r="R579">
        <f>IF(Delivery_data[[#This Row],[On Time]]=1,0,1)</f>
        <v>1</v>
      </c>
    </row>
    <row r="580" spans="1:18" x14ac:dyDescent="0.35">
      <c r="A580">
        <v>1572</v>
      </c>
      <c r="B580" t="s">
        <v>710</v>
      </c>
      <c r="C580" s="1">
        <v>45172.379166666666</v>
      </c>
      <c r="D580" t="s">
        <v>25</v>
      </c>
      <c r="E580" t="s">
        <v>89</v>
      </c>
      <c r="F580" t="s">
        <v>646</v>
      </c>
      <c r="G580" t="s">
        <v>557</v>
      </c>
      <c r="H580">
        <v>114</v>
      </c>
      <c r="I580">
        <v>1</v>
      </c>
      <c r="J580" t="s">
        <v>20</v>
      </c>
      <c r="K580" t="s">
        <v>28</v>
      </c>
      <c r="L580" t="s">
        <v>22</v>
      </c>
      <c r="M580" t="s">
        <v>30</v>
      </c>
      <c r="N580">
        <v>0</v>
      </c>
      <c r="O580">
        <v>0</v>
      </c>
      <c r="P580" s="8">
        <f>INT(Delivery_data[[#This Row],[Order Timestamp]])</f>
        <v>45172</v>
      </c>
      <c r="Q580" t="str">
        <f ca="1">IF(Delivery_data[[#This Row],[Order Status]]="In Progress", TODAY()-Delivery_data[[#This Row],[Order Date]], "")</f>
        <v/>
      </c>
      <c r="R580">
        <f>IF(Delivery_data[[#This Row],[On Time]]=1,0,1)</f>
        <v>1</v>
      </c>
    </row>
    <row r="581" spans="1:18" x14ac:dyDescent="0.35">
      <c r="A581">
        <v>1575</v>
      </c>
      <c r="B581" t="s">
        <v>711</v>
      </c>
      <c r="C581" s="1">
        <v>45172.423611111109</v>
      </c>
      <c r="D581" t="s">
        <v>25</v>
      </c>
      <c r="E581" t="s">
        <v>200</v>
      </c>
      <c r="F581" t="s">
        <v>646</v>
      </c>
      <c r="G581" t="s">
        <v>463</v>
      </c>
      <c r="H581">
        <v>165</v>
      </c>
      <c r="I581">
        <v>6</v>
      </c>
      <c r="J581" t="s">
        <v>20</v>
      </c>
      <c r="K581" t="s">
        <v>21</v>
      </c>
      <c r="L581" t="s">
        <v>22</v>
      </c>
      <c r="M581" t="s">
        <v>23</v>
      </c>
      <c r="N581">
        <v>0</v>
      </c>
      <c r="O581">
        <v>0</v>
      </c>
      <c r="P581" s="8">
        <f>INT(Delivery_data[[#This Row],[Order Timestamp]])</f>
        <v>45172</v>
      </c>
      <c r="Q581" t="str">
        <f ca="1">IF(Delivery_data[[#This Row],[Order Status]]="In Progress", TODAY()-Delivery_data[[#This Row],[Order Date]], "")</f>
        <v/>
      </c>
      <c r="R581">
        <f>IF(Delivery_data[[#This Row],[On Time]]=1,0,1)</f>
        <v>1</v>
      </c>
    </row>
    <row r="582" spans="1:18" x14ac:dyDescent="0.35">
      <c r="A582">
        <v>1592</v>
      </c>
      <c r="B582" t="s">
        <v>712</v>
      </c>
      <c r="C582" s="1">
        <v>45175.693749999999</v>
      </c>
      <c r="D582" t="s">
        <v>16</v>
      </c>
      <c r="E582" t="s">
        <v>206</v>
      </c>
      <c r="F582" t="s">
        <v>646</v>
      </c>
      <c r="G582" t="s">
        <v>463</v>
      </c>
      <c r="H582">
        <v>159</v>
      </c>
      <c r="I582">
        <v>14</v>
      </c>
      <c r="J582" t="s">
        <v>20</v>
      </c>
      <c r="K582" t="s">
        <v>33</v>
      </c>
      <c r="L582" t="s">
        <v>22</v>
      </c>
      <c r="M582" t="s">
        <v>30</v>
      </c>
      <c r="N582">
        <v>0</v>
      </c>
      <c r="O582">
        <v>0</v>
      </c>
      <c r="P582" s="8">
        <f>INT(Delivery_data[[#This Row],[Order Timestamp]])</f>
        <v>45175</v>
      </c>
      <c r="Q582">
        <f ca="1">IF(Delivery_data[[#This Row],[Order Status]]="In Progress", TODAY()-Delivery_data[[#This Row],[Order Date]], "")</f>
        <v>808</v>
      </c>
      <c r="R582">
        <f>IF(Delivery_data[[#This Row],[On Time]]=1,0,1)</f>
        <v>1</v>
      </c>
    </row>
    <row r="583" spans="1:18" x14ac:dyDescent="0.35">
      <c r="A583">
        <v>1608</v>
      </c>
      <c r="B583" t="s">
        <v>713</v>
      </c>
      <c r="C583" s="1">
        <v>45172.369444444441</v>
      </c>
      <c r="D583" t="s">
        <v>16</v>
      </c>
      <c r="E583" t="s">
        <v>169</v>
      </c>
      <c r="F583" t="s">
        <v>646</v>
      </c>
      <c r="G583" t="s">
        <v>362</v>
      </c>
      <c r="H583">
        <v>119</v>
      </c>
      <c r="I583">
        <v>2</v>
      </c>
      <c r="J583" t="s">
        <v>20</v>
      </c>
      <c r="K583" t="s">
        <v>38</v>
      </c>
      <c r="L583" t="s">
        <v>22</v>
      </c>
      <c r="M583" t="s">
        <v>23</v>
      </c>
      <c r="N583">
        <v>0</v>
      </c>
      <c r="O583">
        <v>0</v>
      </c>
      <c r="P583" s="8">
        <f>INT(Delivery_data[[#This Row],[Order Timestamp]])</f>
        <v>45172</v>
      </c>
      <c r="Q583">
        <f ca="1">IF(Delivery_data[[#This Row],[Order Status]]="In Progress", TODAY()-Delivery_data[[#This Row],[Order Date]], "")</f>
        <v>811</v>
      </c>
      <c r="R583">
        <f>IF(Delivery_data[[#This Row],[On Time]]=1,0,1)</f>
        <v>1</v>
      </c>
    </row>
    <row r="584" spans="1:18" x14ac:dyDescent="0.35">
      <c r="A584">
        <v>1617</v>
      </c>
      <c r="B584" t="s">
        <v>714</v>
      </c>
      <c r="C584" s="1">
        <v>45173.691666666666</v>
      </c>
      <c r="D584" t="s">
        <v>16</v>
      </c>
      <c r="E584" t="s">
        <v>169</v>
      </c>
      <c r="F584" t="s">
        <v>646</v>
      </c>
      <c r="G584" t="s">
        <v>19</v>
      </c>
      <c r="H584">
        <v>174</v>
      </c>
      <c r="I584">
        <v>27</v>
      </c>
      <c r="J584" t="s">
        <v>27</v>
      </c>
      <c r="K584" t="s">
        <v>21</v>
      </c>
      <c r="L584" t="s">
        <v>22</v>
      </c>
      <c r="M584" t="s">
        <v>30</v>
      </c>
      <c r="N584">
        <v>0</v>
      </c>
      <c r="O584">
        <v>0</v>
      </c>
      <c r="P584" s="8">
        <f>INT(Delivery_data[[#This Row],[Order Timestamp]])</f>
        <v>45173</v>
      </c>
      <c r="Q584">
        <f ca="1">IF(Delivery_data[[#This Row],[Order Status]]="In Progress", TODAY()-Delivery_data[[#This Row],[Order Date]], "")</f>
        <v>810</v>
      </c>
      <c r="R584">
        <f>IF(Delivery_data[[#This Row],[On Time]]=1,0,1)</f>
        <v>1</v>
      </c>
    </row>
    <row r="585" spans="1:18" x14ac:dyDescent="0.35">
      <c r="A585">
        <v>1636</v>
      </c>
      <c r="B585" t="s">
        <v>715</v>
      </c>
      <c r="C585" s="1">
        <v>45174.676388888889</v>
      </c>
      <c r="D585" t="s">
        <v>25</v>
      </c>
      <c r="E585" t="s">
        <v>416</v>
      </c>
      <c r="F585" t="s">
        <v>646</v>
      </c>
      <c r="G585" t="s">
        <v>557</v>
      </c>
      <c r="H585">
        <v>128</v>
      </c>
      <c r="I585">
        <v>3</v>
      </c>
      <c r="J585" t="s">
        <v>35</v>
      </c>
      <c r="K585" t="s">
        <v>51</v>
      </c>
      <c r="L585" t="s">
        <v>22</v>
      </c>
      <c r="M585" t="s">
        <v>39</v>
      </c>
      <c r="N585">
        <v>0</v>
      </c>
      <c r="O585">
        <v>1</v>
      </c>
      <c r="P585" s="8">
        <f>INT(Delivery_data[[#This Row],[Order Timestamp]])</f>
        <v>45174</v>
      </c>
      <c r="Q585" t="str">
        <f ca="1">IF(Delivery_data[[#This Row],[Order Status]]="In Progress", TODAY()-Delivery_data[[#This Row],[Order Date]], "")</f>
        <v/>
      </c>
      <c r="R585">
        <f>IF(Delivery_data[[#This Row],[On Time]]=1,0,1)</f>
        <v>1</v>
      </c>
    </row>
    <row r="586" spans="1:18" x14ac:dyDescent="0.35">
      <c r="A586">
        <v>1655</v>
      </c>
      <c r="B586" t="s">
        <v>716</v>
      </c>
      <c r="C586" s="1">
        <v>45176.395138888889</v>
      </c>
      <c r="D586" t="s">
        <v>16</v>
      </c>
      <c r="E586" t="s">
        <v>158</v>
      </c>
      <c r="F586" t="s">
        <v>646</v>
      </c>
      <c r="G586" t="s">
        <v>233</v>
      </c>
      <c r="H586">
        <v>196</v>
      </c>
      <c r="I586">
        <v>28</v>
      </c>
      <c r="J586" t="s">
        <v>27</v>
      </c>
      <c r="K586" t="s">
        <v>28</v>
      </c>
      <c r="L586" t="s">
        <v>22</v>
      </c>
      <c r="M586" t="s">
        <v>30</v>
      </c>
      <c r="N586">
        <v>0</v>
      </c>
      <c r="O586">
        <v>0</v>
      </c>
      <c r="P586" s="8">
        <f>INT(Delivery_data[[#This Row],[Order Timestamp]])</f>
        <v>45176</v>
      </c>
      <c r="Q586">
        <f ca="1">IF(Delivery_data[[#This Row],[Order Status]]="In Progress", TODAY()-Delivery_data[[#This Row],[Order Date]], "")</f>
        <v>807</v>
      </c>
      <c r="R586">
        <f>IF(Delivery_data[[#This Row],[On Time]]=1,0,1)</f>
        <v>1</v>
      </c>
    </row>
    <row r="587" spans="1:18" x14ac:dyDescent="0.35">
      <c r="A587">
        <v>1658</v>
      </c>
      <c r="B587" t="s">
        <v>717</v>
      </c>
      <c r="C587" s="1">
        <v>45176.654861111114</v>
      </c>
      <c r="D587" t="s">
        <v>16</v>
      </c>
      <c r="E587" t="s">
        <v>66</v>
      </c>
      <c r="F587" t="s">
        <v>646</v>
      </c>
      <c r="G587" t="s">
        <v>362</v>
      </c>
      <c r="H587">
        <v>219</v>
      </c>
      <c r="I587">
        <v>28</v>
      </c>
      <c r="J587" t="s">
        <v>35</v>
      </c>
      <c r="K587" t="s">
        <v>51</v>
      </c>
      <c r="L587" t="s">
        <v>22</v>
      </c>
      <c r="M587" t="s">
        <v>23</v>
      </c>
      <c r="N587">
        <v>0</v>
      </c>
      <c r="O587">
        <v>1</v>
      </c>
      <c r="P587" s="8">
        <f>INT(Delivery_data[[#This Row],[Order Timestamp]])</f>
        <v>45176</v>
      </c>
      <c r="Q587">
        <f ca="1">IF(Delivery_data[[#This Row],[Order Status]]="In Progress", TODAY()-Delivery_data[[#This Row],[Order Date]], "")</f>
        <v>807</v>
      </c>
      <c r="R587">
        <f>IF(Delivery_data[[#This Row],[On Time]]=1,0,1)</f>
        <v>1</v>
      </c>
    </row>
    <row r="588" spans="1:18" x14ac:dyDescent="0.35">
      <c r="A588">
        <v>1672</v>
      </c>
      <c r="B588" t="s">
        <v>718</v>
      </c>
      <c r="C588" s="1">
        <v>45175.652777777781</v>
      </c>
      <c r="D588" t="s">
        <v>16</v>
      </c>
      <c r="E588" t="s">
        <v>227</v>
      </c>
      <c r="F588" t="s">
        <v>646</v>
      </c>
      <c r="G588" t="s">
        <v>233</v>
      </c>
      <c r="H588">
        <v>126</v>
      </c>
      <c r="I588">
        <v>3</v>
      </c>
      <c r="J588" t="s">
        <v>27</v>
      </c>
      <c r="K588" t="s">
        <v>21</v>
      </c>
      <c r="L588" t="s">
        <v>22</v>
      </c>
      <c r="M588" t="s">
        <v>39</v>
      </c>
      <c r="N588">
        <v>0</v>
      </c>
      <c r="O588">
        <v>0</v>
      </c>
      <c r="P588" s="8">
        <f>INT(Delivery_data[[#This Row],[Order Timestamp]])</f>
        <v>45175</v>
      </c>
      <c r="Q588">
        <f ca="1">IF(Delivery_data[[#This Row],[Order Status]]="In Progress", TODAY()-Delivery_data[[#This Row],[Order Date]], "")</f>
        <v>808</v>
      </c>
      <c r="R588">
        <f>IF(Delivery_data[[#This Row],[On Time]]=1,0,1)</f>
        <v>1</v>
      </c>
    </row>
    <row r="589" spans="1:18" x14ac:dyDescent="0.35">
      <c r="A589">
        <v>1674</v>
      </c>
      <c r="B589" t="s">
        <v>719</v>
      </c>
      <c r="C589" s="1">
        <v>45177.370138888888</v>
      </c>
      <c r="D589" t="s">
        <v>25</v>
      </c>
      <c r="E589" t="s">
        <v>80</v>
      </c>
      <c r="F589" t="s">
        <v>646</v>
      </c>
      <c r="G589" t="s">
        <v>19</v>
      </c>
      <c r="H589">
        <v>214</v>
      </c>
      <c r="I589">
        <v>8</v>
      </c>
      <c r="J589" t="s">
        <v>20</v>
      </c>
      <c r="K589" t="s">
        <v>33</v>
      </c>
      <c r="L589" t="s">
        <v>22</v>
      </c>
      <c r="M589" t="s">
        <v>23</v>
      </c>
      <c r="N589">
        <v>0</v>
      </c>
      <c r="O589">
        <v>0</v>
      </c>
      <c r="P589" s="8">
        <f>INT(Delivery_data[[#This Row],[Order Timestamp]])</f>
        <v>45177</v>
      </c>
      <c r="Q589" t="str">
        <f ca="1">IF(Delivery_data[[#This Row],[Order Status]]="In Progress", TODAY()-Delivery_data[[#This Row],[Order Date]], "")</f>
        <v/>
      </c>
      <c r="R589">
        <f>IF(Delivery_data[[#This Row],[On Time]]=1,0,1)</f>
        <v>1</v>
      </c>
    </row>
    <row r="590" spans="1:18" x14ac:dyDescent="0.35">
      <c r="A590">
        <v>1678</v>
      </c>
      <c r="B590" t="s">
        <v>720</v>
      </c>
      <c r="C590" s="1">
        <v>45175.572916666664</v>
      </c>
      <c r="D590" t="s">
        <v>16</v>
      </c>
      <c r="E590" t="s">
        <v>85</v>
      </c>
      <c r="F590" t="s">
        <v>646</v>
      </c>
      <c r="G590" t="s">
        <v>19</v>
      </c>
      <c r="H590">
        <v>99</v>
      </c>
      <c r="I590">
        <v>17</v>
      </c>
      <c r="J590" t="s">
        <v>20</v>
      </c>
      <c r="K590" t="s">
        <v>28</v>
      </c>
      <c r="L590" t="s">
        <v>22</v>
      </c>
      <c r="M590" t="s">
        <v>23</v>
      </c>
      <c r="N590">
        <v>0</v>
      </c>
      <c r="O590">
        <v>0</v>
      </c>
      <c r="P590" s="8">
        <f>INT(Delivery_data[[#This Row],[Order Timestamp]])</f>
        <v>45175</v>
      </c>
      <c r="Q590">
        <f ca="1">IF(Delivery_data[[#This Row],[Order Status]]="In Progress", TODAY()-Delivery_data[[#This Row],[Order Date]], "")</f>
        <v>808</v>
      </c>
      <c r="R590">
        <f>IF(Delivery_data[[#This Row],[On Time]]=1,0,1)</f>
        <v>1</v>
      </c>
    </row>
    <row r="591" spans="1:18" x14ac:dyDescent="0.35">
      <c r="A591">
        <v>1681</v>
      </c>
      <c r="B591" t="s">
        <v>721</v>
      </c>
      <c r="C591" s="1">
        <v>45173.595833333333</v>
      </c>
      <c r="D591" t="s">
        <v>25</v>
      </c>
      <c r="E591" t="s">
        <v>314</v>
      </c>
      <c r="F591" t="s">
        <v>646</v>
      </c>
      <c r="G591" t="s">
        <v>19</v>
      </c>
      <c r="H591">
        <v>134</v>
      </c>
      <c r="I591">
        <v>5</v>
      </c>
      <c r="J591" t="s">
        <v>20</v>
      </c>
      <c r="K591" t="s">
        <v>33</v>
      </c>
      <c r="L591" t="s">
        <v>22</v>
      </c>
      <c r="M591" t="s">
        <v>23</v>
      </c>
      <c r="N591">
        <v>0</v>
      </c>
      <c r="O591">
        <v>0</v>
      </c>
      <c r="P591" s="8">
        <f>INT(Delivery_data[[#This Row],[Order Timestamp]])</f>
        <v>45173</v>
      </c>
      <c r="Q591" t="str">
        <f ca="1">IF(Delivery_data[[#This Row],[Order Status]]="In Progress", TODAY()-Delivery_data[[#This Row],[Order Date]], "")</f>
        <v/>
      </c>
      <c r="R591">
        <f>IF(Delivery_data[[#This Row],[On Time]]=1,0,1)</f>
        <v>1</v>
      </c>
    </row>
    <row r="592" spans="1:18" x14ac:dyDescent="0.35">
      <c r="A592">
        <v>1709</v>
      </c>
      <c r="B592" t="s">
        <v>722</v>
      </c>
      <c r="C592" s="1">
        <v>45177.336111111108</v>
      </c>
      <c r="D592" t="s">
        <v>25</v>
      </c>
      <c r="E592" t="s">
        <v>80</v>
      </c>
      <c r="F592" t="s">
        <v>646</v>
      </c>
      <c r="G592" t="s">
        <v>19</v>
      </c>
      <c r="H592">
        <v>125</v>
      </c>
      <c r="I592">
        <v>4</v>
      </c>
      <c r="J592" t="s">
        <v>27</v>
      </c>
      <c r="K592" t="s">
        <v>38</v>
      </c>
      <c r="L592" t="s">
        <v>22</v>
      </c>
      <c r="M592" t="s">
        <v>39</v>
      </c>
      <c r="N592">
        <v>0</v>
      </c>
      <c r="O592">
        <v>0</v>
      </c>
      <c r="P592" s="8">
        <f>INT(Delivery_data[[#This Row],[Order Timestamp]])</f>
        <v>45177</v>
      </c>
      <c r="Q592" t="str">
        <f ca="1">IF(Delivery_data[[#This Row],[Order Status]]="In Progress", TODAY()-Delivery_data[[#This Row],[Order Date]], "")</f>
        <v/>
      </c>
      <c r="R592">
        <f>IF(Delivery_data[[#This Row],[On Time]]=1,0,1)</f>
        <v>1</v>
      </c>
    </row>
    <row r="593" spans="1:18" x14ac:dyDescent="0.35">
      <c r="A593">
        <v>1724</v>
      </c>
      <c r="B593" t="s">
        <v>723</v>
      </c>
      <c r="C593" s="1">
        <v>45176.39166666667</v>
      </c>
      <c r="D593" t="s">
        <v>16</v>
      </c>
      <c r="E593" t="s">
        <v>346</v>
      </c>
      <c r="F593" t="s">
        <v>646</v>
      </c>
      <c r="G593" t="s">
        <v>233</v>
      </c>
      <c r="H593">
        <v>96</v>
      </c>
      <c r="I593">
        <v>20</v>
      </c>
      <c r="J593" t="s">
        <v>27</v>
      </c>
      <c r="K593" t="s">
        <v>51</v>
      </c>
      <c r="L593" t="s">
        <v>22</v>
      </c>
      <c r="M593" t="s">
        <v>39</v>
      </c>
      <c r="N593">
        <v>0</v>
      </c>
      <c r="O593">
        <v>0</v>
      </c>
      <c r="P593" s="8">
        <f>INT(Delivery_data[[#This Row],[Order Timestamp]])</f>
        <v>45176</v>
      </c>
      <c r="Q593">
        <f ca="1">IF(Delivery_data[[#This Row],[Order Status]]="In Progress", TODAY()-Delivery_data[[#This Row],[Order Date]], "")</f>
        <v>807</v>
      </c>
      <c r="R593">
        <f>IF(Delivery_data[[#This Row],[On Time]]=1,0,1)</f>
        <v>1</v>
      </c>
    </row>
    <row r="594" spans="1:18" x14ac:dyDescent="0.35">
      <c r="A594">
        <v>1738</v>
      </c>
      <c r="B594" t="s">
        <v>724</v>
      </c>
      <c r="C594" s="1">
        <v>45177.373611111114</v>
      </c>
      <c r="D594" t="s">
        <v>25</v>
      </c>
      <c r="E594" t="s">
        <v>258</v>
      </c>
      <c r="F594" t="s">
        <v>646</v>
      </c>
      <c r="G594" t="s">
        <v>233</v>
      </c>
      <c r="H594">
        <v>186</v>
      </c>
      <c r="I594">
        <v>13</v>
      </c>
      <c r="J594" t="s">
        <v>27</v>
      </c>
      <c r="K594" t="s">
        <v>21</v>
      </c>
      <c r="L594" t="s">
        <v>22</v>
      </c>
      <c r="M594" t="s">
        <v>39</v>
      </c>
      <c r="N594">
        <v>0</v>
      </c>
      <c r="O594">
        <v>0</v>
      </c>
      <c r="P594" s="8">
        <f>INT(Delivery_data[[#This Row],[Order Timestamp]])</f>
        <v>45177</v>
      </c>
      <c r="Q594" t="str">
        <f ca="1">IF(Delivery_data[[#This Row],[Order Status]]="In Progress", TODAY()-Delivery_data[[#This Row],[Order Date]], "")</f>
        <v/>
      </c>
      <c r="R594">
        <f>IF(Delivery_data[[#This Row],[On Time]]=1,0,1)</f>
        <v>1</v>
      </c>
    </row>
    <row r="595" spans="1:18" x14ac:dyDescent="0.35">
      <c r="A595">
        <v>1746</v>
      </c>
      <c r="B595" t="s">
        <v>725</v>
      </c>
      <c r="C595" s="1">
        <v>45171.393750000003</v>
      </c>
      <c r="D595" t="s">
        <v>25</v>
      </c>
      <c r="E595" t="s">
        <v>64</v>
      </c>
      <c r="F595" t="s">
        <v>646</v>
      </c>
      <c r="G595" t="s">
        <v>463</v>
      </c>
      <c r="H595">
        <v>233</v>
      </c>
      <c r="I595">
        <v>10</v>
      </c>
      <c r="J595" t="s">
        <v>27</v>
      </c>
      <c r="K595" t="s">
        <v>21</v>
      </c>
      <c r="L595" t="s">
        <v>22</v>
      </c>
      <c r="M595" t="s">
        <v>23</v>
      </c>
      <c r="N595">
        <v>0</v>
      </c>
      <c r="O595">
        <v>0</v>
      </c>
      <c r="P595" s="8">
        <f>INT(Delivery_data[[#This Row],[Order Timestamp]])</f>
        <v>45171</v>
      </c>
      <c r="Q595" t="str">
        <f ca="1">IF(Delivery_data[[#This Row],[Order Status]]="In Progress", TODAY()-Delivery_data[[#This Row],[Order Date]], "")</f>
        <v/>
      </c>
      <c r="R595">
        <f>IF(Delivery_data[[#This Row],[On Time]]=1,0,1)</f>
        <v>1</v>
      </c>
    </row>
    <row r="596" spans="1:18" x14ac:dyDescent="0.35">
      <c r="A596">
        <v>1748</v>
      </c>
      <c r="B596" t="s">
        <v>726</v>
      </c>
      <c r="C596" s="1">
        <v>45175.481944444444</v>
      </c>
      <c r="D596" t="s">
        <v>16</v>
      </c>
      <c r="E596" t="s">
        <v>356</v>
      </c>
      <c r="F596" t="s">
        <v>646</v>
      </c>
      <c r="G596" t="s">
        <v>362</v>
      </c>
      <c r="H596">
        <v>114</v>
      </c>
      <c r="I596">
        <v>25</v>
      </c>
      <c r="J596" t="s">
        <v>27</v>
      </c>
      <c r="K596" t="s">
        <v>51</v>
      </c>
      <c r="L596" t="s">
        <v>22</v>
      </c>
      <c r="M596" t="s">
        <v>39</v>
      </c>
      <c r="N596">
        <v>0</v>
      </c>
      <c r="O596">
        <v>0</v>
      </c>
      <c r="P596" s="8">
        <f>INT(Delivery_data[[#This Row],[Order Timestamp]])</f>
        <v>45175</v>
      </c>
      <c r="Q596">
        <f ca="1">IF(Delivery_data[[#This Row],[Order Status]]="In Progress", TODAY()-Delivery_data[[#This Row],[Order Date]], "")</f>
        <v>808</v>
      </c>
      <c r="R596">
        <f>IF(Delivery_data[[#This Row],[On Time]]=1,0,1)</f>
        <v>1</v>
      </c>
    </row>
    <row r="597" spans="1:18" x14ac:dyDescent="0.35">
      <c r="A597">
        <v>1758</v>
      </c>
      <c r="B597" t="s">
        <v>727</v>
      </c>
      <c r="C597" s="1">
        <v>45174.580555555556</v>
      </c>
      <c r="D597" t="s">
        <v>16</v>
      </c>
      <c r="E597" t="s">
        <v>56</v>
      </c>
      <c r="F597" t="s">
        <v>646</v>
      </c>
      <c r="G597" t="s">
        <v>233</v>
      </c>
      <c r="H597">
        <v>94</v>
      </c>
      <c r="I597">
        <v>23</v>
      </c>
      <c r="J597" t="s">
        <v>27</v>
      </c>
      <c r="K597" t="s">
        <v>38</v>
      </c>
      <c r="L597" t="s">
        <v>22</v>
      </c>
      <c r="M597" t="s">
        <v>39</v>
      </c>
      <c r="N597">
        <v>0</v>
      </c>
      <c r="O597">
        <v>0</v>
      </c>
      <c r="P597" s="8">
        <f>INT(Delivery_data[[#This Row],[Order Timestamp]])</f>
        <v>45174</v>
      </c>
      <c r="Q597">
        <f ca="1">IF(Delivery_data[[#This Row],[Order Status]]="In Progress", TODAY()-Delivery_data[[#This Row],[Order Date]], "")</f>
        <v>809</v>
      </c>
      <c r="R597">
        <f>IF(Delivery_data[[#This Row],[On Time]]=1,0,1)</f>
        <v>1</v>
      </c>
    </row>
    <row r="598" spans="1:18" x14ac:dyDescent="0.35">
      <c r="A598">
        <v>1763</v>
      </c>
      <c r="B598" t="s">
        <v>728</v>
      </c>
      <c r="C598" s="1">
        <v>45172.523611111108</v>
      </c>
      <c r="D598" t="s">
        <v>25</v>
      </c>
      <c r="E598" t="s">
        <v>511</v>
      </c>
      <c r="F598" t="s">
        <v>646</v>
      </c>
      <c r="G598" t="s">
        <v>463</v>
      </c>
      <c r="H598">
        <v>124</v>
      </c>
      <c r="I598">
        <v>10</v>
      </c>
      <c r="J598" t="s">
        <v>35</v>
      </c>
      <c r="K598" t="s">
        <v>33</v>
      </c>
      <c r="L598" t="s">
        <v>22</v>
      </c>
      <c r="M598" t="s">
        <v>23</v>
      </c>
      <c r="N598">
        <v>0</v>
      </c>
      <c r="O598">
        <v>1</v>
      </c>
      <c r="P598" s="8">
        <f>INT(Delivery_data[[#This Row],[Order Timestamp]])</f>
        <v>45172</v>
      </c>
      <c r="Q598" t="str">
        <f ca="1">IF(Delivery_data[[#This Row],[Order Status]]="In Progress", TODAY()-Delivery_data[[#This Row],[Order Date]], "")</f>
        <v/>
      </c>
      <c r="R598">
        <f>IF(Delivery_data[[#This Row],[On Time]]=1,0,1)</f>
        <v>1</v>
      </c>
    </row>
    <row r="599" spans="1:18" x14ac:dyDescent="0.35">
      <c r="A599">
        <v>1769</v>
      </c>
      <c r="B599" t="s">
        <v>729</v>
      </c>
      <c r="C599" s="1">
        <v>45175.393055555556</v>
      </c>
      <c r="D599" t="s">
        <v>16</v>
      </c>
      <c r="E599" t="s">
        <v>72</v>
      </c>
      <c r="F599" t="s">
        <v>646</v>
      </c>
      <c r="G599" t="s">
        <v>557</v>
      </c>
      <c r="H599">
        <v>222</v>
      </c>
      <c r="I599">
        <v>27</v>
      </c>
      <c r="J599" t="s">
        <v>35</v>
      </c>
      <c r="K599" t="s">
        <v>51</v>
      </c>
      <c r="L599" t="s">
        <v>22</v>
      </c>
      <c r="M599" t="s">
        <v>30</v>
      </c>
      <c r="N599">
        <v>0</v>
      </c>
      <c r="O599">
        <v>1</v>
      </c>
      <c r="P599" s="8">
        <f>INT(Delivery_data[[#This Row],[Order Timestamp]])</f>
        <v>45175</v>
      </c>
      <c r="Q599">
        <f ca="1">IF(Delivery_data[[#This Row],[Order Status]]="In Progress", TODAY()-Delivery_data[[#This Row],[Order Date]], "")</f>
        <v>808</v>
      </c>
      <c r="R599">
        <f>IF(Delivery_data[[#This Row],[On Time]]=1,0,1)</f>
        <v>1</v>
      </c>
    </row>
    <row r="600" spans="1:18" x14ac:dyDescent="0.35">
      <c r="A600">
        <v>1775</v>
      </c>
      <c r="B600" t="s">
        <v>730</v>
      </c>
      <c r="C600" s="1">
        <v>45177.447916666664</v>
      </c>
      <c r="D600" t="s">
        <v>16</v>
      </c>
      <c r="E600" t="s">
        <v>200</v>
      </c>
      <c r="F600" t="s">
        <v>646</v>
      </c>
      <c r="G600" t="s">
        <v>362</v>
      </c>
      <c r="H600">
        <v>125</v>
      </c>
      <c r="I600">
        <v>13</v>
      </c>
      <c r="J600" t="s">
        <v>27</v>
      </c>
      <c r="K600" t="s">
        <v>38</v>
      </c>
      <c r="L600" t="s">
        <v>22</v>
      </c>
      <c r="M600" t="s">
        <v>23</v>
      </c>
      <c r="N600">
        <v>0</v>
      </c>
      <c r="O600">
        <v>0</v>
      </c>
      <c r="P600" s="8">
        <f>INT(Delivery_data[[#This Row],[Order Timestamp]])</f>
        <v>45177</v>
      </c>
      <c r="Q600">
        <f ca="1">IF(Delivery_data[[#This Row],[Order Status]]="In Progress", TODAY()-Delivery_data[[#This Row],[Order Date]], "")</f>
        <v>806</v>
      </c>
      <c r="R600">
        <f>IF(Delivery_data[[#This Row],[On Time]]=1,0,1)</f>
        <v>1</v>
      </c>
    </row>
    <row r="601" spans="1:18" x14ac:dyDescent="0.35">
      <c r="A601">
        <v>1786</v>
      </c>
      <c r="B601" t="s">
        <v>731</v>
      </c>
      <c r="C601" s="1">
        <v>45172.676388888889</v>
      </c>
      <c r="D601" t="s">
        <v>25</v>
      </c>
      <c r="E601" t="s">
        <v>110</v>
      </c>
      <c r="F601" t="s">
        <v>646</v>
      </c>
      <c r="G601" t="s">
        <v>233</v>
      </c>
      <c r="H601">
        <v>237</v>
      </c>
      <c r="I601">
        <v>10</v>
      </c>
      <c r="J601" t="s">
        <v>27</v>
      </c>
      <c r="K601" t="s">
        <v>33</v>
      </c>
      <c r="L601" t="s">
        <v>22</v>
      </c>
      <c r="M601" t="s">
        <v>39</v>
      </c>
      <c r="N601">
        <v>0</v>
      </c>
      <c r="O601">
        <v>0</v>
      </c>
      <c r="P601" s="8">
        <f>INT(Delivery_data[[#This Row],[Order Timestamp]])</f>
        <v>45172</v>
      </c>
      <c r="Q601" t="str">
        <f ca="1">IF(Delivery_data[[#This Row],[Order Status]]="In Progress", TODAY()-Delivery_data[[#This Row],[Order Date]], "")</f>
        <v/>
      </c>
      <c r="R601">
        <f>IF(Delivery_data[[#This Row],[On Time]]=1,0,1)</f>
        <v>1</v>
      </c>
    </row>
    <row r="602" spans="1:18" x14ac:dyDescent="0.35">
      <c r="A602">
        <v>1816</v>
      </c>
      <c r="B602" t="s">
        <v>732</v>
      </c>
      <c r="C602" s="1">
        <v>45174.378472222219</v>
      </c>
      <c r="D602" t="s">
        <v>25</v>
      </c>
      <c r="E602" t="s">
        <v>129</v>
      </c>
      <c r="F602" t="s">
        <v>646</v>
      </c>
      <c r="G602" t="s">
        <v>557</v>
      </c>
      <c r="H602">
        <v>68</v>
      </c>
      <c r="I602">
        <v>21</v>
      </c>
      <c r="J602" t="s">
        <v>27</v>
      </c>
      <c r="K602" t="s">
        <v>28</v>
      </c>
      <c r="L602" t="s">
        <v>22</v>
      </c>
      <c r="M602" t="s">
        <v>23</v>
      </c>
      <c r="N602">
        <v>0</v>
      </c>
      <c r="O602">
        <v>0</v>
      </c>
      <c r="P602" s="8">
        <f>INT(Delivery_data[[#This Row],[Order Timestamp]])</f>
        <v>45174</v>
      </c>
      <c r="Q602" t="str">
        <f ca="1">IF(Delivery_data[[#This Row],[Order Status]]="In Progress", TODAY()-Delivery_data[[#This Row],[Order Date]], "")</f>
        <v/>
      </c>
      <c r="R602">
        <f>IF(Delivery_data[[#This Row],[On Time]]=1,0,1)</f>
        <v>1</v>
      </c>
    </row>
    <row r="603" spans="1:18" x14ac:dyDescent="0.35">
      <c r="A603">
        <v>1817</v>
      </c>
      <c r="B603" t="s">
        <v>733</v>
      </c>
      <c r="C603" s="1">
        <v>45173.427777777775</v>
      </c>
      <c r="D603" t="s">
        <v>16</v>
      </c>
      <c r="E603" t="s">
        <v>60</v>
      </c>
      <c r="F603" t="s">
        <v>646</v>
      </c>
      <c r="G603" t="s">
        <v>362</v>
      </c>
      <c r="H603">
        <v>159</v>
      </c>
      <c r="I603">
        <v>1</v>
      </c>
      <c r="J603" t="s">
        <v>35</v>
      </c>
      <c r="K603" t="s">
        <v>21</v>
      </c>
      <c r="L603" t="s">
        <v>22</v>
      </c>
      <c r="M603" t="s">
        <v>39</v>
      </c>
      <c r="N603">
        <v>0</v>
      </c>
      <c r="O603">
        <v>1</v>
      </c>
      <c r="P603" s="8">
        <f>INT(Delivery_data[[#This Row],[Order Timestamp]])</f>
        <v>45173</v>
      </c>
      <c r="Q603">
        <f ca="1">IF(Delivery_data[[#This Row],[Order Status]]="In Progress", TODAY()-Delivery_data[[#This Row],[Order Date]], "")</f>
        <v>810</v>
      </c>
      <c r="R603">
        <f>IF(Delivery_data[[#This Row],[On Time]]=1,0,1)</f>
        <v>1</v>
      </c>
    </row>
    <row r="604" spans="1:18" x14ac:dyDescent="0.35">
      <c r="A604">
        <v>1863</v>
      </c>
      <c r="B604" t="s">
        <v>365</v>
      </c>
      <c r="C604" s="1">
        <v>45171.619444444441</v>
      </c>
      <c r="D604" t="s">
        <v>25</v>
      </c>
      <c r="E604" t="s">
        <v>598</v>
      </c>
      <c r="F604" t="s">
        <v>646</v>
      </c>
      <c r="G604" t="s">
        <v>233</v>
      </c>
      <c r="H604">
        <v>108</v>
      </c>
      <c r="I604">
        <v>12</v>
      </c>
      <c r="J604" t="s">
        <v>27</v>
      </c>
      <c r="K604" t="s">
        <v>28</v>
      </c>
      <c r="L604" t="s">
        <v>22</v>
      </c>
      <c r="M604" t="s">
        <v>30</v>
      </c>
      <c r="N604">
        <v>0</v>
      </c>
      <c r="O604">
        <v>0</v>
      </c>
      <c r="P604" s="8">
        <f>INT(Delivery_data[[#This Row],[Order Timestamp]])</f>
        <v>45171</v>
      </c>
      <c r="Q604" t="str">
        <f ca="1">IF(Delivery_data[[#This Row],[Order Status]]="In Progress", TODAY()-Delivery_data[[#This Row],[Order Date]], "")</f>
        <v/>
      </c>
      <c r="R604">
        <f>IF(Delivery_data[[#This Row],[On Time]]=1,0,1)</f>
        <v>1</v>
      </c>
    </row>
    <row r="605" spans="1:18" x14ac:dyDescent="0.35">
      <c r="A605">
        <v>1864</v>
      </c>
      <c r="B605" t="s">
        <v>734</v>
      </c>
      <c r="C605" s="1">
        <v>45175.53402777778</v>
      </c>
      <c r="D605" t="s">
        <v>25</v>
      </c>
      <c r="E605" t="s">
        <v>17</v>
      </c>
      <c r="F605" t="s">
        <v>646</v>
      </c>
      <c r="G605" t="s">
        <v>233</v>
      </c>
      <c r="H605">
        <v>96</v>
      </c>
      <c r="I605">
        <v>28</v>
      </c>
      <c r="J605" t="s">
        <v>27</v>
      </c>
      <c r="K605" t="s">
        <v>38</v>
      </c>
      <c r="L605" t="s">
        <v>22</v>
      </c>
      <c r="M605" t="s">
        <v>23</v>
      </c>
      <c r="N605">
        <v>0</v>
      </c>
      <c r="O605">
        <v>0</v>
      </c>
      <c r="P605" s="8">
        <f>INT(Delivery_data[[#This Row],[Order Timestamp]])</f>
        <v>45175</v>
      </c>
      <c r="Q605" t="str">
        <f ca="1">IF(Delivery_data[[#This Row],[Order Status]]="In Progress", TODAY()-Delivery_data[[#This Row],[Order Date]], "")</f>
        <v/>
      </c>
      <c r="R605">
        <f>IF(Delivery_data[[#This Row],[On Time]]=1,0,1)</f>
        <v>1</v>
      </c>
    </row>
    <row r="606" spans="1:18" x14ac:dyDescent="0.35">
      <c r="A606">
        <v>1869</v>
      </c>
      <c r="B606" t="s">
        <v>735</v>
      </c>
      <c r="C606" s="1">
        <v>45171.356944444444</v>
      </c>
      <c r="D606" t="s">
        <v>25</v>
      </c>
      <c r="E606" t="s">
        <v>136</v>
      </c>
      <c r="F606" t="s">
        <v>646</v>
      </c>
      <c r="G606" t="s">
        <v>557</v>
      </c>
      <c r="H606">
        <v>146</v>
      </c>
      <c r="I606">
        <v>8</v>
      </c>
      <c r="J606" t="s">
        <v>35</v>
      </c>
      <c r="K606" t="s">
        <v>28</v>
      </c>
      <c r="L606" t="s">
        <v>22</v>
      </c>
      <c r="M606" t="s">
        <v>30</v>
      </c>
      <c r="N606">
        <v>0</v>
      </c>
      <c r="O606">
        <v>1</v>
      </c>
      <c r="P606" s="8">
        <f>INT(Delivery_data[[#This Row],[Order Timestamp]])</f>
        <v>45171</v>
      </c>
      <c r="Q606" t="str">
        <f ca="1">IF(Delivery_data[[#This Row],[Order Status]]="In Progress", TODAY()-Delivery_data[[#This Row],[Order Date]], "")</f>
        <v/>
      </c>
      <c r="R606">
        <f>IF(Delivery_data[[#This Row],[On Time]]=1,0,1)</f>
        <v>1</v>
      </c>
    </row>
    <row r="607" spans="1:18" x14ac:dyDescent="0.35">
      <c r="A607">
        <v>1901</v>
      </c>
      <c r="B607" t="s">
        <v>736</v>
      </c>
      <c r="C607" s="1">
        <v>45170.631944444445</v>
      </c>
      <c r="D607" t="s">
        <v>16</v>
      </c>
      <c r="E607" t="s">
        <v>26</v>
      </c>
      <c r="F607" t="s">
        <v>646</v>
      </c>
      <c r="G607" t="s">
        <v>233</v>
      </c>
      <c r="H607">
        <v>214</v>
      </c>
      <c r="I607">
        <v>16</v>
      </c>
      <c r="J607" t="s">
        <v>27</v>
      </c>
      <c r="K607" t="s">
        <v>38</v>
      </c>
      <c r="L607" t="s">
        <v>22</v>
      </c>
      <c r="M607" t="s">
        <v>39</v>
      </c>
      <c r="N607">
        <v>0</v>
      </c>
      <c r="O607">
        <v>0</v>
      </c>
      <c r="P607" s="8">
        <f>INT(Delivery_data[[#This Row],[Order Timestamp]])</f>
        <v>45170</v>
      </c>
      <c r="Q607">
        <f ca="1">IF(Delivery_data[[#This Row],[Order Status]]="In Progress", TODAY()-Delivery_data[[#This Row],[Order Date]], "")</f>
        <v>813</v>
      </c>
      <c r="R607">
        <f>IF(Delivery_data[[#This Row],[On Time]]=1,0,1)</f>
        <v>1</v>
      </c>
    </row>
    <row r="608" spans="1:18" x14ac:dyDescent="0.35">
      <c r="A608">
        <v>1905</v>
      </c>
      <c r="B608" t="s">
        <v>737</v>
      </c>
      <c r="C608" s="1">
        <v>45176.700694444444</v>
      </c>
      <c r="D608" t="s">
        <v>25</v>
      </c>
      <c r="E608" t="s">
        <v>87</v>
      </c>
      <c r="F608" t="s">
        <v>646</v>
      </c>
      <c r="G608" t="s">
        <v>233</v>
      </c>
      <c r="H608">
        <v>108</v>
      </c>
      <c r="I608">
        <v>23</v>
      </c>
      <c r="J608" t="s">
        <v>27</v>
      </c>
      <c r="K608" t="s">
        <v>38</v>
      </c>
      <c r="L608" t="s">
        <v>22</v>
      </c>
      <c r="M608" t="s">
        <v>39</v>
      </c>
      <c r="N608">
        <v>0</v>
      </c>
      <c r="O608">
        <v>0</v>
      </c>
      <c r="P608" s="8">
        <f>INT(Delivery_data[[#This Row],[Order Timestamp]])</f>
        <v>45176</v>
      </c>
      <c r="Q608" t="str">
        <f ca="1">IF(Delivery_data[[#This Row],[Order Status]]="In Progress", TODAY()-Delivery_data[[#This Row],[Order Date]], "")</f>
        <v/>
      </c>
      <c r="R608">
        <f>IF(Delivery_data[[#This Row],[On Time]]=1,0,1)</f>
        <v>1</v>
      </c>
    </row>
    <row r="609" spans="1:18" x14ac:dyDescent="0.35">
      <c r="A609">
        <v>1909</v>
      </c>
      <c r="B609" t="s">
        <v>738</v>
      </c>
      <c r="C609" s="1">
        <v>45175.568749999999</v>
      </c>
      <c r="D609" t="s">
        <v>16</v>
      </c>
      <c r="E609" t="s">
        <v>541</v>
      </c>
      <c r="F609" t="s">
        <v>646</v>
      </c>
      <c r="G609" t="s">
        <v>233</v>
      </c>
      <c r="H609">
        <v>128</v>
      </c>
      <c r="I609">
        <v>17</v>
      </c>
      <c r="J609" t="s">
        <v>27</v>
      </c>
      <c r="K609" t="s">
        <v>38</v>
      </c>
      <c r="L609" t="s">
        <v>22</v>
      </c>
      <c r="M609" t="s">
        <v>23</v>
      </c>
      <c r="N609">
        <v>0</v>
      </c>
      <c r="O609">
        <v>0</v>
      </c>
      <c r="P609" s="8">
        <f>INT(Delivery_data[[#This Row],[Order Timestamp]])</f>
        <v>45175</v>
      </c>
      <c r="Q609">
        <f ca="1">IF(Delivery_data[[#This Row],[Order Status]]="In Progress", TODAY()-Delivery_data[[#This Row],[Order Date]], "")</f>
        <v>808</v>
      </c>
      <c r="R609">
        <f>IF(Delivery_data[[#This Row],[On Time]]=1,0,1)</f>
        <v>1</v>
      </c>
    </row>
    <row r="610" spans="1:18" x14ac:dyDescent="0.35">
      <c r="A610">
        <v>1917</v>
      </c>
      <c r="B610" t="s">
        <v>739</v>
      </c>
      <c r="C610" s="1">
        <v>45176.477083333331</v>
      </c>
      <c r="D610" t="s">
        <v>25</v>
      </c>
      <c r="E610" t="s">
        <v>161</v>
      </c>
      <c r="F610" t="s">
        <v>646</v>
      </c>
      <c r="G610" t="s">
        <v>362</v>
      </c>
      <c r="H610">
        <v>140</v>
      </c>
      <c r="I610">
        <v>3</v>
      </c>
      <c r="J610" t="s">
        <v>20</v>
      </c>
      <c r="K610" t="s">
        <v>38</v>
      </c>
      <c r="L610" t="s">
        <v>22</v>
      </c>
      <c r="M610" t="s">
        <v>30</v>
      </c>
      <c r="N610">
        <v>0</v>
      </c>
      <c r="O610">
        <v>0</v>
      </c>
      <c r="P610" s="8">
        <f>INT(Delivery_data[[#This Row],[Order Timestamp]])</f>
        <v>45176</v>
      </c>
      <c r="Q610" t="str">
        <f ca="1">IF(Delivery_data[[#This Row],[Order Status]]="In Progress", TODAY()-Delivery_data[[#This Row],[Order Date]], "")</f>
        <v/>
      </c>
      <c r="R610">
        <f>IF(Delivery_data[[#This Row],[On Time]]=1,0,1)</f>
        <v>1</v>
      </c>
    </row>
    <row r="611" spans="1:18" x14ac:dyDescent="0.35">
      <c r="A611">
        <v>1925</v>
      </c>
      <c r="B611" t="s">
        <v>740</v>
      </c>
      <c r="C611" s="1">
        <v>45170.474999999999</v>
      </c>
      <c r="D611" t="s">
        <v>25</v>
      </c>
      <c r="E611" t="s">
        <v>89</v>
      </c>
      <c r="F611" t="s">
        <v>646</v>
      </c>
      <c r="G611" t="s">
        <v>362</v>
      </c>
      <c r="H611">
        <v>198</v>
      </c>
      <c r="I611">
        <v>17</v>
      </c>
      <c r="J611" t="s">
        <v>35</v>
      </c>
      <c r="K611" t="s">
        <v>33</v>
      </c>
      <c r="L611" t="s">
        <v>22</v>
      </c>
      <c r="M611" t="s">
        <v>23</v>
      </c>
      <c r="N611">
        <v>0</v>
      </c>
      <c r="O611">
        <v>1</v>
      </c>
      <c r="P611" s="8">
        <f>INT(Delivery_data[[#This Row],[Order Timestamp]])</f>
        <v>45170</v>
      </c>
      <c r="Q611" t="str">
        <f ca="1">IF(Delivery_data[[#This Row],[Order Status]]="In Progress", TODAY()-Delivery_data[[#This Row],[Order Date]], "")</f>
        <v/>
      </c>
      <c r="R611">
        <f>IF(Delivery_data[[#This Row],[On Time]]=1,0,1)</f>
        <v>1</v>
      </c>
    </row>
    <row r="612" spans="1:18" x14ac:dyDescent="0.35">
      <c r="A612">
        <v>1929</v>
      </c>
      <c r="B612" t="s">
        <v>741</v>
      </c>
      <c r="C612" s="1">
        <v>45172.696527777778</v>
      </c>
      <c r="D612" t="s">
        <v>25</v>
      </c>
      <c r="E612" t="s">
        <v>108</v>
      </c>
      <c r="F612" t="s">
        <v>646</v>
      </c>
      <c r="G612" t="s">
        <v>463</v>
      </c>
      <c r="H612">
        <v>95</v>
      </c>
      <c r="I612">
        <v>13</v>
      </c>
      <c r="J612" t="s">
        <v>27</v>
      </c>
      <c r="K612" t="s">
        <v>51</v>
      </c>
      <c r="L612" t="s">
        <v>22</v>
      </c>
      <c r="M612" t="s">
        <v>39</v>
      </c>
      <c r="N612">
        <v>0</v>
      </c>
      <c r="O612">
        <v>0</v>
      </c>
      <c r="P612" s="8">
        <f>INT(Delivery_data[[#This Row],[Order Timestamp]])</f>
        <v>45172</v>
      </c>
      <c r="Q612" t="str">
        <f ca="1">IF(Delivery_data[[#This Row],[Order Status]]="In Progress", TODAY()-Delivery_data[[#This Row],[Order Date]], "")</f>
        <v/>
      </c>
      <c r="R612">
        <f>IF(Delivery_data[[#This Row],[On Time]]=1,0,1)</f>
        <v>1</v>
      </c>
    </row>
    <row r="613" spans="1:18" x14ac:dyDescent="0.35">
      <c r="A613">
        <v>1936</v>
      </c>
      <c r="B613" t="s">
        <v>742</v>
      </c>
      <c r="C613" s="1">
        <v>45172.488888888889</v>
      </c>
      <c r="D613" t="s">
        <v>25</v>
      </c>
      <c r="E613" t="s">
        <v>96</v>
      </c>
      <c r="F613" t="s">
        <v>646</v>
      </c>
      <c r="G613" t="s">
        <v>557</v>
      </c>
      <c r="H613">
        <v>173</v>
      </c>
      <c r="I613">
        <v>19</v>
      </c>
      <c r="J613" t="s">
        <v>35</v>
      </c>
      <c r="K613" t="s">
        <v>51</v>
      </c>
      <c r="L613" t="s">
        <v>22</v>
      </c>
      <c r="M613" t="s">
        <v>39</v>
      </c>
      <c r="N613">
        <v>0</v>
      </c>
      <c r="O613">
        <v>1</v>
      </c>
      <c r="P613" s="8">
        <f>INT(Delivery_data[[#This Row],[Order Timestamp]])</f>
        <v>45172</v>
      </c>
      <c r="Q613" t="str">
        <f ca="1">IF(Delivery_data[[#This Row],[Order Status]]="In Progress", TODAY()-Delivery_data[[#This Row],[Order Date]], "")</f>
        <v/>
      </c>
      <c r="R613">
        <f>IF(Delivery_data[[#This Row],[On Time]]=1,0,1)</f>
        <v>1</v>
      </c>
    </row>
    <row r="614" spans="1:18" x14ac:dyDescent="0.35">
      <c r="A614">
        <v>1955</v>
      </c>
      <c r="B614" t="s">
        <v>743</v>
      </c>
      <c r="C614" s="1">
        <v>45170.434027777781</v>
      </c>
      <c r="D614" t="s">
        <v>16</v>
      </c>
      <c r="E614" t="s">
        <v>46</v>
      </c>
      <c r="F614" t="s">
        <v>646</v>
      </c>
      <c r="G614" t="s">
        <v>362</v>
      </c>
      <c r="H614">
        <v>92</v>
      </c>
      <c r="I614">
        <v>18</v>
      </c>
      <c r="J614" t="s">
        <v>20</v>
      </c>
      <c r="K614" t="s">
        <v>33</v>
      </c>
      <c r="L614" t="s">
        <v>22</v>
      </c>
      <c r="M614" t="s">
        <v>39</v>
      </c>
      <c r="N614">
        <v>0</v>
      </c>
      <c r="O614">
        <v>0</v>
      </c>
      <c r="P614" s="8">
        <f>INT(Delivery_data[[#This Row],[Order Timestamp]])</f>
        <v>45170</v>
      </c>
      <c r="Q614">
        <f ca="1">IF(Delivery_data[[#This Row],[Order Status]]="In Progress", TODAY()-Delivery_data[[#This Row],[Order Date]], "")</f>
        <v>813</v>
      </c>
      <c r="R614">
        <f>IF(Delivery_data[[#This Row],[On Time]]=1,0,1)</f>
        <v>1</v>
      </c>
    </row>
    <row r="615" spans="1:18" x14ac:dyDescent="0.35">
      <c r="A615">
        <v>1969</v>
      </c>
      <c r="B615" t="s">
        <v>744</v>
      </c>
      <c r="C615" s="1">
        <v>45172.57708333333</v>
      </c>
      <c r="D615" t="s">
        <v>16</v>
      </c>
      <c r="E615" t="s">
        <v>206</v>
      </c>
      <c r="F615" t="s">
        <v>646</v>
      </c>
      <c r="G615" t="s">
        <v>463</v>
      </c>
      <c r="H615">
        <v>219</v>
      </c>
      <c r="I615">
        <v>13</v>
      </c>
      <c r="J615" t="s">
        <v>35</v>
      </c>
      <c r="K615" t="s">
        <v>33</v>
      </c>
      <c r="L615" t="s">
        <v>22</v>
      </c>
      <c r="M615" t="s">
        <v>30</v>
      </c>
      <c r="N615">
        <v>0</v>
      </c>
      <c r="O615">
        <v>1</v>
      </c>
      <c r="P615" s="8">
        <f>INT(Delivery_data[[#This Row],[Order Timestamp]])</f>
        <v>45172</v>
      </c>
      <c r="Q615">
        <f ca="1">IF(Delivery_data[[#This Row],[Order Status]]="In Progress", TODAY()-Delivery_data[[#This Row],[Order Date]], "")</f>
        <v>811</v>
      </c>
      <c r="R615">
        <f>IF(Delivery_data[[#This Row],[On Time]]=1,0,1)</f>
        <v>1</v>
      </c>
    </row>
    <row r="616" spans="1:18" x14ac:dyDescent="0.35">
      <c r="A616">
        <v>1984</v>
      </c>
      <c r="B616" t="s">
        <v>745</v>
      </c>
      <c r="C616" s="1">
        <v>45175.353472222225</v>
      </c>
      <c r="D616" t="s">
        <v>25</v>
      </c>
      <c r="E616" t="s">
        <v>68</v>
      </c>
      <c r="F616" t="s">
        <v>646</v>
      </c>
      <c r="G616" t="s">
        <v>557</v>
      </c>
      <c r="H616">
        <v>61</v>
      </c>
      <c r="I616">
        <v>29</v>
      </c>
      <c r="J616" t="s">
        <v>27</v>
      </c>
      <c r="K616" t="s">
        <v>21</v>
      </c>
      <c r="L616" t="s">
        <v>22</v>
      </c>
      <c r="M616" t="s">
        <v>39</v>
      </c>
      <c r="N616">
        <v>0</v>
      </c>
      <c r="O616">
        <v>0</v>
      </c>
      <c r="P616" s="8">
        <f>INT(Delivery_data[[#This Row],[Order Timestamp]])</f>
        <v>45175</v>
      </c>
      <c r="Q616" t="str">
        <f ca="1">IF(Delivery_data[[#This Row],[Order Status]]="In Progress", TODAY()-Delivery_data[[#This Row],[Order Date]], "")</f>
        <v/>
      </c>
      <c r="R616">
        <f>IF(Delivery_data[[#This Row],[On Time]]=1,0,1)</f>
        <v>1</v>
      </c>
    </row>
    <row r="617" spans="1:18" x14ac:dyDescent="0.35">
      <c r="A617">
        <v>1985</v>
      </c>
      <c r="B617" t="s">
        <v>746</v>
      </c>
      <c r="C617" s="1">
        <v>45177.69027777778</v>
      </c>
      <c r="D617" t="s">
        <v>25</v>
      </c>
      <c r="E617" t="s">
        <v>94</v>
      </c>
      <c r="F617" t="s">
        <v>646</v>
      </c>
      <c r="G617" t="s">
        <v>233</v>
      </c>
      <c r="H617">
        <v>214</v>
      </c>
      <c r="I617">
        <v>23</v>
      </c>
      <c r="J617" t="s">
        <v>20</v>
      </c>
      <c r="K617" t="s">
        <v>33</v>
      </c>
      <c r="L617" t="s">
        <v>22</v>
      </c>
      <c r="M617" t="s">
        <v>23</v>
      </c>
      <c r="N617">
        <v>0</v>
      </c>
      <c r="O617">
        <v>0</v>
      </c>
      <c r="P617" s="8">
        <f>INT(Delivery_data[[#This Row],[Order Timestamp]])</f>
        <v>45177</v>
      </c>
      <c r="Q617" t="str">
        <f ca="1">IF(Delivery_data[[#This Row],[Order Status]]="In Progress", TODAY()-Delivery_data[[#This Row],[Order Date]], "")</f>
        <v/>
      </c>
      <c r="R617">
        <f>IF(Delivery_data[[#This Row],[On Time]]=1,0,1)</f>
        <v>1</v>
      </c>
    </row>
    <row r="618" spans="1:18" x14ac:dyDescent="0.35">
      <c r="A618">
        <v>1987</v>
      </c>
      <c r="B618" t="s">
        <v>747</v>
      </c>
      <c r="C618" s="1">
        <v>45173.495138888888</v>
      </c>
      <c r="D618" t="s">
        <v>16</v>
      </c>
      <c r="E618" t="s">
        <v>129</v>
      </c>
      <c r="F618" t="s">
        <v>646</v>
      </c>
      <c r="G618" t="s">
        <v>463</v>
      </c>
      <c r="H618">
        <v>235</v>
      </c>
      <c r="I618">
        <v>6</v>
      </c>
      <c r="J618" t="s">
        <v>27</v>
      </c>
      <c r="K618" t="s">
        <v>51</v>
      </c>
      <c r="L618" t="s">
        <v>22</v>
      </c>
      <c r="M618" t="s">
        <v>23</v>
      </c>
      <c r="N618">
        <v>0</v>
      </c>
      <c r="O618">
        <v>0</v>
      </c>
      <c r="P618" s="8">
        <f>INT(Delivery_data[[#This Row],[Order Timestamp]])</f>
        <v>45173</v>
      </c>
      <c r="Q618">
        <f ca="1">IF(Delivery_data[[#This Row],[Order Status]]="In Progress", TODAY()-Delivery_data[[#This Row],[Order Date]], "")</f>
        <v>810</v>
      </c>
      <c r="R618">
        <f>IF(Delivery_data[[#This Row],[On Time]]=1,0,1)</f>
        <v>1</v>
      </c>
    </row>
    <row r="619" spans="1:18" x14ac:dyDescent="0.35">
      <c r="A619">
        <v>1997</v>
      </c>
      <c r="B619" t="s">
        <v>748</v>
      </c>
      <c r="C619" s="1">
        <v>45177.512499999997</v>
      </c>
      <c r="D619" t="s">
        <v>25</v>
      </c>
      <c r="E619" t="s">
        <v>155</v>
      </c>
      <c r="F619" t="s">
        <v>646</v>
      </c>
      <c r="G619" t="s">
        <v>19</v>
      </c>
      <c r="H619">
        <v>145</v>
      </c>
      <c r="I619">
        <v>14</v>
      </c>
      <c r="J619" t="s">
        <v>35</v>
      </c>
      <c r="K619" t="s">
        <v>38</v>
      </c>
      <c r="L619" t="s">
        <v>22</v>
      </c>
      <c r="M619" t="s">
        <v>23</v>
      </c>
      <c r="N619">
        <v>0</v>
      </c>
      <c r="O619">
        <v>1</v>
      </c>
      <c r="P619" s="8">
        <f>INT(Delivery_data[[#This Row],[Order Timestamp]])</f>
        <v>45177</v>
      </c>
      <c r="Q619" t="str">
        <f ca="1">IF(Delivery_data[[#This Row],[Order Status]]="In Progress", TODAY()-Delivery_data[[#This Row],[Order Date]], "")</f>
        <v/>
      </c>
      <c r="R619">
        <f>IF(Delivery_data[[#This Row],[On Time]]=1,0,1)</f>
        <v>1</v>
      </c>
    </row>
    <row r="620" spans="1:18" x14ac:dyDescent="0.35">
      <c r="A620">
        <v>1999</v>
      </c>
      <c r="B620" t="s">
        <v>749</v>
      </c>
      <c r="C620" s="1">
        <v>45172.333333333336</v>
      </c>
      <c r="D620" t="s">
        <v>16</v>
      </c>
      <c r="E620" t="s">
        <v>225</v>
      </c>
      <c r="F620" t="s">
        <v>646</v>
      </c>
      <c r="G620" t="s">
        <v>463</v>
      </c>
      <c r="H620">
        <v>239</v>
      </c>
      <c r="I620">
        <v>10</v>
      </c>
      <c r="J620" t="s">
        <v>35</v>
      </c>
      <c r="K620" t="s">
        <v>51</v>
      </c>
      <c r="L620" t="s">
        <v>22</v>
      </c>
      <c r="M620" t="s">
        <v>39</v>
      </c>
      <c r="N620">
        <v>0</v>
      </c>
      <c r="O620">
        <v>1</v>
      </c>
      <c r="P620" s="8">
        <f>INT(Delivery_data[[#This Row],[Order Timestamp]])</f>
        <v>45172</v>
      </c>
      <c r="Q620">
        <f ca="1">IF(Delivery_data[[#This Row],[Order Status]]="In Progress", TODAY()-Delivery_data[[#This Row],[Order Date]], "")</f>
        <v>811</v>
      </c>
      <c r="R620">
        <f>IF(Delivery_data[[#This Row],[On Time]]=1,0,1)</f>
        <v>1</v>
      </c>
    </row>
    <row r="621" spans="1:18" x14ac:dyDescent="0.35">
      <c r="A621">
        <v>2011</v>
      </c>
      <c r="B621" t="s">
        <v>750</v>
      </c>
      <c r="C621" s="1">
        <v>45175.473611111112</v>
      </c>
      <c r="D621" t="s">
        <v>16</v>
      </c>
      <c r="E621" t="s">
        <v>559</v>
      </c>
      <c r="F621" t="s">
        <v>646</v>
      </c>
      <c r="G621" t="s">
        <v>463</v>
      </c>
      <c r="H621">
        <v>217</v>
      </c>
      <c r="I621">
        <v>29</v>
      </c>
      <c r="J621" t="s">
        <v>35</v>
      </c>
      <c r="K621" t="s">
        <v>38</v>
      </c>
      <c r="L621" t="s">
        <v>22</v>
      </c>
      <c r="M621" t="s">
        <v>23</v>
      </c>
      <c r="N621">
        <v>0</v>
      </c>
      <c r="O621">
        <v>1</v>
      </c>
      <c r="P621" s="8">
        <f>INT(Delivery_data[[#This Row],[Order Timestamp]])</f>
        <v>45175</v>
      </c>
      <c r="Q621">
        <f ca="1">IF(Delivery_data[[#This Row],[Order Status]]="In Progress", TODAY()-Delivery_data[[#This Row],[Order Date]], "")</f>
        <v>808</v>
      </c>
      <c r="R621">
        <f>IF(Delivery_data[[#This Row],[On Time]]=1,0,1)</f>
        <v>1</v>
      </c>
    </row>
    <row r="622" spans="1:18" x14ac:dyDescent="0.35">
      <c r="A622">
        <v>2015</v>
      </c>
      <c r="B622" t="s">
        <v>751</v>
      </c>
      <c r="C622" s="1">
        <v>45177.436805555553</v>
      </c>
      <c r="D622" t="s">
        <v>25</v>
      </c>
      <c r="E622" t="s">
        <v>50</v>
      </c>
      <c r="F622" t="s">
        <v>646</v>
      </c>
      <c r="G622" t="s">
        <v>233</v>
      </c>
      <c r="H622">
        <v>198</v>
      </c>
      <c r="I622">
        <v>27</v>
      </c>
      <c r="J622" t="s">
        <v>27</v>
      </c>
      <c r="K622" t="s">
        <v>51</v>
      </c>
      <c r="L622" t="s">
        <v>22</v>
      </c>
      <c r="M622" t="s">
        <v>30</v>
      </c>
      <c r="N622">
        <v>0</v>
      </c>
      <c r="O622">
        <v>0</v>
      </c>
      <c r="P622" s="8">
        <f>INT(Delivery_data[[#This Row],[Order Timestamp]])</f>
        <v>45177</v>
      </c>
      <c r="Q622" t="str">
        <f ca="1">IF(Delivery_data[[#This Row],[Order Status]]="In Progress", TODAY()-Delivery_data[[#This Row],[Order Date]], "")</f>
        <v/>
      </c>
      <c r="R622">
        <f>IF(Delivery_data[[#This Row],[On Time]]=1,0,1)</f>
        <v>1</v>
      </c>
    </row>
    <row r="623" spans="1:18" x14ac:dyDescent="0.35">
      <c r="A623">
        <v>2020</v>
      </c>
      <c r="B623" t="s">
        <v>752</v>
      </c>
      <c r="C623" s="1">
        <v>45170.656944444447</v>
      </c>
      <c r="D623" t="s">
        <v>25</v>
      </c>
      <c r="E623" t="s">
        <v>248</v>
      </c>
      <c r="F623" t="s">
        <v>646</v>
      </c>
      <c r="G623" t="s">
        <v>19</v>
      </c>
      <c r="H623">
        <v>200</v>
      </c>
      <c r="I623">
        <v>10</v>
      </c>
      <c r="J623" t="s">
        <v>27</v>
      </c>
      <c r="K623" t="s">
        <v>21</v>
      </c>
      <c r="L623" t="s">
        <v>22</v>
      </c>
      <c r="M623" t="s">
        <v>39</v>
      </c>
      <c r="N623">
        <v>0</v>
      </c>
      <c r="O623">
        <v>0</v>
      </c>
      <c r="P623" s="8">
        <f>INT(Delivery_data[[#This Row],[Order Timestamp]])</f>
        <v>45170</v>
      </c>
      <c r="Q623" t="str">
        <f ca="1">IF(Delivery_data[[#This Row],[Order Status]]="In Progress", TODAY()-Delivery_data[[#This Row],[Order Date]], "")</f>
        <v/>
      </c>
      <c r="R623">
        <f>IF(Delivery_data[[#This Row],[On Time]]=1,0,1)</f>
        <v>1</v>
      </c>
    </row>
    <row r="624" spans="1:18" x14ac:dyDescent="0.35">
      <c r="A624">
        <v>2027</v>
      </c>
      <c r="B624" t="s">
        <v>753</v>
      </c>
      <c r="C624" s="1">
        <v>45174.598611111112</v>
      </c>
      <c r="D624" t="s">
        <v>25</v>
      </c>
      <c r="E624" t="s">
        <v>346</v>
      </c>
      <c r="F624" t="s">
        <v>646</v>
      </c>
      <c r="G624" t="s">
        <v>557</v>
      </c>
      <c r="H624">
        <v>134</v>
      </c>
      <c r="I624">
        <v>1</v>
      </c>
      <c r="J624" t="s">
        <v>35</v>
      </c>
      <c r="K624" t="s">
        <v>21</v>
      </c>
      <c r="L624" t="s">
        <v>22</v>
      </c>
      <c r="M624" t="s">
        <v>30</v>
      </c>
      <c r="N624">
        <v>0</v>
      </c>
      <c r="O624">
        <v>1</v>
      </c>
      <c r="P624" s="8">
        <f>INT(Delivery_data[[#This Row],[Order Timestamp]])</f>
        <v>45174</v>
      </c>
      <c r="Q624" t="str">
        <f ca="1">IF(Delivery_data[[#This Row],[Order Status]]="In Progress", TODAY()-Delivery_data[[#This Row],[Order Date]], "")</f>
        <v/>
      </c>
      <c r="R624">
        <f>IF(Delivery_data[[#This Row],[On Time]]=1,0,1)</f>
        <v>1</v>
      </c>
    </row>
    <row r="625" spans="1:18" x14ac:dyDescent="0.35">
      <c r="A625">
        <v>2050</v>
      </c>
      <c r="B625" t="s">
        <v>754</v>
      </c>
      <c r="C625" s="1">
        <v>45177.556250000001</v>
      </c>
      <c r="D625" t="s">
        <v>16</v>
      </c>
      <c r="E625" t="s">
        <v>598</v>
      </c>
      <c r="F625" t="s">
        <v>646</v>
      </c>
      <c r="G625" t="s">
        <v>463</v>
      </c>
      <c r="H625">
        <v>123</v>
      </c>
      <c r="I625">
        <v>26</v>
      </c>
      <c r="J625" t="s">
        <v>20</v>
      </c>
      <c r="K625" t="s">
        <v>33</v>
      </c>
      <c r="L625" t="s">
        <v>22</v>
      </c>
      <c r="M625" t="s">
        <v>39</v>
      </c>
      <c r="N625">
        <v>0</v>
      </c>
      <c r="O625">
        <v>0</v>
      </c>
      <c r="P625" s="8">
        <f>INT(Delivery_data[[#This Row],[Order Timestamp]])</f>
        <v>45177</v>
      </c>
      <c r="Q625">
        <f ca="1">IF(Delivery_data[[#This Row],[Order Status]]="In Progress", TODAY()-Delivery_data[[#This Row],[Order Date]], "")</f>
        <v>806</v>
      </c>
      <c r="R625">
        <f>IF(Delivery_data[[#This Row],[On Time]]=1,0,1)</f>
        <v>1</v>
      </c>
    </row>
    <row r="626" spans="1:18" x14ac:dyDescent="0.35">
      <c r="A626">
        <v>2076</v>
      </c>
      <c r="B626" t="s">
        <v>755</v>
      </c>
      <c r="C626" s="1">
        <v>45173.370833333334</v>
      </c>
      <c r="D626" t="s">
        <v>16</v>
      </c>
      <c r="E626" t="s">
        <v>325</v>
      </c>
      <c r="F626" t="s">
        <v>646</v>
      </c>
      <c r="G626" t="s">
        <v>19</v>
      </c>
      <c r="H626">
        <v>209</v>
      </c>
      <c r="I626">
        <v>11</v>
      </c>
      <c r="J626" t="s">
        <v>20</v>
      </c>
      <c r="K626" t="s">
        <v>51</v>
      </c>
      <c r="L626" t="s">
        <v>22</v>
      </c>
      <c r="M626" t="s">
        <v>39</v>
      </c>
      <c r="N626">
        <v>0</v>
      </c>
      <c r="O626">
        <v>0</v>
      </c>
      <c r="P626" s="8">
        <f>INT(Delivery_data[[#This Row],[Order Timestamp]])</f>
        <v>45173</v>
      </c>
      <c r="Q626">
        <f ca="1">IF(Delivery_data[[#This Row],[Order Status]]="In Progress", TODAY()-Delivery_data[[#This Row],[Order Date]], "")</f>
        <v>810</v>
      </c>
      <c r="R626">
        <f>IF(Delivery_data[[#This Row],[On Time]]=1,0,1)</f>
        <v>1</v>
      </c>
    </row>
    <row r="627" spans="1:18" x14ac:dyDescent="0.35">
      <c r="A627">
        <v>2096</v>
      </c>
      <c r="B627" t="s">
        <v>756</v>
      </c>
      <c r="C627" s="1">
        <v>45175.600694444445</v>
      </c>
      <c r="D627" t="s">
        <v>16</v>
      </c>
      <c r="E627" t="s">
        <v>342</v>
      </c>
      <c r="F627" t="s">
        <v>646</v>
      </c>
      <c r="G627" t="s">
        <v>233</v>
      </c>
      <c r="H627">
        <v>195</v>
      </c>
      <c r="I627">
        <v>4</v>
      </c>
      <c r="J627" t="s">
        <v>35</v>
      </c>
      <c r="K627" t="s">
        <v>28</v>
      </c>
      <c r="L627" t="s">
        <v>22</v>
      </c>
      <c r="M627" t="s">
        <v>39</v>
      </c>
      <c r="N627">
        <v>0</v>
      </c>
      <c r="O627">
        <v>1</v>
      </c>
      <c r="P627" s="8">
        <f>INT(Delivery_data[[#This Row],[Order Timestamp]])</f>
        <v>45175</v>
      </c>
      <c r="Q627">
        <f ca="1">IF(Delivery_data[[#This Row],[Order Status]]="In Progress", TODAY()-Delivery_data[[#This Row],[Order Date]], "")</f>
        <v>808</v>
      </c>
      <c r="R627">
        <f>IF(Delivery_data[[#This Row],[On Time]]=1,0,1)</f>
        <v>1</v>
      </c>
    </row>
    <row r="628" spans="1:18" x14ac:dyDescent="0.35">
      <c r="A628">
        <v>2138</v>
      </c>
      <c r="B628" t="s">
        <v>757</v>
      </c>
      <c r="C628" s="1">
        <v>45172.540277777778</v>
      </c>
      <c r="D628" t="s">
        <v>16</v>
      </c>
      <c r="E628" t="s">
        <v>104</v>
      </c>
      <c r="F628" t="s">
        <v>646</v>
      </c>
      <c r="G628" t="s">
        <v>19</v>
      </c>
      <c r="H628">
        <v>86</v>
      </c>
      <c r="I628">
        <v>19</v>
      </c>
      <c r="J628" t="s">
        <v>20</v>
      </c>
      <c r="K628" t="s">
        <v>38</v>
      </c>
      <c r="L628" t="s">
        <v>22</v>
      </c>
      <c r="M628" t="s">
        <v>23</v>
      </c>
      <c r="N628">
        <v>0</v>
      </c>
      <c r="O628">
        <v>0</v>
      </c>
      <c r="P628" s="8">
        <f>INT(Delivery_data[[#This Row],[Order Timestamp]])</f>
        <v>45172</v>
      </c>
      <c r="Q628">
        <f ca="1">IF(Delivery_data[[#This Row],[Order Status]]="In Progress", TODAY()-Delivery_data[[#This Row],[Order Date]], "")</f>
        <v>811</v>
      </c>
      <c r="R628">
        <f>IF(Delivery_data[[#This Row],[On Time]]=1,0,1)</f>
        <v>1</v>
      </c>
    </row>
    <row r="629" spans="1:18" x14ac:dyDescent="0.35">
      <c r="A629">
        <v>2184</v>
      </c>
      <c r="B629" t="s">
        <v>758</v>
      </c>
      <c r="C629" s="1">
        <v>45172.45208333333</v>
      </c>
      <c r="D629" t="s">
        <v>16</v>
      </c>
      <c r="E629" t="s">
        <v>279</v>
      </c>
      <c r="F629" t="s">
        <v>646</v>
      </c>
      <c r="G629" t="s">
        <v>362</v>
      </c>
      <c r="H629">
        <v>205</v>
      </c>
      <c r="I629">
        <v>20</v>
      </c>
      <c r="J629" t="s">
        <v>35</v>
      </c>
      <c r="K629" t="s">
        <v>21</v>
      </c>
      <c r="L629" t="s">
        <v>22</v>
      </c>
      <c r="M629" t="s">
        <v>39</v>
      </c>
      <c r="N629">
        <v>0</v>
      </c>
      <c r="O629">
        <v>1</v>
      </c>
      <c r="P629" s="8">
        <f>INT(Delivery_data[[#This Row],[Order Timestamp]])</f>
        <v>45172</v>
      </c>
      <c r="Q629">
        <f ca="1">IF(Delivery_data[[#This Row],[Order Status]]="In Progress", TODAY()-Delivery_data[[#This Row],[Order Date]], "")</f>
        <v>811</v>
      </c>
      <c r="R629">
        <f>IF(Delivery_data[[#This Row],[On Time]]=1,0,1)</f>
        <v>1</v>
      </c>
    </row>
    <row r="630" spans="1:18" x14ac:dyDescent="0.35">
      <c r="A630">
        <v>2187</v>
      </c>
      <c r="B630" t="s">
        <v>759</v>
      </c>
      <c r="C630" s="1">
        <v>45175.37777777778</v>
      </c>
      <c r="D630" t="s">
        <v>16</v>
      </c>
      <c r="E630" t="s">
        <v>342</v>
      </c>
      <c r="F630" t="s">
        <v>646</v>
      </c>
      <c r="G630" t="s">
        <v>362</v>
      </c>
      <c r="H630">
        <v>134</v>
      </c>
      <c r="I630">
        <v>28</v>
      </c>
      <c r="J630" t="s">
        <v>20</v>
      </c>
      <c r="K630" t="s">
        <v>51</v>
      </c>
      <c r="L630" t="s">
        <v>22</v>
      </c>
      <c r="M630" t="s">
        <v>30</v>
      </c>
      <c r="N630">
        <v>0</v>
      </c>
      <c r="O630">
        <v>0</v>
      </c>
      <c r="P630" s="8">
        <f>INT(Delivery_data[[#This Row],[Order Timestamp]])</f>
        <v>45175</v>
      </c>
      <c r="Q630">
        <f ca="1">IF(Delivery_data[[#This Row],[Order Status]]="In Progress", TODAY()-Delivery_data[[#This Row],[Order Date]], "")</f>
        <v>808</v>
      </c>
      <c r="R630">
        <f>IF(Delivery_data[[#This Row],[On Time]]=1,0,1)</f>
        <v>1</v>
      </c>
    </row>
    <row r="631" spans="1:18" x14ac:dyDescent="0.35">
      <c r="A631">
        <v>2205</v>
      </c>
      <c r="B631" t="s">
        <v>760</v>
      </c>
      <c r="C631" s="1">
        <v>45171.695833333331</v>
      </c>
      <c r="D631" t="s">
        <v>16</v>
      </c>
      <c r="E631" t="s">
        <v>91</v>
      </c>
      <c r="F631" t="s">
        <v>646</v>
      </c>
      <c r="G631" t="s">
        <v>233</v>
      </c>
      <c r="H631">
        <v>192</v>
      </c>
      <c r="I631">
        <v>13</v>
      </c>
      <c r="J631" t="s">
        <v>35</v>
      </c>
      <c r="K631" t="s">
        <v>21</v>
      </c>
      <c r="L631" t="s">
        <v>22</v>
      </c>
      <c r="M631" t="s">
        <v>39</v>
      </c>
      <c r="N631">
        <v>0</v>
      </c>
      <c r="O631">
        <v>1</v>
      </c>
      <c r="P631" s="8">
        <f>INT(Delivery_data[[#This Row],[Order Timestamp]])</f>
        <v>45171</v>
      </c>
      <c r="Q631">
        <f ca="1">IF(Delivery_data[[#This Row],[Order Status]]="In Progress", TODAY()-Delivery_data[[#This Row],[Order Date]], "")</f>
        <v>812</v>
      </c>
      <c r="R631">
        <f>IF(Delivery_data[[#This Row],[On Time]]=1,0,1)</f>
        <v>1</v>
      </c>
    </row>
    <row r="632" spans="1:18" x14ac:dyDescent="0.35">
      <c r="A632">
        <v>2208</v>
      </c>
      <c r="B632" t="s">
        <v>761</v>
      </c>
      <c r="C632" s="1">
        <v>45176.688194444447</v>
      </c>
      <c r="D632" t="s">
        <v>25</v>
      </c>
      <c r="E632" t="s">
        <v>666</v>
      </c>
      <c r="F632" t="s">
        <v>646</v>
      </c>
      <c r="G632" t="s">
        <v>233</v>
      </c>
      <c r="H632">
        <v>219</v>
      </c>
      <c r="I632">
        <v>17</v>
      </c>
      <c r="J632" t="s">
        <v>35</v>
      </c>
      <c r="K632" t="s">
        <v>33</v>
      </c>
      <c r="L632" t="s">
        <v>22</v>
      </c>
      <c r="M632" t="s">
        <v>23</v>
      </c>
      <c r="N632">
        <v>0</v>
      </c>
      <c r="O632">
        <v>1</v>
      </c>
      <c r="P632" s="8">
        <f>INT(Delivery_data[[#This Row],[Order Timestamp]])</f>
        <v>45176</v>
      </c>
      <c r="Q632" t="str">
        <f ca="1">IF(Delivery_data[[#This Row],[Order Status]]="In Progress", TODAY()-Delivery_data[[#This Row],[Order Date]], "")</f>
        <v/>
      </c>
      <c r="R632">
        <f>IF(Delivery_data[[#This Row],[On Time]]=1,0,1)</f>
        <v>1</v>
      </c>
    </row>
    <row r="633" spans="1:18" x14ac:dyDescent="0.35">
      <c r="A633">
        <v>2213</v>
      </c>
      <c r="B633" t="s">
        <v>762</v>
      </c>
      <c r="C633" s="1">
        <v>45174.59652777778</v>
      </c>
      <c r="D633" t="s">
        <v>25</v>
      </c>
      <c r="E633" t="s">
        <v>209</v>
      </c>
      <c r="F633" t="s">
        <v>646</v>
      </c>
      <c r="G633" t="s">
        <v>557</v>
      </c>
      <c r="H633">
        <v>198</v>
      </c>
      <c r="I633">
        <v>23</v>
      </c>
      <c r="J633" t="s">
        <v>35</v>
      </c>
      <c r="K633" t="s">
        <v>51</v>
      </c>
      <c r="L633" t="s">
        <v>22</v>
      </c>
      <c r="M633" t="s">
        <v>23</v>
      </c>
      <c r="N633">
        <v>0</v>
      </c>
      <c r="O633">
        <v>1</v>
      </c>
      <c r="P633" s="8">
        <f>INT(Delivery_data[[#This Row],[Order Timestamp]])</f>
        <v>45174</v>
      </c>
      <c r="Q633" t="str">
        <f ca="1">IF(Delivery_data[[#This Row],[Order Status]]="In Progress", TODAY()-Delivery_data[[#This Row],[Order Date]], "")</f>
        <v/>
      </c>
      <c r="R633">
        <f>IF(Delivery_data[[#This Row],[On Time]]=1,0,1)</f>
        <v>1</v>
      </c>
    </row>
    <row r="634" spans="1:18" x14ac:dyDescent="0.35">
      <c r="A634">
        <v>2217</v>
      </c>
      <c r="B634" t="s">
        <v>763</v>
      </c>
      <c r="C634" s="1">
        <v>45177.652777777781</v>
      </c>
      <c r="D634" t="s">
        <v>16</v>
      </c>
      <c r="E634" t="s">
        <v>74</v>
      </c>
      <c r="F634" t="s">
        <v>646</v>
      </c>
      <c r="G634" t="s">
        <v>233</v>
      </c>
      <c r="H634">
        <v>121</v>
      </c>
      <c r="I634">
        <v>10</v>
      </c>
      <c r="J634" t="s">
        <v>35</v>
      </c>
      <c r="K634" t="s">
        <v>28</v>
      </c>
      <c r="L634" t="s">
        <v>22</v>
      </c>
      <c r="M634" t="s">
        <v>23</v>
      </c>
      <c r="N634">
        <v>0</v>
      </c>
      <c r="O634">
        <v>1</v>
      </c>
      <c r="P634" s="8">
        <f>INT(Delivery_data[[#This Row],[Order Timestamp]])</f>
        <v>45177</v>
      </c>
      <c r="Q634">
        <f ca="1">IF(Delivery_data[[#This Row],[Order Status]]="In Progress", TODAY()-Delivery_data[[#This Row],[Order Date]], "")</f>
        <v>806</v>
      </c>
      <c r="R634">
        <f>IF(Delivery_data[[#This Row],[On Time]]=1,0,1)</f>
        <v>1</v>
      </c>
    </row>
    <row r="635" spans="1:18" x14ac:dyDescent="0.35">
      <c r="A635">
        <v>2236</v>
      </c>
      <c r="B635" t="s">
        <v>764</v>
      </c>
      <c r="C635" s="1">
        <v>45173.438888888886</v>
      </c>
      <c r="D635" t="s">
        <v>16</v>
      </c>
      <c r="E635" t="s">
        <v>178</v>
      </c>
      <c r="F635" t="s">
        <v>646</v>
      </c>
      <c r="G635" t="s">
        <v>233</v>
      </c>
      <c r="H635">
        <v>156</v>
      </c>
      <c r="I635">
        <v>13</v>
      </c>
      <c r="J635" t="s">
        <v>35</v>
      </c>
      <c r="K635" t="s">
        <v>33</v>
      </c>
      <c r="L635" t="s">
        <v>22</v>
      </c>
      <c r="M635" t="s">
        <v>39</v>
      </c>
      <c r="N635">
        <v>0</v>
      </c>
      <c r="O635">
        <v>1</v>
      </c>
      <c r="P635" s="8">
        <f>INT(Delivery_data[[#This Row],[Order Timestamp]])</f>
        <v>45173</v>
      </c>
      <c r="Q635">
        <f ca="1">IF(Delivery_data[[#This Row],[Order Status]]="In Progress", TODAY()-Delivery_data[[#This Row],[Order Date]], "")</f>
        <v>810</v>
      </c>
      <c r="R635">
        <f>IF(Delivery_data[[#This Row],[On Time]]=1,0,1)</f>
        <v>1</v>
      </c>
    </row>
    <row r="636" spans="1:18" x14ac:dyDescent="0.35">
      <c r="A636">
        <v>2248</v>
      </c>
      <c r="B636" t="s">
        <v>765</v>
      </c>
      <c r="C636" s="1">
        <v>45170.697916666664</v>
      </c>
      <c r="D636" t="s">
        <v>25</v>
      </c>
      <c r="E636" t="s">
        <v>165</v>
      </c>
      <c r="F636" t="s">
        <v>646</v>
      </c>
      <c r="G636" t="s">
        <v>362</v>
      </c>
      <c r="H636">
        <v>121</v>
      </c>
      <c r="I636">
        <v>16</v>
      </c>
      <c r="J636" t="s">
        <v>27</v>
      </c>
      <c r="K636" t="s">
        <v>38</v>
      </c>
      <c r="L636" t="s">
        <v>22</v>
      </c>
      <c r="M636" t="s">
        <v>23</v>
      </c>
      <c r="N636">
        <v>0</v>
      </c>
      <c r="O636">
        <v>0</v>
      </c>
      <c r="P636" s="8">
        <f>INT(Delivery_data[[#This Row],[Order Timestamp]])</f>
        <v>45170</v>
      </c>
      <c r="Q636" t="str">
        <f ca="1">IF(Delivery_data[[#This Row],[Order Status]]="In Progress", TODAY()-Delivery_data[[#This Row],[Order Date]], "")</f>
        <v/>
      </c>
      <c r="R636">
        <f>IF(Delivery_data[[#This Row],[On Time]]=1,0,1)</f>
        <v>1</v>
      </c>
    </row>
    <row r="637" spans="1:18" x14ac:dyDescent="0.35">
      <c r="A637">
        <v>2255</v>
      </c>
      <c r="B637" t="s">
        <v>766</v>
      </c>
      <c r="C637" s="1">
        <v>45173.46597222222</v>
      </c>
      <c r="D637" t="s">
        <v>25</v>
      </c>
      <c r="E637" t="s">
        <v>169</v>
      </c>
      <c r="F637" t="s">
        <v>646</v>
      </c>
      <c r="G637" t="s">
        <v>463</v>
      </c>
      <c r="H637">
        <v>166</v>
      </c>
      <c r="I637">
        <v>29</v>
      </c>
      <c r="J637" t="s">
        <v>20</v>
      </c>
      <c r="K637" t="s">
        <v>28</v>
      </c>
      <c r="L637" t="s">
        <v>22</v>
      </c>
      <c r="M637" t="s">
        <v>23</v>
      </c>
      <c r="N637">
        <v>0</v>
      </c>
      <c r="O637">
        <v>0</v>
      </c>
      <c r="P637" s="8">
        <f>INT(Delivery_data[[#This Row],[Order Timestamp]])</f>
        <v>45173</v>
      </c>
      <c r="Q637" t="str">
        <f ca="1">IF(Delivery_data[[#This Row],[Order Status]]="In Progress", TODAY()-Delivery_data[[#This Row],[Order Date]], "")</f>
        <v/>
      </c>
      <c r="R637">
        <f>IF(Delivery_data[[#This Row],[On Time]]=1,0,1)</f>
        <v>1</v>
      </c>
    </row>
    <row r="638" spans="1:18" x14ac:dyDescent="0.35">
      <c r="A638">
        <v>2258</v>
      </c>
      <c r="B638" t="s">
        <v>767</v>
      </c>
      <c r="C638" s="1">
        <v>45171.622916666667</v>
      </c>
      <c r="D638" t="s">
        <v>16</v>
      </c>
      <c r="E638" t="s">
        <v>78</v>
      </c>
      <c r="F638" t="s">
        <v>646</v>
      </c>
      <c r="G638" t="s">
        <v>19</v>
      </c>
      <c r="H638">
        <v>67</v>
      </c>
      <c r="I638">
        <v>29</v>
      </c>
      <c r="J638" t="s">
        <v>20</v>
      </c>
      <c r="K638" t="s">
        <v>38</v>
      </c>
      <c r="L638" t="s">
        <v>22</v>
      </c>
      <c r="M638" t="s">
        <v>30</v>
      </c>
      <c r="N638">
        <v>0</v>
      </c>
      <c r="O638">
        <v>0</v>
      </c>
      <c r="P638" s="8">
        <f>INT(Delivery_data[[#This Row],[Order Timestamp]])</f>
        <v>45171</v>
      </c>
      <c r="Q638">
        <f ca="1">IF(Delivery_data[[#This Row],[Order Status]]="In Progress", TODAY()-Delivery_data[[#This Row],[Order Date]], "")</f>
        <v>812</v>
      </c>
      <c r="R638">
        <f>IF(Delivery_data[[#This Row],[On Time]]=1,0,1)</f>
        <v>1</v>
      </c>
    </row>
    <row r="639" spans="1:18" x14ac:dyDescent="0.35">
      <c r="A639">
        <v>2270</v>
      </c>
      <c r="B639" t="s">
        <v>768</v>
      </c>
      <c r="C639" s="1">
        <v>45175.6875</v>
      </c>
      <c r="D639" t="s">
        <v>16</v>
      </c>
      <c r="E639" t="s">
        <v>559</v>
      </c>
      <c r="F639" t="s">
        <v>646</v>
      </c>
      <c r="G639" t="s">
        <v>463</v>
      </c>
      <c r="H639">
        <v>226</v>
      </c>
      <c r="I639">
        <v>15</v>
      </c>
      <c r="J639" t="s">
        <v>20</v>
      </c>
      <c r="K639" t="s">
        <v>21</v>
      </c>
      <c r="L639" t="s">
        <v>22</v>
      </c>
      <c r="M639" t="s">
        <v>39</v>
      </c>
      <c r="N639">
        <v>0</v>
      </c>
      <c r="O639">
        <v>0</v>
      </c>
      <c r="P639" s="8">
        <f>INT(Delivery_data[[#This Row],[Order Timestamp]])</f>
        <v>45175</v>
      </c>
      <c r="Q639">
        <f ca="1">IF(Delivery_data[[#This Row],[Order Status]]="In Progress", TODAY()-Delivery_data[[#This Row],[Order Date]], "")</f>
        <v>808</v>
      </c>
      <c r="R639">
        <f>IF(Delivery_data[[#This Row],[On Time]]=1,0,1)</f>
        <v>1</v>
      </c>
    </row>
    <row r="640" spans="1:18" x14ac:dyDescent="0.35">
      <c r="A640">
        <v>2277</v>
      </c>
      <c r="B640" t="s">
        <v>769</v>
      </c>
      <c r="C640" s="1">
        <v>45177.588194444441</v>
      </c>
      <c r="D640" t="s">
        <v>16</v>
      </c>
      <c r="E640" t="s">
        <v>152</v>
      </c>
      <c r="F640" t="s">
        <v>646</v>
      </c>
      <c r="G640" t="s">
        <v>233</v>
      </c>
      <c r="H640">
        <v>184</v>
      </c>
      <c r="I640">
        <v>22</v>
      </c>
      <c r="J640" t="s">
        <v>27</v>
      </c>
      <c r="K640" t="s">
        <v>33</v>
      </c>
      <c r="L640" t="s">
        <v>22</v>
      </c>
      <c r="M640" t="s">
        <v>39</v>
      </c>
      <c r="N640">
        <v>0</v>
      </c>
      <c r="O640">
        <v>0</v>
      </c>
      <c r="P640" s="8">
        <f>INT(Delivery_data[[#This Row],[Order Timestamp]])</f>
        <v>45177</v>
      </c>
      <c r="Q640">
        <f ca="1">IF(Delivery_data[[#This Row],[Order Status]]="In Progress", TODAY()-Delivery_data[[#This Row],[Order Date]], "")</f>
        <v>806</v>
      </c>
      <c r="R640">
        <f>IF(Delivery_data[[#This Row],[On Time]]=1,0,1)</f>
        <v>1</v>
      </c>
    </row>
    <row r="641" spans="1:18" x14ac:dyDescent="0.35">
      <c r="A641">
        <v>2293</v>
      </c>
      <c r="B641" t="s">
        <v>770</v>
      </c>
      <c r="C641" s="1">
        <v>45172.538888888892</v>
      </c>
      <c r="D641" t="s">
        <v>16</v>
      </c>
      <c r="E641" t="s">
        <v>78</v>
      </c>
      <c r="F641" t="s">
        <v>646</v>
      </c>
      <c r="G641" t="s">
        <v>233</v>
      </c>
      <c r="H641">
        <v>66</v>
      </c>
      <c r="I641">
        <v>28</v>
      </c>
      <c r="J641" t="s">
        <v>35</v>
      </c>
      <c r="K641" t="s">
        <v>21</v>
      </c>
      <c r="L641" t="s">
        <v>22</v>
      </c>
      <c r="M641" t="s">
        <v>30</v>
      </c>
      <c r="N641">
        <v>0</v>
      </c>
      <c r="O641">
        <v>1</v>
      </c>
      <c r="P641" s="8">
        <f>INT(Delivery_data[[#This Row],[Order Timestamp]])</f>
        <v>45172</v>
      </c>
      <c r="Q641">
        <f ca="1">IF(Delivery_data[[#This Row],[Order Status]]="In Progress", TODAY()-Delivery_data[[#This Row],[Order Date]], "")</f>
        <v>811</v>
      </c>
      <c r="R641">
        <f>IF(Delivery_data[[#This Row],[On Time]]=1,0,1)</f>
        <v>1</v>
      </c>
    </row>
    <row r="642" spans="1:18" x14ac:dyDescent="0.35">
      <c r="A642">
        <v>2299</v>
      </c>
      <c r="B642" t="s">
        <v>771</v>
      </c>
      <c r="C642" s="1">
        <v>45177.666666666664</v>
      </c>
      <c r="D642" t="s">
        <v>16</v>
      </c>
      <c r="E642" t="s">
        <v>108</v>
      </c>
      <c r="F642" t="s">
        <v>646</v>
      </c>
      <c r="G642" t="s">
        <v>557</v>
      </c>
      <c r="H642">
        <v>153</v>
      </c>
      <c r="I642">
        <v>6</v>
      </c>
      <c r="J642" t="s">
        <v>20</v>
      </c>
      <c r="K642" t="s">
        <v>51</v>
      </c>
      <c r="L642" t="s">
        <v>22</v>
      </c>
      <c r="M642" t="s">
        <v>30</v>
      </c>
      <c r="N642">
        <v>0</v>
      </c>
      <c r="O642">
        <v>0</v>
      </c>
      <c r="P642" s="8">
        <f>INT(Delivery_data[[#This Row],[Order Timestamp]])</f>
        <v>45177</v>
      </c>
      <c r="Q642">
        <f ca="1">IF(Delivery_data[[#This Row],[Order Status]]="In Progress", TODAY()-Delivery_data[[#This Row],[Order Date]], "")</f>
        <v>806</v>
      </c>
      <c r="R642">
        <f>IF(Delivery_data[[#This Row],[On Time]]=1,0,1)</f>
        <v>1</v>
      </c>
    </row>
    <row r="643" spans="1:18" x14ac:dyDescent="0.35">
      <c r="A643">
        <v>2306</v>
      </c>
      <c r="B643" t="s">
        <v>772</v>
      </c>
      <c r="C643" s="1">
        <v>45177.470833333333</v>
      </c>
      <c r="D643" t="s">
        <v>25</v>
      </c>
      <c r="E643" t="s">
        <v>541</v>
      </c>
      <c r="F643" t="s">
        <v>646</v>
      </c>
      <c r="G643" t="s">
        <v>233</v>
      </c>
      <c r="H643">
        <v>173</v>
      </c>
      <c r="I643">
        <v>17</v>
      </c>
      <c r="J643" t="s">
        <v>20</v>
      </c>
      <c r="K643" t="s">
        <v>33</v>
      </c>
      <c r="L643" t="s">
        <v>22</v>
      </c>
      <c r="M643" t="s">
        <v>23</v>
      </c>
      <c r="N643">
        <v>0</v>
      </c>
      <c r="O643">
        <v>0</v>
      </c>
      <c r="P643" s="8">
        <f>INT(Delivery_data[[#This Row],[Order Timestamp]])</f>
        <v>45177</v>
      </c>
      <c r="Q643" t="str">
        <f ca="1">IF(Delivery_data[[#This Row],[Order Status]]="In Progress", TODAY()-Delivery_data[[#This Row],[Order Date]], "")</f>
        <v/>
      </c>
      <c r="R643">
        <f>IF(Delivery_data[[#This Row],[On Time]]=1,0,1)</f>
        <v>1</v>
      </c>
    </row>
    <row r="644" spans="1:18" x14ac:dyDescent="0.35">
      <c r="A644">
        <v>2308</v>
      </c>
      <c r="B644" t="s">
        <v>773</v>
      </c>
      <c r="C644" s="1">
        <v>45171.475694444445</v>
      </c>
      <c r="D644" t="s">
        <v>16</v>
      </c>
      <c r="E644" t="s">
        <v>271</v>
      </c>
      <c r="F644" t="s">
        <v>646</v>
      </c>
      <c r="G644" t="s">
        <v>233</v>
      </c>
      <c r="H644">
        <v>132</v>
      </c>
      <c r="I644">
        <v>2</v>
      </c>
      <c r="J644" t="s">
        <v>35</v>
      </c>
      <c r="K644" t="s">
        <v>28</v>
      </c>
      <c r="L644" t="s">
        <v>22</v>
      </c>
      <c r="M644" t="s">
        <v>23</v>
      </c>
      <c r="N644">
        <v>0</v>
      </c>
      <c r="O644">
        <v>1</v>
      </c>
      <c r="P644" s="8">
        <f>INT(Delivery_data[[#This Row],[Order Timestamp]])</f>
        <v>45171</v>
      </c>
      <c r="Q644">
        <f ca="1">IF(Delivery_data[[#This Row],[Order Status]]="In Progress", TODAY()-Delivery_data[[#This Row],[Order Date]], "")</f>
        <v>812</v>
      </c>
      <c r="R644">
        <f>IF(Delivery_data[[#This Row],[On Time]]=1,0,1)</f>
        <v>1</v>
      </c>
    </row>
    <row r="645" spans="1:18" x14ac:dyDescent="0.35">
      <c r="A645">
        <v>2323</v>
      </c>
      <c r="B645" t="s">
        <v>774</v>
      </c>
      <c r="C645" s="1">
        <v>45173.529166666667</v>
      </c>
      <c r="D645" t="s">
        <v>16</v>
      </c>
      <c r="E645" t="s">
        <v>227</v>
      </c>
      <c r="F645" t="s">
        <v>646</v>
      </c>
      <c r="G645" t="s">
        <v>362</v>
      </c>
      <c r="H645">
        <v>65</v>
      </c>
      <c r="I645">
        <v>23</v>
      </c>
      <c r="J645" t="s">
        <v>35</v>
      </c>
      <c r="K645" t="s">
        <v>38</v>
      </c>
      <c r="L645" t="s">
        <v>22</v>
      </c>
      <c r="M645" t="s">
        <v>23</v>
      </c>
      <c r="N645">
        <v>0</v>
      </c>
      <c r="O645">
        <v>1</v>
      </c>
      <c r="P645" s="8">
        <f>INT(Delivery_data[[#This Row],[Order Timestamp]])</f>
        <v>45173</v>
      </c>
      <c r="Q645">
        <f ca="1">IF(Delivery_data[[#This Row],[Order Status]]="In Progress", TODAY()-Delivery_data[[#This Row],[Order Date]], "")</f>
        <v>810</v>
      </c>
      <c r="R645">
        <f>IF(Delivery_data[[#This Row],[On Time]]=1,0,1)</f>
        <v>1</v>
      </c>
    </row>
    <row r="646" spans="1:18" x14ac:dyDescent="0.35">
      <c r="A646">
        <v>2334</v>
      </c>
      <c r="B646" t="s">
        <v>775</v>
      </c>
      <c r="C646" s="1">
        <v>45173.677777777775</v>
      </c>
      <c r="D646" t="s">
        <v>16</v>
      </c>
      <c r="E646" t="s">
        <v>325</v>
      </c>
      <c r="F646" t="s">
        <v>646</v>
      </c>
      <c r="G646" t="s">
        <v>233</v>
      </c>
      <c r="H646">
        <v>73</v>
      </c>
      <c r="I646">
        <v>11</v>
      </c>
      <c r="J646" t="s">
        <v>27</v>
      </c>
      <c r="K646" t="s">
        <v>21</v>
      </c>
      <c r="L646" t="s">
        <v>22</v>
      </c>
      <c r="M646" t="s">
        <v>39</v>
      </c>
      <c r="N646">
        <v>0</v>
      </c>
      <c r="O646">
        <v>0</v>
      </c>
      <c r="P646" s="8">
        <f>INT(Delivery_data[[#This Row],[Order Timestamp]])</f>
        <v>45173</v>
      </c>
      <c r="Q646">
        <f ca="1">IF(Delivery_data[[#This Row],[Order Status]]="In Progress", TODAY()-Delivery_data[[#This Row],[Order Date]], "")</f>
        <v>810</v>
      </c>
      <c r="R646">
        <f>IF(Delivery_data[[#This Row],[On Time]]=1,0,1)</f>
        <v>1</v>
      </c>
    </row>
    <row r="647" spans="1:18" x14ac:dyDescent="0.35">
      <c r="A647">
        <v>2366</v>
      </c>
      <c r="B647" t="s">
        <v>776</v>
      </c>
      <c r="C647" s="1">
        <v>45175.429166666669</v>
      </c>
      <c r="D647" t="s">
        <v>16</v>
      </c>
      <c r="E647" t="s">
        <v>184</v>
      </c>
      <c r="F647" t="s">
        <v>646</v>
      </c>
      <c r="G647" t="s">
        <v>463</v>
      </c>
      <c r="H647">
        <v>134</v>
      </c>
      <c r="I647">
        <v>22</v>
      </c>
      <c r="J647" t="s">
        <v>20</v>
      </c>
      <c r="K647" t="s">
        <v>33</v>
      </c>
      <c r="L647" t="s">
        <v>22</v>
      </c>
      <c r="M647" t="s">
        <v>23</v>
      </c>
      <c r="N647">
        <v>0</v>
      </c>
      <c r="O647">
        <v>0</v>
      </c>
      <c r="P647" s="8">
        <f>INT(Delivery_data[[#This Row],[Order Timestamp]])</f>
        <v>45175</v>
      </c>
      <c r="Q647">
        <f ca="1">IF(Delivery_data[[#This Row],[Order Status]]="In Progress", TODAY()-Delivery_data[[#This Row],[Order Date]], "")</f>
        <v>808</v>
      </c>
      <c r="R647">
        <f>IF(Delivery_data[[#This Row],[On Time]]=1,0,1)</f>
        <v>1</v>
      </c>
    </row>
    <row r="648" spans="1:18" x14ac:dyDescent="0.35">
      <c r="A648">
        <v>2368</v>
      </c>
      <c r="B648" t="s">
        <v>777</v>
      </c>
      <c r="C648" s="1">
        <v>45170.447222222225</v>
      </c>
      <c r="D648" t="s">
        <v>16</v>
      </c>
      <c r="E648" t="s">
        <v>94</v>
      </c>
      <c r="F648" t="s">
        <v>646</v>
      </c>
      <c r="G648" t="s">
        <v>362</v>
      </c>
      <c r="H648">
        <v>225</v>
      </c>
      <c r="I648">
        <v>19</v>
      </c>
      <c r="J648" t="s">
        <v>27</v>
      </c>
      <c r="K648" t="s">
        <v>33</v>
      </c>
      <c r="L648" t="s">
        <v>22</v>
      </c>
      <c r="M648" t="s">
        <v>23</v>
      </c>
      <c r="N648">
        <v>0</v>
      </c>
      <c r="O648">
        <v>0</v>
      </c>
      <c r="P648" s="8">
        <f>INT(Delivery_data[[#This Row],[Order Timestamp]])</f>
        <v>45170</v>
      </c>
      <c r="Q648">
        <f ca="1">IF(Delivery_data[[#This Row],[Order Status]]="In Progress", TODAY()-Delivery_data[[#This Row],[Order Date]], "")</f>
        <v>813</v>
      </c>
      <c r="R648">
        <f>IF(Delivery_data[[#This Row],[On Time]]=1,0,1)</f>
        <v>1</v>
      </c>
    </row>
    <row r="649" spans="1:18" x14ac:dyDescent="0.35">
      <c r="A649">
        <v>2375</v>
      </c>
      <c r="B649" t="s">
        <v>778</v>
      </c>
      <c r="C649" s="1">
        <v>45173.695138888892</v>
      </c>
      <c r="D649" t="s">
        <v>25</v>
      </c>
      <c r="E649" t="s">
        <v>252</v>
      </c>
      <c r="F649" t="s">
        <v>646</v>
      </c>
      <c r="G649" t="s">
        <v>233</v>
      </c>
      <c r="H649">
        <v>176</v>
      </c>
      <c r="I649">
        <v>15</v>
      </c>
      <c r="J649" t="s">
        <v>27</v>
      </c>
      <c r="K649" t="s">
        <v>38</v>
      </c>
      <c r="L649" t="s">
        <v>22</v>
      </c>
      <c r="M649" t="s">
        <v>30</v>
      </c>
      <c r="N649">
        <v>0</v>
      </c>
      <c r="O649">
        <v>0</v>
      </c>
      <c r="P649" s="8">
        <f>INT(Delivery_data[[#This Row],[Order Timestamp]])</f>
        <v>45173</v>
      </c>
      <c r="Q649" t="str">
        <f ca="1">IF(Delivery_data[[#This Row],[Order Status]]="In Progress", TODAY()-Delivery_data[[#This Row],[Order Date]], "")</f>
        <v/>
      </c>
      <c r="R649">
        <f>IF(Delivery_data[[#This Row],[On Time]]=1,0,1)</f>
        <v>1</v>
      </c>
    </row>
    <row r="650" spans="1:18" x14ac:dyDescent="0.35">
      <c r="A650">
        <v>2381</v>
      </c>
      <c r="B650" t="s">
        <v>779</v>
      </c>
      <c r="C650" s="1">
        <v>45171.392361111109</v>
      </c>
      <c r="D650" t="s">
        <v>25</v>
      </c>
      <c r="E650" t="s">
        <v>195</v>
      </c>
      <c r="F650" t="s">
        <v>646</v>
      </c>
      <c r="G650" t="s">
        <v>233</v>
      </c>
      <c r="H650">
        <v>145</v>
      </c>
      <c r="I650">
        <v>11</v>
      </c>
      <c r="J650" t="s">
        <v>20</v>
      </c>
      <c r="K650" t="s">
        <v>38</v>
      </c>
      <c r="L650" t="s">
        <v>22</v>
      </c>
      <c r="M650" t="s">
        <v>30</v>
      </c>
      <c r="N650">
        <v>0</v>
      </c>
      <c r="O650">
        <v>0</v>
      </c>
      <c r="P650" s="8">
        <f>INT(Delivery_data[[#This Row],[Order Timestamp]])</f>
        <v>45171</v>
      </c>
      <c r="Q650" t="str">
        <f ca="1">IF(Delivery_data[[#This Row],[Order Status]]="In Progress", TODAY()-Delivery_data[[#This Row],[Order Date]], "")</f>
        <v/>
      </c>
      <c r="R650">
        <f>IF(Delivery_data[[#This Row],[On Time]]=1,0,1)</f>
        <v>1</v>
      </c>
    </row>
    <row r="651" spans="1:18" x14ac:dyDescent="0.35">
      <c r="A651">
        <v>2388</v>
      </c>
      <c r="B651" t="s">
        <v>780</v>
      </c>
      <c r="C651" s="1">
        <v>45177.519444444442</v>
      </c>
      <c r="D651" t="s">
        <v>25</v>
      </c>
      <c r="E651" t="s">
        <v>511</v>
      </c>
      <c r="F651" t="s">
        <v>646</v>
      </c>
      <c r="G651" t="s">
        <v>557</v>
      </c>
      <c r="H651">
        <v>201</v>
      </c>
      <c r="I651">
        <v>15</v>
      </c>
      <c r="J651" t="s">
        <v>20</v>
      </c>
      <c r="K651" t="s">
        <v>38</v>
      </c>
      <c r="L651" t="s">
        <v>22</v>
      </c>
      <c r="M651" t="s">
        <v>23</v>
      </c>
      <c r="N651">
        <v>0</v>
      </c>
      <c r="O651">
        <v>0</v>
      </c>
      <c r="P651" s="8">
        <f>INT(Delivery_data[[#This Row],[Order Timestamp]])</f>
        <v>45177</v>
      </c>
      <c r="Q651" t="str">
        <f ca="1">IF(Delivery_data[[#This Row],[Order Status]]="In Progress", TODAY()-Delivery_data[[#This Row],[Order Date]], "")</f>
        <v/>
      </c>
      <c r="R651">
        <f>IF(Delivery_data[[#This Row],[On Time]]=1,0,1)</f>
        <v>1</v>
      </c>
    </row>
    <row r="652" spans="1:18" x14ac:dyDescent="0.35">
      <c r="A652">
        <v>2391</v>
      </c>
      <c r="B652" t="s">
        <v>781</v>
      </c>
      <c r="C652" s="1">
        <v>45172.473611111112</v>
      </c>
      <c r="D652" t="s">
        <v>16</v>
      </c>
      <c r="E652" t="s">
        <v>184</v>
      </c>
      <c r="F652" t="s">
        <v>646</v>
      </c>
      <c r="G652" t="s">
        <v>557</v>
      </c>
      <c r="H652">
        <v>99</v>
      </c>
      <c r="I652">
        <v>15</v>
      </c>
      <c r="J652" t="s">
        <v>35</v>
      </c>
      <c r="K652" t="s">
        <v>21</v>
      </c>
      <c r="L652" t="s">
        <v>22</v>
      </c>
      <c r="M652" t="s">
        <v>23</v>
      </c>
      <c r="N652">
        <v>0</v>
      </c>
      <c r="O652">
        <v>1</v>
      </c>
      <c r="P652" s="8">
        <f>INT(Delivery_data[[#This Row],[Order Timestamp]])</f>
        <v>45172</v>
      </c>
      <c r="Q652">
        <f ca="1">IF(Delivery_data[[#This Row],[Order Status]]="In Progress", TODAY()-Delivery_data[[#This Row],[Order Date]], "")</f>
        <v>811</v>
      </c>
      <c r="R652">
        <f>IF(Delivery_data[[#This Row],[On Time]]=1,0,1)</f>
        <v>1</v>
      </c>
    </row>
    <row r="653" spans="1:18" x14ac:dyDescent="0.35">
      <c r="A653">
        <v>2395</v>
      </c>
      <c r="B653" t="s">
        <v>782</v>
      </c>
      <c r="C653" s="1">
        <v>45174.633333333331</v>
      </c>
      <c r="D653" t="s">
        <v>25</v>
      </c>
      <c r="E653" t="s">
        <v>325</v>
      </c>
      <c r="F653" t="s">
        <v>646</v>
      </c>
      <c r="G653" t="s">
        <v>233</v>
      </c>
      <c r="H653">
        <v>157</v>
      </c>
      <c r="I653">
        <v>9</v>
      </c>
      <c r="J653" t="s">
        <v>35</v>
      </c>
      <c r="K653" t="s">
        <v>33</v>
      </c>
      <c r="L653" t="s">
        <v>22</v>
      </c>
      <c r="M653" t="s">
        <v>39</v>
      </c>
      <c r="N653">
        <v>0</v>
      </c>
      <c r="O653">
        <v>1</v>
      </c>
      <c r="P653" s="8">
        <f>INT(Delivery_data[[#This Row],[Order Timestamp]])</f>
        <v>45174</v>
      </c>
      <c r="Q653" t="str">
        <f ca="1">IF(Delivery_data[[#This Row],[Order Status]]="In Progress", TODAY()-Delivery_data[[#This Row],[Order Date]], "")</f>
        <v/>
      </c>
      <c r="R653">
        <f>IF(Delivery_data[[#This Row],[On Time]]=1,0,1)</f>
        <v>1</v>
      </c>
    </row>
    <row r="654" spans="1:18" x14ac:dyDescent="0.35">
      <c r="A654">
        <v>2402</v>
      </c>
      <c r="B654" t="s">
        <v>783</v>
      </c>
      <c r="C654" s="1">
        <v>45172.46875</v>
      </c>
      <c r="D654" t="s">
        <v>16</v>
      </c>
      <c r="E654" t="s">
        <v>204</v>
      </c>
      <c r="F654" t="s">
        <v>646</v>
      </c>
      <c r="G654" t="s">
        <v>362</v>
      </c>
      <c r="H654">
        <v>149</v>
      </c>
      <c r="I654">
        <v>18</v>
      </c>
      <c r="J654" t="s">
        <v>27</v>
      </c>
      <c r="K654" t="s">
        <v>21</v>
      </c>
      <c r="L654" t="s">
        <v>22</v>
      </c>
      <c r="M654" t="s">
        <v>39</v>
      </c>
      <c r="N654">
        <v>0</v>
      </c>
      <c r="O654">
        <v>0</v>
      </c>
      <c r="P654" s="8">
        <f>INT(Delivery_data[[#This Row],[Order Timestamp]])</f>
        <v>45172</v>
      </c>
      <c r="Q654">
        <f ca="1">IF(Delivery_data[[#This Row],[Order Status]]="In Progress", TODAY()-Delivery_data[[#This Row],[Order Date]], "")</f>
        <v>811</v>
      </c>
      <c r="R654">
        <f>IF(Delivery_data[[#This Row],[On Time]]=1,0,1)</f>
        <v>1</v>
      </c>
    </row>
    <row r="655" spans="1:18" x14ac:dyDescent="0.35">
      <c r="A655">
        <v>2403</v>
      </c>
      <c r="B655" t="s">
        <v>784</v>
      </c>
      <c r="C655" s="1">
        <v>45170.624305555553</v>
      </c>
      <c r="D655" t="s">
        <v>25</v>
      </c>
      <c r="E655" t="s">
        <v>212</v>
      </c>
      <c r="F655" t="s">
        <v>646</v>
      </c>
      <c r="G655" t="s">
        <v>233</v>
      </c>
      <c r="H655">
        <v>130</v>
      </c>
      <c r="I655">
        <v>6</v>
      </c>
      <c r="J655" t="s">
        <v>20</v>
      </c>
      <c r="K655" t="s">
        <v>33</v>
      </c>
      <c r="L655" t="s">
        <v>22</v>
      </c>
      <c r="M655" t="s">
        <v>30</v>
      </c>
      <c r="N655">
        <v>0</v>
      </c>
      <c r="O655">
        <v>0</v>
      </c>
      <c r="P655" s="8">
        <f>INT(Delivery_data[[#This Row],[Order Timestamp]])</f>
        <v>45170</v>
      </c>
      <c r="Q655" t="str">
        <f ca="1">IF(Delivery_data[[#This Row],[Order Status]]="In Progress", TODAY()-Delivery_data[[#This Row],[Order Date]], "")</f>
        <v/>
      </c>
      <c r="R655">
        <f>IF(Delivery_data[[#This Row],[On Time]]=1,0,1)</f>
        <v>1</v>
      </c>
    </row>
    <row r="656" spans="1:18" x14ac:dyDescent="0.35">
      <c r="A656">
        <v>2428</v>
      </c>
      <c r="B656" t="s">
        <v>785</v>
      </c>
      <c r="C656" s="1">
        <v>45175.693055555559</v>
      </c>
      <c r="D656" t="s">
        <v>16</v>
      </c>
      <c r="E656" t="s">
        <v>158</v>
      </c>
      <c r="F656" t="s">
        <v>646</v>
      </c>
      <c r="G656" t="s">
        <v>557</v>
      </c>
      <c r="H656">
        <v>109</v>
      </c>
      <c r="I656">
        <v>27</v>
      </c>
      <c r="J656" t="s">
        <v>20</v>
      </c>
      <c r="K656" t="s">
        <v>38</v>
      </c>
      <c r="L656" t="s">
        <v>22</v>
      </c>
      <c r="M656" t="s">
        <v>39</v>
      </c>
      <c r="N656">
        <v>0</v>
      </c>
      <c r="O656">
        <v>0</v>
      </c>
      <c r="P656" s="8">
        <f>INT(Delivery_data[[#This Row],[Order Timestamp]])</f>
        <v>45175</v>
      </c>
      <c r="Q656">
        <f ca="1">IF(Delivery_data[[#This Row],[Order Status]]="In Progress", TODAY()-Delivery_data[[#This Row],[Order Date]], "")</f>
        <v>808</v>
      </c>
      <c r="R656">
        <f>IF(Delivery_data[[#This Row],[On Time]]=1,0,1)</f>
        <v>1</v>
      </c>
    </row>
    <row r="657" spans="1:18" x14ac:dyDescent="0.35">
      <c r="A657">
        <v>2429</v>
      </c>
      <c r="B657" t="s">
        <v>786</v>
      </c>
      <c r="C657" s="1">
        <v>45170.634722222225</v>
      </c>
      <c r="D657" t="s">
        <v>16</v>
      </c>
      <c r="E657" t="s">
        <v>279</v>
      </c>
      <c r="F657" t="s">
        <v>646</v>
      </c>
      <c r="G657" t="s">
        <v>557</v>
      </c>
      <c r="H657">
        <v>63</v>
      </c>
      <c r="I657">
        <v>17</v>
      </c>
      <c r="J657" t="s">
        <v>20</v>
      </c>
      <c r="K657" t="s">
        <v>21</v>
      </c>
      <c r="L657" t="s">
        <v>22</v>
      </c>
      <c r="M657" t="s">
        <v>23</v>
      </c>
      <c r="N657">
        <v>0</v>
      </c>
      <c r="O657">
        <v>0</v>
      </c>
      <c r="P657" s="8">
        <f>INT(Delivery_data[[#This Row],[Order Timestamp]])</f>
        <v>45170</v>
      </c>
      <c r="Q657">
        <f ca="1">IF(Delivery_data[[#This Row],[Order Status]]="In Progress", TODAY()-Delivery_data[[#This Row],[Order Date]], "")</f>
        <v>813</v>
      </c>
      <c r="R657">
        <f>IF(Delivery_data[[#This Row],[On Time]]=1,0,1)</f>
        <v>1</v>
      </c>
    </row>
    <row r="658" spans="1:18" x14ac:dyDescent="0.35">
      <c r="A658">
        <v>2430</v>
      </c>
      <c r="B658" t="s">
        <v>787</v>
      </c>
      <c r="C658" s="1">
        <v>45173.706250000003</v>
      </c>
      <c r="D658" t="s">
        <v>16</v>
      </c>
      <c r="E658" t="s">
        <v>53</v>
      </c>
      <c r="F658" t="s">
        <v>646</v>
      </c>
      <c r="G658" t="s">
        <v>362</v>
      </c>
      <c r="H658">
        <v>149</v>
      </c>
      <c r="I658">
        <v>28</v>
      </c>
      <c r="J658" t="s">
        <v>20</v>
      </c>
      <c r="K658" t="s">
        <v>28</v>
      </c>
      <c r="L658" t="s">
        <v>22</v>
      </c>
      <c r="M658" t="s">
        <v>39</v>
      </c>
      <c r="N658">
        <v>0</v>
      </c>
      <c r="O658">
        <v>0</v>
      </c>
      <c r="P658" s="8">
        <f>INT(Delivery_data[[#This Row],[Order Timestamp]])</f>
        <v>45173</v>
      </c>
      <c r="Q658">
        <f ca="1">IF(Delivery_data[[#This Row],[Order Status]]="In Progress", TODAY()-Delivery_data[[#This Row],[Order Date]], "")</f>
        <v>810</v>
      </c>
      <c r="R658">
        <f>IF(Delivery_data[[#This Row],[On Time]]=1,0,1)</f>
        <v>1</v>
      </c>
    </row>
    <row r="659" spans="1:18" x14ac:dyDescent="0.35">
      <c r="A659">
        <v>2433</v>
      </c>
      <c r="B659" t="s">
        <v>788</v>
      </c>
      <c r="C659" s="1">
        <v>45174.679166666669</v>
      </c>
      <c r="D659" t="s">
        <v>25</v>
      </c>
      <c r="E659" t="s">
        <v>191</v>
      </c>
      <c r="F659" t="s">
        <v>646</v>
      </c>
      <c r="G659" t="s">
        <v>463</v>
      </c>
      <c r="H659">
        <v>195</v>
      </c>
      <c r="I659">
        <v>25</v>
      </c>
      <c r="J659" t="s">
        <v>35</v>
      </c>
      <c r="K659" t="s">
        <v>33</v>
      </c>
      <c r="L659" t="s">
        <v>22</v>
      </c>
      <c r="M659" t="s">
        <v>30</v>
      </c>
      <c r="N659">
        <v>0</v>
      </c>
      <c r="O659">
        <v>1</v>
      </c>
      <c r="P659" s="8">
        <f>INT(Delivery_data[[#This Row],[Order Timestamp]])</f>
        <v>45174</v>
      </c>
      <c r="Q659" t="str">
        <f ca="1">IF(Delivery_data[[#This Row],[Order Status]]="In Progress", TODAY()-Delivery_data[[#This Row],[Order Date]], "")</f>
        <v/>
      </c>
      <c r="R659">
        <f>IF(Delivery_data[[#This Row],[On Time]]=1,0,1)</f>
        <v>1</v>
      </c>
    </row>
    <row r="660" spans="1:18" x14ac:dyDescent="0.35">
      <c r="A660">
        <v>2441</v>
      </c>
      <c r="B660" t="s">
        <v>789</v>
      </c>
      <c r="C660" s="1">
        <v>45177.394444444442</v>
      </c>
      <c r="D660" t="s">
        <v>25</v>
      </c>
      <c r="E660" t="s">
        <v>126</v>
      </c>
      <c r="F660" t="s">
        <v>646</v>
      </c>
      <c r="G660" t="s">
        <v>557</v>
      </c>
      <c r="H660">
        <v>90</v>
      </c>
      <c r="I660">
        <v>10</v>
      </c>
      <c r="J660" t="s">
        <v>35</v>
      </c>
      <c r="K660" t="s">
        <v>28</v>
      </c>
      <c r="L660" t="s">
        <v>22</v>
      </c>
      <c r="M660" t="s">
        <v>23</v>
      </c>
      <c r="N660">
        <v>0</v>
      </c>
      <c r="O660">
        <v>1</v>
      </c>
      <c r="P660" s="8">
        <f>INT(Delivery_data[[#This Row],[Order Timestamp]])</f>
        <v>45177</v>
      </c>
      <c r="Q660" t="str">
        <f ca="1">IF(Delivery_data[[#This Row],[Order Status]]="In Progress", TODAY()-Delivery_data[[#This Row],[Order Date]], "")</f>
        <v/>
      </c>
      <c r="R660">
        <f>IF(Delivery_data[[#This Row],[On Time]]=1,0,1)</f>
        <v>1</v>
      </c>
    </row>
    <row r="661" spans="1:18" x14ac:dyDescent="0.35">
      <c r="A661">
        <v>2453</v>
      </c>
      <c r="B661" t="s">
        <v>790</v>
      </c>
      <c r="C661" s="1">
        <v>45171.620833333334</v>
      </c>
      <c r="D661" t="s">
        <v>16</v>
      </c>
      <c r="E661" t="s">
        <v>64</v>
      </c>
      <c r="F661" t="s">
        <v>646</v>
      </c>
      <c r="G661" t="s">
        <v>233</v>
      </c>
      <c r="H661">
        <v>77</v>
      </c>
      <c r="I661">
        <v>12</v>
      </c>
      <c r="J661" t="s">
        <v>27</v>
      </c>
      <c r="K661" t="s">
        <v>51</v>
      </c>
      <c r="L661" t="s">
        <v>22</v>
      </c>
      <c r="M661" t="s">
        <v>23</v>
      </c>
      <c r="N661">
        <v>0</v>
      </c>
      <c r="O661">
        <v>0</v>
      </c>
      <c r="P661" s="8">
        <f>INT(Delivery_data[[#This Row],[Order Timestamp]])</f>
        <v>45171</v>
      </c>
      <c r="Q661">
        <f ca="1">IF(Delivery_data[[#This Row],[Order Status]]="In Progress", TODAY()-Delivery_data[[#This Row],[Order Date]], "")</f>
        <v>812</v>
      </c>
      <c r="R661">
        <f>IF(Delivery_data[[#This Row],[On Time]]=1,0,1)</f>
        <v>1</v>
      </c>
    </row>
    <row r="662" spans="1:18" x14ac:dyDescent="0.35">
      <c r="A662">
        <v>2466</v>
      </c>
      <c r="B662" t="s">
        <v>791</v>
      </c>
      <c r="C662" s="1">
        <v>45170.657638888886</v>
      </c>
      <c r="D662" t="s">
        <v>25</v>
      </c>
      <c r="E662" t="s">
        <v>342</v>
      </c>
      <c r="F662" t="s">
        <v>646</v>
      </c>
      <c r="G662" t="s">
        <v>557</v>
      </c>
      <c r="H662">
        <v>170</v>
      </c>
      <c r="I662">
        <v>21</v>
      </c>
      <c r="J662" t="s">
        <v>20</v>
      </c>
      <c r="K662" t="s">
        <v>28</v>
      </c>
      <c r="L662" t="s">
        <v>22</v>
      </c>
      <c r="M662" t="s">
        <v>23</v>
      </c>
      <c r="N662">
        <v>0</v>
      </c>
      <c r="O662">
        <v>0</v>
      </c>
      <c r="P662" s="8">
        <f>INT(Delivery_data[[#This Row],[Order Timestamp]])</f>
        <v>45170</v>
      </c>
      <c r="Q662" t="str">
        <f ca="1">IF(Delivery_data[[#This Row],[Order Status]]="In Progress", TODAY()-Delivery_data[[#This Row],[Order Date]], "")</f>
        <v/>
      </c>
      <c r="R662">
        <f>IF(Delivery_data[[#This Row],[On Time]]=1,0,1)</f>
        <v>1</v>
      </c>
    </row>
    <row r="663" spans="1:18" x14ac:dyDescent="0.35">
      <c r="A663">
        <v>2470</v>
      </c>
      <c r="B663" t="s">
        <v>792</v>
      </c>
      <c r="C663" s="1">
        <v>45173.375</v>
      </c>
      <c r="D663" t="s">
        <v>16</v>
      </c>
      <c r="E663" t="s">
        <v>117</v>
      </c>
      <c r="F663" t="s">
        <v>646</v>
      </c>
      <c r="G663" t="s">
        <v>233</v>
      </c>
      <c r="H663">
        <v>128</v>
      </c>
      <c r="I663">
        <v>2</v>
      </c>
      <c r="J663" t="s">
        <v>27</v>
      </c>
      <c r="K663" t="s">
        <v>38</v>
      </c>
      <c r="L663" t="s">
        <v>22</v>
      </c>
      <c r="M663" t="s">
        <v>39</v>
      </c>
      <c r="N663">
        <v>0</v>
      </c>
      <c r="O663">
        <v>0</v>
      </c>
      <c r="P663" s="8">
        <f>INT(Delivery_data[[#This Row],[Order Timestamp]])</f>
        <v>45173</v>
      </c>
      <c r="Q663">
        <f ca="1">IF(Delivery_data[[#This Row],[Order Status]]="In Progress", TODAY()-Delivery_data[[#This Row],[Order Date]], "")</f>
        <v>810</v>
      </c>
      <c r="R663">
        <f>IF(Delivery_data[[#This Row],[On Time]]=1,0,1)</f>
        <v>1</v>
      </c>
    </row>
    <row r="664" spans="1:18" x14ac:dyDescent="0.35">
      <c r="A664">
        <v>2478</v>
      </c>
      <c r="B664" t="s">
        <v>793</v>
      </c>
      <c r="C664" s="1">
        <v>45172.37222222222</v>
      </c>
      <c r="D664" t="s">
        <v>25</v>
      </c>
      <c r="E664" t="s">
        <v>80</v>
      </c>
      <c r="F664" t="s">
        <v>646</v>
      </c>
      <c r="G664" t="s">
        <v>463</v>
      </c>
      <c r="H664">
        <v>158</v>
      </c>
      <c r="I664">
        <v>23</v>
      </c>
      <c r="J664" t="s">
        <v>27</v>
      </c>
      <c r="K664" t="s">
        <v>21</v>
      </c>
      <c r="L664" t="s">
        <v>22</v>
      </c>
      <c r="M664" t="s">
        <v>30</v>
      </c>
      <c r="N664">
        <v>0</v>
      </c>
      <c r="O664">
        <v>0</v>
      </c>
      <c r="P664" s="8">
        <f>INT(Delivery_data[[#This Row],[Order Timestamp]])</f>
        <v>45172</v>
      </c>
      <c r="Q664" t="str">
        <f ca="1">IF(Delivery_data[[#This Row],[Order Status]]="In Progress", TODAY()-Delivery_data[[#This Row],[Order Date]], "")</f>
        <v/>
      </c>
      <c r="R664">
        <f>IF(Delivery_data[[#This Row],[On Time]]=1,0,1)</f>
        <v>1</v>
      </c>
    </row>
    <row r="665" spans="1:18" x14ac:dyDescent="0.35">
      <c r="A665">
        <v>2483</v>
      </c>
      <c r="B665" t="s">
        <v>794</v>
      </c>
      <c r="C665" s="1">
        <v>45177.456944444442</v>
      </c>
      <c r="D665" t="s">
        <v>16</v>
      </c>
      <c r="E665" t="s">
        <v>222</v>
      </c>
      <c r="F665" t="s">
        <v>646</v>
      </c>
      <c r="G665" t="s">
        <v>362</v>
      </c>
      <c r="H665">
        <v>122</v>
      </c>
      <c r="I665">
        <v>7</v>
      </c>
      <c r="J665" t="s">
        <v>27</v>
      </c>
      <c r="K665" t="s">
        <v>28</v>
      </c>
      <c r="L665" t="s">
        <v>22</v>
      </c>
      <c r="M665" t="s">
        <v>39</v>
      </c>
      <c r="N665">
        <v>0</v>
      </c>
      <c r="O665">
        <v>0</v>
      </c>
      <c r="P665" s="8">
        <f>INT(Delivery_data[[#This Row],[Order Timestamp]])</f>
        <v>45177</v>
      </c>
      <c r="Q665">
        <f ca="1">IF(Delivery_data[[#This Row],[Order Status]]="In Progress", TODAY()-Delivery_data[[#This Row],[Order Date]], "")</f>
        <v>806</v>
      </c>
      <c r="R665">
        <f>IF(Delivery_data[[#This Row],[On Time]]=1,0,1)</f>
        <v>1</v>
      </c>
    </row>
    <row r="666" spans="1:18" x14ac:dyDescent="0.35">
      <c r="A666">
        <v>2491</v>
      </c>
      <c r="B666" t="s">
        <v>795</v>
      </c>
      <c r="C666" s="1">
        <v>45173.654166666667</v>
      </c>
      <c r="D666" t="s">
        <v>25</v>
      </c>
      <c r="E666" t="s">
        <v>62</v>
      </c>
      <c r="F666" t="s">
        <v>646</v>
      </c>
      <c r="G666" t="s">
        <v>233</v>
      </c>
      <c r="H666">
        <v>119</v>
      </c>
      <c r="I666">
        <v>17</v>
      </c>
      <c r="J666" t="s">
        <v>35</v>
      </c>
      <c r="K666" t="s">
        <v>33</v>
      </c>
      <c r="L666" t="s">
        <v>22</v>
      </c>
      <c r="M666" t="s">
        <v>23</v>
      </c>
      <c r="N666">
        <v>0</v>
      </c>
      <c r="O666">
        <v>1</v>
      </c>
      <c r="P666" s="8">
        <f>INT(Delivery_data[[#This Row],[Order Timestamp]])</f>
        <v>45173</v>
      </c>
      <c r="Q666" t="str">
        <f ca="1">IF(Delivery_data[[#This Row],[Order Status]]="In Progress", TODAY()-Delivery_data[[#This Row],[Order Date]], "")</f>
        <v/>
      </c>
      <c r="R666">
        <f>IF(Delivery_data[[#This Row],[On Time]]=1,0,1)</f>
        <v>1</v>
      </c>
    </row>
    <row r="667" spans="1:18" x14ac:dyDescent="0.35">
      <c r="A667">
        <v>2498</v>
      </c>
      <c r="B667" t="s">
        <v>796</v>
      </c>
      <c r="C667" s="1">
        <v>45172.362500000003</v>
      </c>
      <c r="D667" t="s">
        <v>16</v>
      </c>
      <c r="E667" t="s">
        <v>245</v>
      </c>
      <c r="F667" t="s">
        <v>646</v>
      </c>
      <c r="G667" t="s">
        <v>463</v>
      </c>
      <c r="H667">
        <v>82</v>
      </c>
      <c r="I667">
        <v>16</v>
      </c>
      <c r="J667" t="s">
        <v>35</v>
      </c>
      <c r="K667" t="s">
        <v>33</v>
      </c>
      <c r="L667" t="s">
        <v>22</v>
      </c>
      <c r="M667" t="s">
        <v>39</v>
      </c>
      <c r="N667">
        <v>0</v>
      </c>
      <c r="O667">
        <v>1</v>
      </c>
      <c r="P667" s="8">
        <f>INT(Delivery_data[[#This Row],[Order Timestamp]])</f>
        <v>45172</v>
      </c>
      <c r="Q667">
        <f ca="1">IF(Delivery_data[[#This Row],[Order Status]]="In Progress", TODAY()-Delivery_data[[#This Row],[Order Date]], "")</f>
        <v>811</v>
      </c>
      <c r="R667">
        <f>IF(Delivery_data[[#This Row],[On Time]]=1,0,1)</f>
        <v>1</v>
      </c>
    </row>
    <row r="668" spans="1:18" x14ac:dyDescent="0.35">
      <c r="A668">
        <v>1005</v>
      </c>
      <c r="B668" t="s">
        <v>797</v>
      </c>
      <c r="C668" s="1">
        <v>45170.474305555559</v>
      </c>
      <c r="D668" t="s">
        <v>25</v>
      </c>
      <c r="E668" t="s">
        <v>214</v>
      </c>
      <c r="F668" t="s">
        <v>646</v>
      </c>
      <c r="G668" t="s">
        <v>557</v>
      </c>
      <c r="H668">
        <v>103</v>
      </c>
      <c r="I668">
        <v>17</v>
      </c>
      <c r="J668" t="s">
        <v>27</v>
      </c>
      <c r="K668" t="s">
        <v>38</v>
      </c>
      <c r="L668" t="s">
        <v>42</v>
      </c>
      <c r="M668" t="s">
        <v>30</v>
      </c>
      <c r="N668">
        <v>0</v>
      </c>
      <c r="O668">
        <v>0</v>
      </c>
      <c r="P668" s="8">
        <f>INT(Delivery_data[[#This Row],[Order Timestamp]])</f>
        <v>45170</v>
      </c>
      <c r="Q668" t="str">
        <f ca="1">IF(Delivery_data[[#This Row],[Order Status]]="In Progress", TODAY()-Delivery_data[[#This Row],[Order Date]], "")</f>
        <v/>
      </c>
      <c r="R668">
        <f>IF(Delivery_data[[#This Row],[On Time]]=1,0,1)</f>
        <v>1</v>
      </c>
    </row>
    <row r="669" spans="1:18" x14ac:dyDescent="0.35">
      <c r="A669">
        <v>1009</v>
      </c>
      <c r="B669" t="s">
        <v>798</v>
      </c>
      <c r="C669" s="1">
        <v>45170.65</v>
      </c>
      <c r="D669" t="s">
        <v>16</v>
      </c>
      <c r="E669" t="s">
        <v>252</v>
      </c>
      <c r="F669" t="s">
        <v>646</v>
      </c>
      <c r="G669" t="s">
        <v>233</v>
      </c>
      <c r="H669">
        <v>135</v>
      </c>
      <c r="I669">
        <v>5</v>
      </c>
      <c r="J669" t="s">
        <v>35</v>
      </c>
      <c r="K669" t="s">
        <v>33</v>
      </c>
      <c r="L669" t="s">
        <v>42</v>
      </c>
      <c r="M669" t="s">
        <v>39</v>
      </c>
      <c r="N669">
        <v>0</v>
      </c>
      <c r="O669">
        <v>1</v>
      </c>
      <c r="P669" s="8">
        <f>INT(Delivery_data[[#This Row],[Order Timestamp]])</f>
        <v>45170</v>
      </c>
      <c r="Q669">
        <f ca="1">IF(Delivery_data[[#This Row],[Order Status]]="In Progress", TODAY()-Delivery_data[[#This Row],[Order Date]], "")</f>
        <v>813</v>
      </c>
      <c r="R669">
        <f>IF(Delivery_data[[#This Row],[On Time]]=1,0,1)</f>
        <v>1</v>
      </c>
    </row>
    <row r="670" spans="1:18" x14ac:dyDescent="0.35">
      <c r="A670">
        <v>1010</v>
      </c>
      <c r="B670" t="s">
        <v>799</v>
      </c>
      <c r="C670" s="1">
        <v>45171.363194444442</v>
      </c>
      <c r="D670" t="s">
        <v>25</v>
      </c>
      <c r="E670" t="s">
        <v>32</v>
      </c>
      <c r="F670" t="s">
        <v>646</v>
      </c>
      <c r="G670" t="s">
        <v>19</v>
      </c>
      <c r="H670">
        <v>233</v>
      </c>
      <c r="I670">
        <v>19</v>
      </c>
      <c r="J670" t="s">
        <v>20</v>
      </c>
      <c r="K670" t="s">
        <v>33</v>
      </c>
      <c r="L670" t="s">
        <v>42</v>
      </c>
      <c r="M670" t="s">
        <v>39</v>
      </c>
      <c r="N670">
        <v>0</v>
      </c>
      <c r="O670">
        <v>0</v>
      </c>
      <c r="P670" s="8">
        <f>INT(Delivery_data[[#This Row],[Order Timestamp]])</f>
        <v>45171</v>
      </c>
      <c r="Q670" t="str">
        <f ca="1">IF(Delivery_data[[#This Row],[Order Status]]="In Progress", TODAY()-Delivery_data[[#This Row],[Order Date]], "")</f>
        <v/>
      </c>
      <c r="R670">
        <f>IF(Delivery_data[[#This Row],[On Time]]=1,0,1)</f>
        <v>1</v>
      </c>
    </row>
    <row r="671" spans="1:18" x14ac:dyDescent="0.35">
      <c r="A671">
        <v>1015</v>
      </c>
      <c r="B671" t="s">
        <v>800</v>
      </c>
      <c r="C671" s="1">
        <v>45172.591666666667</v>
      </c>
      <c r="D671" t="s">
        <v>16</v>
      </c>
      <c r="E671" t="s">
        <v>653</v>
      </c>
      <c r="F671" t="s">
        <v>646</v>
      </c>
      <c r="G671" t="s">
        <v>19</v>
      </c>
      <c r="H671">
        <v>75</v>
      </c>
      <c r="I671">
        <v>26</v>
      </c>
      <c r="J671" t="s">
        <v>35</v>
      </c>
      <c r="K671" t="s">
        <v>28</v>
      </c>
      <c r="L671" t="s">
        <v>42</v>
      </c>
      <c r="M671" t="s">
        <v>39</v>
      </c>
      <c r="N671">
        <v>0</v>
      </c>
      <c r="O671">
        <v>1</v>
      </c>
      <c r="P671" s="8">
        <f>INT(Delivery_data[[#This Row],[Order Timestamp]])</f>
        <v>45172</v>
      </c>
      <c r="Q671">
        <f ca="1">IF(Delivery_data[[#This Row],[Order Status]]="In Progress", TODAY()-Delivery_data[[#This Row],[Order Date]], "")</f>
        <v>811</v>
      </c>
      <c r="R671">
        <f>IF(Delivery_data[[#This Row],[On Time]]=1,0,1)</f>
        <v>1</v>
      </c>
    </row>
    <row r="672" spans="1:18" x14ac:dyDescent="0.35">
      <c r="A672">
        <v>1031</v>
      </c>
      <c r="B672" t="s">
        <v>801</v>
      </c>
      <c r="C672" s="1">
        <v>45174.647916666669</v>
      </c>
      <c r="D672" t="s">
        <v>16</v>
      </c>
      <c r="E672" t="s">
        <v>356</v>
      </c>
      <c r="F672" t="s">
        <v>646</v>
      </c>
      <c r="G672" t="s">
        <v>362</v>
      </c>
      <c r="H672">
        <v>126</v>
      </c>
      <c r="I672">
        <v>2</v>
      </c>
      <c r="J672" t="s">
        <v>35</v>
      </c>
      <c r="K672" t="s">
        <v>21</v>
      </c>
      <c r="L672" t="s">
        <v>42</v>
      </c>
      <c r="M672" t="s">
        <v>30</v>
      </c>
      <c r="N672">
        <v>0</v>
      </c>
      <c r="O672">
        <v>1</v>
      </c>
      <c r="P672" s="8">
        <f>INT(Delivery_data[[#This Row],[Order Timestamp]])</f>
        <v>45174</v>
      </c>
      <c r="Q672">
        <f ca="1">IF(Delivery_data[[#This Row],[Order Status]]="In Progress", TODAY()-Delivery_data[[#This Row],[Order Date]], "")</f>
        <v>809</v>
      </c>
      <c r="R672">
        <f>IF(Delivery_data[[#This Row],[On Time]]=1,0,1)</f>
        <v>1</v>
      </c>
    </row>
    <row r="673" spans="1:18" x14ac:dyDescent="0.35">
      <c r="A673">
        <v>1041</v>
      </c>
      <c r="B673" t="s">
        <v>802</v>
      </c>
      <c r="C673" s="1">
        <v>45170.470138888886</v>
      </c>
      <c r="D673" t="s">
        <v>25</v>
      </c>
      <c r="E673" t="s">
        <v>76</v>
      </c>
      <c r="F673" t="s">
        <v>646</v>
      </c>
      <c r="G673" t="s">
        <v>233</v>
      </c>
      <c r="H673">
        <v>166</v>
      </c>
      <c r="I673">
        <v>5</v>
      </c>
      <c r="J673" t="s">
        <v>20</v>
      </c>
      <c r="K673" t="s">
        <v>28</v>
      </c>
      <c r="L673" t="s">
        <v>42</v>
      </c>
      <c r="M673" t="s">
        <v>23</v>
      </c>
      <c r="N673">
        <v>0</v>
      </c>
      <c r="O673">
        <v>0</v>
      </c>
      <c r="P673" s="8">
        <f>INT(Delivery_data[[#This Row],[Order Timestamp]])</f>
        <v>45170</v>
      </c>
      <c r="Q673" t="str">
        <f ca="1">IF(Delivery_data[[#This Row],[Order Status]]="In Progress", TODAY()-Delivery_data[[#This Row],[Order Date]], "")</f>
        <v/>
      </c>
      <c r="R673">
        <f>IF(Delivery_data[[#This Row],[On Time]]=1,0,1)</f>
        <v>1</v>
      </c>
    </row>
    <row r="674" spans="1:18" x14ac:dyDescent="0.35">
      <c r="A674">
        <v>1044</v>
      </c>
      <c r="B674" t="s">
        <v>803</v>
      </c>
      <c r="C674" s="1">
        <v>45174.388888888891</v>
      </c>
      <c r="D674" t="s">
        <v>25</v>
      </c>
      <c r="E674" t="s">
        <v>98</v>
      </c>
      <c r="F674" t="s">
        <v>646</v>
      </c>
      <c r="G674" t="s">
        <v>362</v>
      </c>
      <c r="H674">
        <v>114</v>
      </c>
      <c r="I674">
        <v>1</v>
      </c>
      <c r="J674" t="s">
        <v>27</v>
      </c>
      <c r="K674" t="s">
        <v>38</v>
      </c>
      <c r="L674" t="s">
        <v>42</v>
      </c>
      <c r="M674" t="s">
        <v>23</v>
      </c>
      <c r="N674">
        <v>0</v>
      </c>
      <c r="O674">
        <v>0</v>
      </c>
      <c r="P674" s="8">
        <f>INT(Delivery_data[[#This Row],[Order Timestamp]])</f>
        <v>45174</v>
      </c>
      <c r="Q674" t="str">
        <f ca="1">IF(Delivery_data[[#This Row],[Order Status]]="In Progress", TODAY()-Delivery_data[[#This Row],[Order Date]], "")</f>
        <v/>
      </c>
      <c r="R674">
        <f>IF(Delivery_data[[#This Row],[On Time]]=1,0,1)</f>
        <v>1</v>
      </c>
    </row>
    <row r="675" spans="1:18" x14ac:dyDescent="0.35">
      <c r="A675">
        <v>1063</v>
      </c>
      <c r="B675" t="s">
        <v>804</v>
      </c>
      <c r="C675" s="1">
        <v>45176.565972222219</v>
      </c>
      <c r="D675" t="s">
        <v>16</v>
      </c>
      <c r="E675" t="s">
        <v>314</v>
      </c>
      <c r="F675" t="s">
        <v>646</v>
      </c>
      <c r="G675" t="s">
        <v>19</v>
      </c>
      <c r="H675">
        <v>64</v>
      </c>
      <c r="I675">
        <v>20</v>
      </c>
      <c r="J675" t="s">
        <v>20</v>
      </c>
      <c r="K675" t="s">
        <v>28</v>
      </c>
      <c r="L675" t="s">
        <v>42</v>
      </c>
      <c r="M675" t="s">
        <v>39</v>
      </c>
      <c r="N675">
        <v>0</v>
      </c>
      <c r="O675">
        <v>0</v>
      </c>
      <c r="P675" s="8">
        <f>INT(Delivery_data[[#This Row],[Order Timestamp]])</f>
        <v>45176</v>
      </c>
      <c r="Q675">
        <f ca="1">IF(Delivery_data[[#This Row],[Order Status]]="In Progress", TODAY()-Delivery_data[[#This Row],[Order Date]], "")</f>
        <v>807</v>
      </c>
      <c r="R675">
        <f>IF(Delivery_data[[#This Row],[On Time]]=1,0,1)</f>
        <v>1</v>
      </c>
    </row>
    <row r="676" spans="1:18" x14ac:dyDescent="0.35">
      <c r="A676">
        <v>1083</v>
      </c>
      <c r="B676" t="s">
        <v>805</v>
      </c>
      <c r="C676" s="1">
        <v>45177.556250000001</v>
      </c>
      <c r="D676" t="s">
        <v>16</v>
      </c>
      <c r="E676" t="s">
        <v>87</v>
      </c>
      <c r="F676" t="s">
        <v>646</v>
      </c>
      <c r="G676" t="s">
        <v>463</v>
      </c>
      <c r="H676">
        <v>63</v>
      </c>
      <c r="I676">
        <v>19</v>
      </c>
      <c r="J676" t="s">
        <v>27</v>
      </c>
      <c r="K676" t="s">
        <v>21</v>
      </c>
      <c r="L676" t="s">
        <v>42</v>
      </c>
      <c r="M676" t="s">
        <v>30</v>
      </c>
      <c r="N676">
        <v>0</v>
      </c>
      <c r="O676">
        <v>0</v>
      </c>
      <c r="P676" s="8">
        <f>INT(Delivery_data[[#This Row],[Order Timestamp]])</f>
        <v>45177</v>
      </c>
      <c r="Q676">
        <f ca="1">IF(Delivery_data[[#This Row],[Order Status]]="In Progress", TODAY()-Delivery_data[[#This Row],[Order Date]], "")</f>
        <v>806</v>
      </c>
      <c r="R676">
        <f>IF(Delivery_data[[#This Row],[On Time]]=1,0,1)</f>
        <v>1</v>
      </c>
    </row>
    <row r="677" spans="1:18" x14ac:dyDescent="0.35">
      <c r="A677">
        <v>1093</v>
      </c>
      <c r="B677" t="s">
        <v>806</v>
      </c>
      <c r="C677" s="1">
        <v>45172.432638888888</v>
      </c>
      <c r="D677" t="s">
        <v>25</v>
      </c>
      <c r="E677" t="s">
        <v>653</v>
      </c>
      <c r="F677" t="s">
        <v>646</v>
      </c>
      <c r="G677" t="s">
        <v>362</v>
      </c>
      <c r="H677">
        <v>167</v>
      </c>
      <c r="I677">
        <v>24</v>
      </c>
      <c r="J677" t="s">
        <v>27</v>
      </c>
      <c r="K677" t="s">
        <v>21</v>
      </c>
      <c r="L677" t="s">
        <v>42</v>
      </c>
      <c r="M677" t="s">
        <v>39</v>
      </c>
      <c r="N677">
        <v>0</v>
      </c>
      <c r="O677">
        <v>0</v>
      </c>
      <c r="P677" s="8">
        <f>INT(Delivery_data[[#This Row],[Order Timestamp]])</f>
        <v>45172</v>
      </c>
      <c r="Q677" t="str">
        <f ca="1">IF(Delivery_data[[#This Row],[Order Status]]="In Progress", TODAY()-Delivery_data[[#This Row],[Order Date]], "")</f>
        <v/>
      </c>
      <c r="R677">
        <f>IF(Delivery_data[[#This Row],[On Time]]=1,0,1)</f>
        <v>1</v>
      </c>
    </row>
    <row r="678" spans="1:18" x14ac:dyDescent="0.35">
      <c r="A678">
        <v>1103</v>
      </c>
      <c r="B678" t="s">
        <v>241</v>
      </c>
      <c r="C678" s="1">
        <v>45172.521527777775</v>
      </c>
      <c r="D678" t="s">
        <v>25</v>
      </c>
      <c r="E678" t="s">
        <v>284</v>
      </c>
      <c r="F678" t="s">
        <v>646</v>
      </c>
      <c r="G678" t="s">
        <v>463</v>
      </c>
      <c r="H678">
        <v>173</v>
      </c>
      <c r="I678">
        <v>4</v>
      </c>
      <c r="J678" t="s">
        <v>27</v>
      </c>
      <c r="K678" t="s">
        <v>38</v>
      </c>
      <c r="L678" t="s">
        <v>42</v>
      </c>
      <c r="M678" t="s">
        <v>23</v>
      </c>
      <c r="N678">
        <v>0</v>
      </c>
      <c r="O678">
        <v>0</v>
      </c>
      <c r="P678" s="8">
        <f>INT(Delivery_data[[#This Row],[Order Timestamp]])</f>
        <v>45172</v>
      </c>
      <c r="Q678" t="str">
        <f ca="1">IF(Delivery_data[[#This Row],[Order Status]]="In Progress", TODAY()-Delivery_data[[#This Row],[Order Date]], "")</f>
        <v/>
      </c>
      <c r="R678">
        <f>IF(Delivery_data[[#This Row],[On Time]]=1,0,1)</f>
        <v>1</v>
      </c>
    </row>
    <row r="679" spans="1:18" x14ac:dyDescent="0.35">
      <c r="A679">
        <v>1116</v>
      </c>
      <c r="B679" t="s">
        <v>807</v>
      </c>
      <c r="C679" s="1">
        <v>45170.392361111109</v>
      </c>
      <c r="D679" t="s">
        <v>16</v>
      </c>
      <c r="E679" t="s">
        <v>279</v>
      </c>
      <c r="F679" t="s">
        <v>646</v>
      </c>
      <c r="G679" t="s">
        <v>19</v>
      </c>
      <c r="H679">
        <v>117</v>
      </c>
      <c r="I679">
        <v>15</v>
      </c>
      <c r="J679" t="s">
        <v>20</v>
      </c>
      <c r="K679" t="s">
        <v>38</v>
      </c>
      <c r="L679" t="s">
        <v>42</v>
      </c>
      <c r="M679" t="s">
        <v>30</v>
      </c>
      <c r="N679">
        <v>0</v>
      </c>
      <c r="O679">
        <v>0</v>
      </c>
      <c r="P679" s="8">
        <f>INT(Delivery_data[[#This Row],[Order Timestamp]])</f>
        <v>45170</v>
      </c>
      <c r="Q679">
        <f ca="1">IF(Delivery_data[[#This Row],[Order Status]]="In Progress", TODAY()-Delivery_data[[#This Row],[Order Date]], "")</f>
        <v>813</v>
      </c>
      <c r="R679">
        <f>IF(Delivery_data[[#This Row],[On Time]]=1,0,1)</f>
        <v>1</v>
      </c>
    </row>
    <row r="680" spans="1:18" x14ac:dyDescent="0.35">
      <c r="A680">
        <v>1140</v>
      </c>
      <c r="B680" t="s">
        <v>808</v>
      </c>
      <c r="C680" s="1">
        <v>45172.625</v>
      </c>
      <c r="D680" t="s">
        <v>16</v>
      </c>
      <c r="E680" t="s">
        <v>184</v>
      </c>
      <c r="F680" t="s">
        <v>646</v>
      </c>
      <c r="G680" t="s">
        <v>19</v>
      </c>
      <c r="H680">
        <v>117</v>
      </c>
      <c r="I680">
        <v>8</v>
      </c>
      <c r="J680" t="s">
        <v>20</v>
      </c>
      <c r="K680" t="s">
        <v>28</v>
      </c>
      <c r="L680" t="s">
        <v>42</v>
      </c>
      <c r="M680" t="s">
        <v>23</v>
      </c>
      <c r="N680">
        <v>0</v>
      </c>
      <c r="O680">
        <v>0</v>
      </c>
      <c r="P680" s="8">
        <f>INT(Delivery_data[[#This Row],[Order Timestamp]])</f>
        <v>45172</v>
      </c>
      <c r="Q680">
        <f ca="1">IF(Delivery_data[[#This Row],[Order Status]]="In Progress", TODAY()-Delivery_data[[#This Row],[Order Date]], "")</f>
        <v>811</v>
      </c>
      <c r="R680">
        <f>IF(Delivery_data[[#This Row],[On Time]]=1,0,1)</f>
        <v>1</v>
      </c>
    </row>
    <row r="681" spans="1:18" x14ac:dyDescent="0.35">
      <c r="A681">
        <v>1156</v>
      </c>
      <c r="B681" t="s">
        <v>809</v>
      </c>
      <c r="C681" s="1">
        <v>45176.427083333336</v>
      </c>
      <c r="D681" t="s">
        <v>25</v>
      </c>
      <c r="E681" t="s">
        <v>254</v>
      </c>
      <c r="F681" t="s">
        <v>646</v>
      </c>
      <c r="G681" t="s">
        <v>362</v>
      </c>
      <c r="H681">
        <v>108</v>
      </c>
      <c r="I681">
        <v>14</v>
      </c>
      <c r="J681" t="s">
        <v>27</v>
      </c>
      <c r="K681" t="s">
        <v>38</v>
      </c>
      <c r="L681" t="s">
        <v>42</v>
      </c>
      <c r="M681" t="s">
        <v>39</v>
      </c>
      <c r="N681">
        <v>0</v>
      </c>
      <c r="O681">
        <v>0</v>
      </c>
      <c r="P681" s="8">
        <f>INT(Delivery_data[[#This Row],[Order Timestamp]])</f>
        <v>45176</v>
      </c>
      <c r="Q681" t="str">
        <f ca="1">IF(Delivery_data[[#This Row],[Order Status]]="In Progress", TODAY()-Delivery_data[[#This Row],[Order Date]], "")</f>
        <v/>
      </c>
      <c r="R681">
        <f>IF(Delivery_data[[#This Row],[On Time]]=1,0,1)</f>
        <v>1</v>
      </c>
    </row>
    <row r="682" spans="1:18" x14ac:dyDescent="0.35">
      <c r="A682">
        <v>1157</v>
      </c>
      <c r="B682" t="s">
        <v>810</v>
      </c>
      <c r="C682" s="1">
        <v>45170.368750000001</v>
      </c>
      <c r="D682" t="s">
        <v>16</v>
      </c>
      <c r="E682" t="s">
        <v>87</v>
      </c>
      <c r="F682" t="s">
        <v>646</v>
      </c>
      <c r="G682" t="s">
        <v>362</v>
      </c>
      <c r="H682">
        <v>147</v>
      </c>
      <c r="I682">
        <v>10</v>
      </c>
      <c r="J682" t="s">
        <v>20</v>
      </c>
      <c r="K682" t="s">
        <v>51</v>
      </c>
      <c r="L682" t="s">
        <v>42</v>
      </c>
      <c r="M682" t="s">
        <v>39</v>
      </c>
      <c r="N682">
        <v>0</v>
      </c>
      <c r="O682">
        <v>0</v>
      </c>
      <c r="P682" s="8">
        <f>INT(Delivery_data[[#This Row],[Order Timestamp]])</f>
        <v>45170</v>
      </c>
      <c r="Q682">
        <f ca="1">IF(Delivery_data[[#This Row],[Order Status]]="In Progress", TODAY()-Delivery_data[[#This Row],[Order Date]], "")</f>
        <v>813</v>
      </c>
      <c r="R682">
        <f>IF(Delivery_data[[#This Row],[On Time]]=1,0,1)</f>
        <v>1</v>
      </c>
    </row>
    <row r="683" spans="1:18" x14ac:dyDescent="0.35">
      <c r="A683">
        <v>1177</v>
      </c>
      <c r="B683" t="s">
        <v>811</v>
      </c>
      <c r="C683" s="1">
        <v>45172.603472222225</v>
      </c>
      <c r="D683" t="s">
        <v>25</v>
      </c>
      <c r="E683" t="s">
        <v>110</v>
      </c>
      <c r="F683" t="s">
        <v>646</v>
      </c>
      <c r="G683" t="s">
        <v>19</v>
      </c>
      <c r="H683">
        <v>213</v>
      </c>
      <c r="I683">
        <v>10</v>
      </c>
      <c r="J683" t="s">
        <v>20</v>
      </c>
      <c r="K683" t="s">
        <v>33</v>
      </c>
      <c r="L683" t="s">
        <v>42</v>
      </c>
      <c r="M683" t="s">
        <v>30</v>
      </c>
      <c r="N683">
        <v>0</v>
      </c>
      <c r="O683">
        <v>0</v>
      </c>
      <c r="P683" s="8">
        <f>INT(Delivery_data[[#This Row],[Order Timestamp]])</f>
        <v>45172</v>
      </c>
      <c r="Q683" t="str">
        <f ca="1">IF(Delivery_data[[#This Row],[Order Status]]="In Progress", TODAY()-Delivery_data[[#This Row],[Order Date]], "")</f>
        <v/>
      </c>
      <c r="R683">
        <f>IF(Delivery_data[[#This Row],[On Time]]=1,0,1)</f>
        <v>1</v>
      </c>
    </row>
    <row r="684" spans="1:18" x14ac:dyDescent="0.35">
      <c r="A684">
        <v>1206</v>
      </c>
      <c r="B684" t="s">
        <v>812</v>
      </c>
      <c r="C684" s="1">
        <v>45175.680555555555</v>
      </c>
      <c r="D684" t="s">
        <v>16</v>
      </c>
      <c r="E684" t="s">
        <v>110</v>
      </c>
      <c r="F684" t="s">
        <v>646</v>
      </c>
      <c r="G684" t="s">
        <v>19</v>
      </c>
      <c r="H684">
        <v>161</v>
      </c>
      <c r="I684">
        <v>14</v>
      </c>
      <c r="J684" t="s">
        <v>27</v>
      </c>
      <c r="K684" t="s">
        <v>38</v>
      </c>
      <c r="L684" t="s">
        <v>42</v>
      </c>
      <c r="M684" t="s">
        <v>30</v>
      </c>
      <c r="N684">
        <v>0</v>
      </c>
      <c r="O684">
        <v>0</v>
      </c>
      <c r="P684" s="8">
        <f>INT(Delivery_data[[#This Row],[Order Timestamp]])</f>
        <v>45175</v>
      </c>
      <c r="Q684">
        <f ca="1">IF(Delivery_data[[#This Row],[Order Status]]="In Progress", TODAY()-Delivery_data[[#This Row],[Order Date]], "")</f>
        <v>808</v>
      </c>
      <c r="R684">
        <f>IF(Delivery_data[[#This Row],[On Time]]=1,0,1)</f>
        <v>1</v>
      </c>
    </row>
    <row r="685" spans="1:18" x14ac:dyDescent="0.35">
      <c r="A685">
        <v>1212</v>
      </c>
      <c r="B685" t="s">
        <v>813</v>
      </c>
      <c r="C685" s="1">
        <v>45172.568749999999</v>
      </c>
      <c r="D685" t="s">
        <v>25</v>
      </c>
      <c r="E685" t="s">
        <v>181</v>
      </c>
      <c r="F685" t="s">
        <v>646</v>
      </c>
      <c r="G685" t="s">
        <v>362</v>
      </c>
      <c r="H685">
        <v>105</v>
      </c>
      <c r="I685">
        <v>6</v>
      </c>
      <c r="J685" t="s">
        <v>27</v>
      </c>
      <c r="K685" t="s">
        <v>33</v>
      </c>
      <c r="L685" t="s">
        <v>42</v>
      </c>
      <c r="M685" t="s">
        <v>39</v>
      </c>
      <c r="N685">
        <v>0</v>
      </c>
      <c r="O685">
        <v>0</v>
      </c>
      <c r="P685" s="8">
        <f>INT(Delivery_data[[#This Row],[Order Timestamp]])</f>
        <v>45172</v>
      </c>
      <c r="Q685" t="str">
        <f ca="1">IF(Delivery_data[[#This Row],[Order Status]]="In Progress", TODAY()-Delivery_data[[#This Row],[Order Date]], "")</f>
        <v/>
      </c>
      <c r="R685">
        <f>IF(Delivery_data[[#This Row],[On Time]]=1,0,1)</f>
        <v>1</v>
      </c>
    </row>
    <row r="686" spans="1:18" x14ac:dyDescent="0.35">
      <c r="A686">
        <v>1214</v>
      </c>
      <c r="B686" t="s">
        <v>814</v>
      </c>
      <c r="C686" s="1">
        <v>45172.502083333333</v>
      </c>
      <c r="D686" t="s">
        <v>25</v>
      </c>
      <c r="E686" t="s">
        <v>284</v>
      </c>
      <c r="F686" t="s">
        <v>646</v>
      </c>
      <c r="G686" t="s">
        <v>233</v>
      </c>
      <c r="H686">
        <v>168</v>
      </c>
      <c r="I686">
        <v>12</v>
      </c>
      <c r="J686" t="s">
        <v>27</v>
      </c>
      <c r="K686" t="s">
        <v>38</v>
      </c>
      <c r="L686" t="s">
        <v>42</v>
      </c>
      <c r="M686" t="s">
        <v>30</v>
      </c>
      <c r="N686">
        <v>0</v>
      </c>
      <c r="O686">
        <v>0</v>
      </c>
      <c r="P686" s="8">
        <f>INT(Delivery_data[[#This Row],[Order Timestamp]])</f>
        <v>45172</v>
      </c>
      <c r="Q686" t="str">
        <f ca="1">IF(Delivery_data[[#This Row],[Order Status]]="In Progress", TODAY()-Delivery_data[[#This Row],[Order Date]], "")</f>
        <v/>
      </c>
      <c r="R686">
        <f>IF(Delivery_data[[#This Row],[On Time]]=1,0,1)</f>
        <v>1</v>
      </c>
    </row>
    <row r="687" spans="1:18" x14ac:dyDescent="0.35">
      <c r="A687">
        <v>1222</v>
      </c>
      <c r="B687" t="s">
        <v>815</v>
      </c>
      <c r="C687" s="1">
        <v>45174.488888888889</v>
      </c>
      <c r="D687" t="s">
        <v>25</v>
      </c>
      <c r="E687" t="s">
        <v>598</v>
      </c>
      <c r="F687" t="s">
        <v>646</v>
      </c>
      <c r="G687" t="s">
        <v>362</v>
      </c>
      <c r="H687">
        <v>194</v>
      </c>
      <c r="I687">
        <v>24</v>
      </c>
      <c r="J687" t="s">
        <v>35</v>
      </c>
      <c r="K687" t="s">
        <v>51</v>
      </c>
      <c r="L687" t="s">
        <v>42</v>
      </c>
      <c r="M687" t="s">
        <v>39</v>
      </c>
      <c r="N687">
        <v>0</v>
      </c>
      <c r="O687">
        <v>1</v>
      </c>
      <c r="P687" s="8">
        <f>INT(Delivery_data[[#This Row],[Order Timestamp]])</f>
        <v>45174</v>
      </c>
      <c r="Q687" t="str">
        <f ca="1">IF(Delivery_data[[#This Row],[Order Status]]="In Progress", TODAY()-Delivery_data[[#This Row],[Order Date]], "")</f>
        <v/>
      </c>
      <c r="R687">
        <f>IF(Delivery_data[[#This Row],[On Time]]=1,0,1)</f>
        <v>1</v>
      </c>
    </row>
    <row r="688" spans="1:18" x14ac:dyDescent="0.35">
      <c r="A688">
        <v>1225</v>
      </c>
      <c r="B688" t="s">
        <v>816</v>
      </c>
      <c r="C688" s="1">
        <v>45177.604861111111</v>
      </c>
      <c r="D688" t="s">
        <v>25</v>
      </c>
      <c r="E688" t="s">
        <v>541</v>
      </c>
      <c r="F688" t="s">
        <v>646</v>
      </c>
      <c r="G688" t="s">
        <v>362</v>
      </c>
      <c r="H688">
        <v>102</v>
      </c>
      <c r="I688">
        <v>29</v>
      </c>
      <c r="J688" t="s">
        <v>35</v>
      </c>
      <c r="K688" t="s">
        <v>28</v>
      </c>
      <c r="L688" t="s">
        <v>42</v>
      </c>
      <c r="M688" t="s">
        <v>39</v>
      </c>
      <c r="N688">
        <v>0</v>
      </c>
      <c r="O688">
        <v>1</v>
      </c>
      <c r="P688" s="8">
        <f>INT(Delivery_data[[#This Row],[Order Timestamp]])</f>
        <v>45177</v>
      </c>
      <c r="Q688" t="str">
        <f ca="1">IF(Delivery_data[[#This Row],[Order Status]]="In Progress", TODAY()-Delivery_data[[#This Row],[Order Date]], "")</f>
        <v/>
      </c>
      <c r="R688">
        <f>IF(Delivery_data[[#This Row],[On Time]]=1,0,1)</f>
        <v>1</v>
      </c>
    </row>
    <row r="689" spans="1:18" x14ac:dyDescent="0.35">
      <c r="A689">
        <v>1247</v>
      </c>
      <c r="B689" t="s">
        <v>817</v>
      </c>
      <c r="C689" s="1">
        <v>45173.629166666666</v>
      </c>
      <c r="D689" t="s">
        <v>25</v>
      </c>
      <c r="E689" t="s">
        <v>152</v>
      </c>
      <c r="F689" t="s">
        <v>646</v>
      </c>
      <c r="G689" t="s">
        <v>557</v>
      </c>
      <c r="H689">
        <v>156</v>
      </c>
      <c r="I689">
        <v>17</v>
      </c>
      <c r="J689" t="s">
        <v>35</v>
      </c>
      <c r="K689" t="s">
        <v>28</v>
      </c>
      <c r="L689" t="s">
        <v>42</v>
      </c>
      <c r="M689" t="s">
        <v>23</v>
      </c>
      <c r="N689">
        <v>0</v>
      </c>
      <c r="O689">
        <v>1</v>
      </c>
      <c r="P689" s="8">
        <f>INT(Delivery_data[[#This Row],[Order Timestamp]])</f>
        <v>45173</v>
      </c>
      <c r="Q689" t="str">
        <f ca="1">IF(Delivery_data[[#This Row],[Order Status]]="In Progress", TODAY()-Delivery_data[[#This Row],[Order Date]], "")</f>
        <v/>
      </c>
      <c r="R689">
        <f>IF(Delivery_data[[#This Row],[On Time]]=1,0,1)</f>
        <v>1</v>
      </c>
    </row>
    <row r="690" spans="1:18" x14ac:dyDescent="0.35">
      <c r="A690">
        <v>1268</v>
      </c>
      <c r="B690" t="s">
        <v>818</v>
      </c>
      <c r="C690" s="1">
        <v>45170.51458333333</v>
      </c>
      <c r="D690" t="s">
        <v>25</v>
      </c>
      <c r="E690" t="s">
        <v>653</v>
      </c>
      <c r="F690" t="s">
        <v>646</v>
      </c>
      <c r="G690" t="s">
        <v>557</v>
      </c>
      <c r="H690">
        <v>109</v>
      </c>
      <c r="I690">
        <v>10</v>
      </c>
      <c r="J690" t="s">
        <v>35</v>
      </c>
      <c r="K690" t="s">
        <v>21</v>
      </c>
      <c r="L690" t="s">
        <v>42</v>
      </c>
      <c r="M690" t="s">
        <v>30</v>
      </c>
      <c r="N690">
        <v>0</v>
      </c>
      <c r="O690">
        <v>1</v>
      </c>
      <c r="P690" s="8">
        <f>INT(Delivery_data[[#This Row],[Order Timestamp]])</f>
        <v>45170</v>
      </c>
      <c r="Q690" t="str">
        <f ca="1">IF(Delivery_data[[#This Row],[Order Status]]="In Progress", TODAY()-Delivery_data[[#This Row],[Order Date]], "")</f>
        <v/>
      </c>
      <c r="R690">
        <f>IF(Delivery_data[[#This Row],[On Time]]=1,0,1)</f>
        <v>1</v>
      </c>
    </row>
    <row r="691" spans="1:18" x14ac:dyDescent="0.35">
      <c r="A691">
        <v>1269</v>
      </c>
      <c r="B691" t="s">
        <v>819</v>
      </c>
      <c r="C691" s="1">
        <v>45171.409722222219</v>
      </c>
      <c r="D691" t="s">
        <v>16</v>
      </c>
      <c r="E691" t="s">
        <v>37</v>
      </c>
      <c r="F691" t="s">
        <v>646</v>
      </c>
      <c r="G691" t="s">
        <v>557</v>
      </c>
      <c r="H691">
        <v>237</v>
      </c>
      <c r="I691">
        <v>20</v>
      </c>
      <c r="J691" t="s">
        <v>20</v>
      </c>
      <c r="K691" t="s">
        <v>51</v>
      </c>
      <c r="L691" t="s">
        <v>42</v>
      </c>
      <c r="M691" t="s">
        <v>30</v>
      </c>
      <c r="N691">
        <v>0</v>
      </c>
      <c r="O691">
        <v>0</v>
      </c>
      <c r="P691" s="8">
        <f>INT(Delivery_data[[#This Row],[Order Timestamp]])</f>
        <v>45171</v>
      </c>
      <c r="Q691">
        <f ca="1">IF(Delivery_data[[#This Row],[Order Status]]="In Progress", TODAY()-Delivery_data[[#This Row],[Order Date]], "")</f>
        <v>812</v>
      </c>
      <c r="R691">
        <f>IF(Delivery_data[[#This Row],[On Time]]=1,0,1)</f>
        <v>1</v>
      </c>
    </row>
    <row r="692" spans="1:18" x14ac:dyDescent="0.35">
      <c r="A692">
        <v>1278</v>
      </c>
      <c r="B692" t="s">
        <v>820</v>
      </c>
      <c r="C692" s="1">
        <v>45177.52847222222</v>
      </c>
      <c r="D692" t="s">
        <v>25</v>
      </c>
      <c r="E692" t="s">
        <v>252</v>
      </c>
      <c r="F692" t="s">
        <v>646</v>
      </c>
      <c r="G692" t="s">
        <v>463</v>
      </c>
      <c r="H692">
        <v>106</v>
      </c>
      <c r="I692">
        <v>2</v>
      </c>
      <c r="J692" t="s">
        <v>27</v>
      </c>
      <c r="K692" t="s">
        <v>21</v>
      </c>
      <c r="L692" t="s">
        <v>42</v>
      </c>
      <c r="M692" t="s">
        <v>30</v>
      </c>
      <c r="N692">
        <v>0</v>
      </c>
      <c r="O692">
        <v>0</v>
      </c>
      <c r="P692" s="8">
        <f>INT(Delivery_data[[#This Row],[Order Timestamp]])</f>
        <v>45177</v>
      </c>
      <c r="Q692" t="str">
        <f ca="1">IF(Delivery_data[[#This Row],[Order Status]]="In Progress", TODAY()-Delivery_data[[#This Row],[Order Date]], "")</f>
        <v/>
      </c>
      <c r="R692">
        <f>IF(Delivery_data[[#This Row],[On Time]]=1,0,1)</f>
        <v>1</v>
      </c>
    </row>
    <row r="693" spans="1:18" x14ac:dyDescent="0.35">
      <c r="A693">
        <v>1303</v>
      </c>
      <c r="B693" t="s">
        <v>604</v>
      </c>
      <c r="C693" s="1">
        <v>45170.394444444442</v>
      </c>
      <c r="D693" t="s">
        <v>16</v>
      </c>
      <c r="E693" t="s">
        <v>598</v>
      </c>
      <c r="F693" t="s">
        <v>646</v>
      </c>
      <c r="G693" t="s">
        <v>233</v>
      </c>
      <c r="H693">
        <v>115</v>
      </c>
      <c r="I693">
        <v>17</v>
      </c>
      <c r="J693" t="s">
        <v>27</v>
      </c>
      <c r="K693" t="s">
        <v>38</v>
      </c>
      <c r="L693" t="s">
        <v>42</v>
      </c>
      <c r="M693" t="s">
        <v>23</v>
      </c>
      <c r="N693">
        <v>0</v>
      </c>
      <c r="O693">
        <v>0</v>
      </c>
      <c r="P693" s="8">
        <f>INT(Delivery_data[[#This Row],[Order Timestamp]])</f>
        <v>45170</v>
      </c>
      <c r="Q693">
        <f ca="1">IF(Delivery_data[[#This Row],[Order Status]]="In Progress", TODAY()-Delivery_data[[#This Row],[Order Date]], "")</f>
        <v>813</v>
      </c>
      <c r="R693">
        <f>IF(Delivery_data[[#This Row],[On Time]]=1,0,1)</f>
        <v>1</v>
      </c>
    </row>
    <row r="694" spans="1:18" x14ac:dyDescent="0.35">
      <c r="A694">
        <v>1307</v>
      </c>
      <c r="B694" t="s">
        <v>821</v>
      </c>
      <c r="C694" s="1">
        <v>45172.513194444444</v>
      </c>
      <c r="D694" t="s">
        <v>16</v>
      </c>
      <c r="E694" t="s">
        <v>62</v>
      </c>
      <c r="F694" t="s">
        <v>646</v>
      </c>
      <c r="G694" t="s">
        <v>19</v>
      </c>
      <c r="H694">
        <v>164</v>
      </c>
      <c r="I694">
        <v>3</v>
      </c>
      <c r="J694" t="s">
        <v>27</v>
      </c>
      <c r="K694" t="s">
        <v>38</v>
      </c>
      <c r="L694" t="s">
        <v>42</v>
      </c>
      <c r="M694" t="s">
        <v>30</v>
      </c>
      <c r="N694">
        <v>0</v>
      </c>
      <c r="O694">
        <v>0</v>
      </c>
      <c r="P694" s="8">
        <f>INT(Delivery_data[[#This Row],[Order Timestamp]])</f>
        <v>45172</v>
      </c>
      <c r="Q694">
        <f ca="1">IF(Delivery_data[[#This Row],[Order Status]]="In Progress", TODAY()-Delivery_data[[#This Row],[Order Date]], "")</f>
        <v>811</v>
      </c>
      <c r="R694">
        <f>IF(Delivery_data[[#This Row],[On Time]]=1,0,1)</f>
        <v>1</v>
      </c>
    </row>
    <row r="695" spans="1:18" x14ac:dyDescent="0.35">
      <c r="A695">
        <v>1308</v>
      </c>
      <c r="B695" t="s">
        <v>822</v>
      </c>
      <c r="C695" s="1">
        <v>45171.45</v>
      </c>
      <c r="D695" t="s">
        <v>25</v>
      </c>
      <c r="E695" t="s">
        <v>212</v>
      </c>
      <c r="F695" t="s">
        <v>646</v>
      </c>
      <c r="G695" t="s">
        <v>557</v>
      </c>
      <c r="H695">
        <v>62</v>
      </c>
      <c r="I695">
        <v>1</v>
      </c>
      <c r="J695" t="s">
        <v>27</v>
      </c>
      <c r="K695" t="s">
        <v>21</v>
      </c>
      <c r="L695" t="s">
        <v>42</v>
      </c>
      <c r="M695" t="s">
        <v>30</v>
      </c>
      <c r="N695">
        <v>0</v>
      </c>
      <c r="O695">
        <v>0</v>
      </c>
      <c r="P695" s="8">
        <f>INT(Delivery_data[[#This Row],[Order Timestamp]])</f>
        <v>45171</v>
      </c>
      <c r="Q695" t="str">
        <f ca="1">IF(Delivery_data[[#This Row],[Order Status]]="In Progress", TODAY()-Delivery_data[[#This Row],[Order Date]], "")</f>
        <v/>
      </c>
      <c r="R695">
        <f>IF(Delivery_data[[#This Row],[On Time]]=1,0,1)</f>
        <v>1</v>
      </c>
    </row>
    <row r="696" spans="1:18" x14ac:dyDescent="0.35">
      <c r="A696">
        <v>1311</v>
      </c>
      <c r="B696" t="s">
        <v>823</v>
      </c>
      <c r="C696" s="1">
        <v>45175.647222222222</v>
      </c>
      <c r="D696" t="s">
        <v>25</v>
      </c>
      <c r="E696" t="s">
        <v>129</v>
      </c>
      <c r="F696" t="s">
        <v>646</v>
      </c>
      <c r="G696" t="s">
        <v>19</v>
      </c>
      <c r="H696">
        <v>174</v>
      </c>
      <c r="I696">
        <v>29</v>
      </c>
      <c r="J696" t="s">
        <v>20</v>
      </c>
      <c r="K696" t="s">
        <v>38</v>
      </c>
      <c r="L696" t="s">
        <v>42</v>
      </c>
      <c r="M696" t="s">
        <v>39</v>
      </c>
      <c r="N696">
        <v>0</v>
      </c>
      <c r="O696">
        <v>0</v>
      </c>
      <c r="P696" s="8">
        <f>INT(Delivery_data[[#This Row],[Order Timestamp]])</f>
        <v>45175</v>
      </c>
      <c r="Q696" t="str">
        <f ca="1">IF(Delivery_data[[#This Row],[Order Status]]="In Progress", TODAY()-Delivery_data[[#This Row],[Order Date]], "")</f>
        <v/>
      </c>
      <c r="R696">
        <f>IF(Delivery_data[[#This Row],[On Time]]=1,0,1)</f>
        <v>1</v>
      </c>
    </row>
    <row r="697" spans="1:18" x14ac:dyDescent="0.35">
      <c r="A697">
        <v>1341</v>
      </c>
      <c r="B697" t="s">
        <v>824</v>
      </c>
      <c r="C697" s="1">
        <v>45177.345138888886</v>
      </c>
      <c r="D697" t="s">
        <v>16</v>
      </c>
      <c r="E697" t="s">
        <v>666</v>
      </c>
      <c r="F697" t="s">
        <v>646</v>
      </c>
      <c r="G697" t="s">
        <v>19</v>
      </c>
      <c r="H697">
        <v>211</v>
      </c>
      <c r="I697">
        <v>8</v>
      </c>
      <c r="J697" t="s">
        <v>20</v>
      </c>
      <c r="K697" t="s">
        <v>33</v>
      </c>
      <c r="L697" t="s">
        <v>42</v>
      </c>
      <c r="M697" t="s">
        <v>30</v>
      </c>
      <c r="N697">
        <v>0</v>
      </c>
      <c r="O697">
        <v>0</v>
      </c>
      <c r="P697" s="8">
        <f>INT(Delivery_data[[#This Row],[Order Timestamp]])</f>
        <v>45177</v>
      </c>
      <c r="Q697">
        <f ca="1">IF(Delivery_data[[#This Row],[Order Status]]="In Progress", TODAY()-Delivery_data[[#This Row],[Order Date]], "")</f>
        <v>806</v>
      </c>
      <c r="R697">
        <f>IF(Delivery_data[[#This Row],[On Time]]=1,0,1)</f>
        <v>1</v>
      </c>
    </row>
    <row r="698" spans="1:18" x14ac:dyDescent="0.35">
      <c r="A698">
        <v>1363</v>
      </c>
      <c r="B698" t="s">
        <v>825</v>
      </c>
      <c r="C698" s="1">
        <v>45174.459722222222</v>
      </c>
      <c r="D698" t="s">
        <v>25</v>
      </c>
      <c r="E698" t="s">
        <v>117</v>
      </c>
      <c r="F698" t="s">
        <v>646</v>
      </c>
      <c r="G698" t="s">
        <v>19</v>
      </c>
      <c r="H698">
        <v>67</v>
      </c>
      <c r="I698">
        <v>20</v>
      </c>
      <c r="J698" t="s">
        <v>27</v>
      </c>
      <c r="K698" t="s">
        <v>28</v>
      </c>
      <c r="L698" t="s">
        <v>42</v>
      </c>
      <c r="M698" t="s">
        <v>39</v>
      </c>
      <c r="N698">
        <v>0</v>
      </c>
      <c r="O698">
        <v>0</v>
      </c>
      <c r="P698" s="8">
        <f>INT(Delivery_data[[#This Row],[Order Timestamp]])</f>
        <v>45174</v>
      </c>
      <c r="Q698" t="str">
        <f ca="1">IF(Delivery_data[[#This Row],[Order Status]]="In Progress", TODAY()-Delivery_data[[#This Row],[Order Date]], "")</f>
        <v/>
      </c>
      <c r="R698">
        <f>IF(Delivery_data[[#This Row],[On Time]]=1,0,1)</f>
        <v>1</v>
      </c>
    </row>
    <row r="699" spans="1:18" x14ac:dyDescent="0.35">
      <c r="A699">
        <v>1371</v>
      </c>
      <c r="B699" t="s">
        <v>826</v>
      </c>
      <c r="C699" s="1">
        <v>45176.500694444447</v>
      </c>
      <c r="D699" t="s">
        <v>25</v>
      </c>
      <c r="E699" t="s">
        <v>94</v>
      </c>
      <c r="F699" t="s">
        <v>646</v>
      </c>
      <c r="G699" t="s">
        <v>557</v>
      </c>
      <c r="H699">
        <v>172</v>
      </c>
      <c r="I699">
        <v>27</v>
      </c>
      <c r="J699" t="s">
        <v>27</v>
      </c>
      <c r="K699" t="s">
        <v>21</v>
      </c>
      <c r="L699" t="s">
        <v>42</v>
      </c>
      <c r="M699" t="s">
        <v>39</v>
      </c>
      <c r="N699">
        <v>0</v>
      </c>
      <c r="O699">
        <v>0</v>
      </c>
      <c r="P699" s="8">
        <f>INT(Delivery_data[[#This Row],[Order Timestamp]])</f>
        <v>45176</v>
      </c>
      <c r="Q699" t="str">
        <f ca="1">IF(Delivery_data[[#This Row],[Order Status]]="In Progress", TODAY()-Delivery_data[[#This Row],[Order Date]], "")</f>
        <v/>
      </c>
      <c r="R699">
        <f>IF(Delivery_data[[#This Row],[On Time]]=1,0,1)</f>
        <v>1</v>
      </c>
    </row>
    <row r="700" spans="1:18" x14ac:dyDescent="0.35">
      <c r="A700">
        <v>1386</v>
      </c>
      <c r="B700" t="s">
        <v>827</v>
      </c>
      <c r="C700" s="1">
        <v>45176.540972222225</v>
      </c>
      <c r="D700" t="s">
        <v>16</v>
      </c>
      <c r="E700" t="s">
        <v>56</v>
      </c>
      <c r="F700" t="s">
        <v>646</v>
      </c>
      <c r="G700" t="s">
        <v>233</v>
      </c>
      <c r="H700">
        <v>78</v>
      </c>
      <c r="I700">
        <v>19</v>
      </c>
      <c r="J700" t="s">
        <v>35</v>
      </c>
      <c r="K700" t="s">
        <v>33</v>
      </c>
      <c r="L700" t="s">
        <v>42</v>
      </c>
      <c r="M700" t="s">
        <v>23</v>
      </c>
      <c r="N700">
        <v>0</v>
      </c>
      <c r="O700">
        <v>1</v>
      </c>
      <c r="P700" s="8">
        <f>INT(Delivery_data[[#This Row],[Order Timestamp]])</f>
        <v>45176</v>
      </c>
      <c r="Q700">
        <f ca="1">IF(Delivery_data[[#This Row],[Order Status]]="In Progress", TODAY()-Delivery_data[[#This Row],[Order Date]], "")</f>
        <v>807</v>
      </c>
      <c r="R700">
        <f>IF(Delivery_data[[#This Row],[On Time]]=1,0,1)</f>
        <v>1</v>
      </c>
    </row>
    <row r="701" spans="1:18" x14ac:dyDescent="0.35">
      <c r="A701">
        <v>1395</v>
      </c>
      <c r="B701" t="s">
        <v>828</v>
      </c>
      <c r="C701" s="1">
        <v>45170.613194444442</v>
      </c>
      <c r="D701" t="s">
        <v>16</v>
      </c>
      <c r="E701" t="s">
        <v>113</v>
      </c>
      <c r="F701" t="s">
        <v>646</v>
      </c>
      <c r="G701" t="s">
        <v>463</v>
      </c>
      <c r="H701">
        <v>185</v>
      </c>
      <c r="I701">
        <v>12</v>
      </c>
      <c r="J701" t="s">
        <v>20</v>
      </c>
      <c r="K701" t="s">
        <v>33</v>
      </c>
      <c r="L701" t="s">
        <v>42</v>
      </c>
      <c r="M701" t="s">
        <v>30</v>
      </c>
      <c r="N701">
        <v>0</v>
      </c>
      <c r="O701">
        <v>0</v>
      </c>
      <c r="P701" s="8">
        <f>INT(Delivery_data[[#This Row],[Order Timestamp]])</f>
        <v>45170</v>
      </c>
      <c r="Q701">
        <f ca="1">IF(Delivery_data[[#This Row],[Order Status]]="In Progress", TODAY()-Delivery_data[[#This Row],[Order Date]], "")</f>
        <v>813</v>
      </c>
      <c r="R701">
        <f>IF(Delivery_data[[#This Row],[On Time]]=1,0,1)</f>
        <v>1</v>
      </c>
    </row>
    <row r="702" spans="1:18" x14ac:dyDescent="0.35">
      <c r="A702">
        <v>1413</v>
      </c>
      <c r="B702" t="s">
        <v>829</v>
      </c>
      <c r="C702" s="1">
        <v>45174.659722222219</v>
      </c>
      <c r="D702" t="s">
        <v>16</v>
      </c>
      <c r="E702" t="s">
        <v>225</v>
      </c>
      <c r="F702" t="s">
        <v>646</v>
      </c>
      <c r="G702" t="s">
        <v>362</v>
      </c>
      <c r="H702">
        <v>125</v>
      </c>
      <c r="I702">
        <v>21</v>
      </c>
      <c r="J702" t="s">
        <v>20</v>
      </c>
      <c r="K702" t="s">
        <v>33</v>
      </c>
      <c r="L702" t="s">
        <v>42</v>
      </c>
      <c r="M702" t="s">
        <v>23</v>
      </c>
      <c r="N702">
        <v>0</v>
      </c>
      <c r="O702">
        <v>0</v>
      </c>
      <c r="P702" s="8">
        <f>INT(Delivery_data[[#This Row],[Order Timestamp]])</f>
        <v>45174</v>
      </c>
      <c r="Q702">
        <f ca="1">IF(Delivery_data[[#This Row],[Order Status]]="In Progress", TODAY()-Delivery_data[[#This Row],[Order Date]], "")</f>
        <v>809</v>
      </c>
      <c r="R702">
        <f>IF(Delivery_data[[#This Row],[On Time]]=1,0,1)</f>
        <v>1</v>
      </c>
    </row>
    <row r="703" spans="1:18" x14ac:dyDescent="0.35">
      <c r="A703">
        <v>1439</v>
      </c>
      <c r="B703" t="s">
        <v>830</v>
      </c>
      <c r="C703" s="1">
        <v>45173.672222222223</v>
      </c>
      <c r="D703" t="s">
        <v>25</v>
      </c>
      <c r="E703" t="s">
        <v>245</v>
      </c>
      <c r="F703" t="s">
        <v>646</v>
      </c>
      <c r="G703" t="s">
        <v>362</v>
      </c>
      <c r="H703">
        <v>200</v>
      </c>
      <c r="I703">
        <v>20</v>
      </c>
      <c r="J703" t="s">
        <v>35</v>
      </c>
      <c r="K703" t="s">
        <v>33</v>
      </c>
      <c r="L703" t="s">
        <v>42</v>
      </c>
      <c r="M703" t="s">
        <v>30</v>
      </c>
      <c r="N703">
        <v>0</v>
      </c>
      <c r="O703">
        <v>1</v>
      </c>
      <c r="P703" s="8">
        <f>INT(Delivery_data[[#This Row],[Order Timestamp]])</f>
        <v>45173</v>
      </c>
      <c r="Q703" t="str">
        <f ca="1">IF(Delivery_data[[#This Row],[Order Status]]="In Progress", TODAY()-Delivery_data[[#This Row],[Order Date]], "")</f>
        <v/>
      </c>
      <c r="R703">
        <f>IF(Delivery_data[[#This Row],[On Time]]=1,0,1)</f>
        <v>1</v>
      </c>
    </row>
    <row r="704" spans="1:18" x14ac:dyDescent="0.35">
      <c r="A704">
        <v>1443</v>
      </c>
      <c r="B704" t="s">
        <v>610</v>
      </c>
      <c r="C704" s="1">
        <v>45174.618055555555</v>
      </c>
      <c r="D704" t="s">
        <v>16</v>
      </c>
      <c r="E704" t="s">
        <v>62</v>
      </c>
      <c r="F704" t="s">
        <v>646</v>
      </c>
      <c r="G704" t="s">
        <v>362</v>
      </c>
      <c r="H704">
        <v>87</v>
      </c>
      <c r="I704">
        <v>7</v>
      </c>
      <c r="J704" t="s">
        <v>27</v>
      </c>
      <c r="K704" t="s">
        <v>21</v>
      </c>
      <c r="L704" t="s">
        <v>42</v>
      </c>
      <c r="M704" t="s">
        <v>23</v>
      </c>
      <c r="N704">
        <v>0</v>
      </c>
      <c r="O704">
        <v>0</v>
      </c>
      <c r="P704" s="8">
        <f>INT(Delivery_data[[#This Row],[Order Timestamp]])</f>
        <v>45174</v>
      </c>
      <c r="Q704">
        <f ca="1">IF(Delivery_data[[#This Row],[Order Status]]="In Progress", TODAY()-Delivery_data[[#This Row],[Order Date]], "")</f>
        <v>809</v>
      </c>
      <c r="R704">
        <f>IF(Delivery_data[[#This Row],[On Time]]=1,0,1)</f>
        <v>1</v>
      </c>
    </row>
    <row r="705" spans="1:18" x14ac:dyDescent="0.35">
      <c r="A705">
        <v>1458</v>
      </c>
      <c r="B705" t="s">
        <v>831</v>
      </c>
      <c r="C705" s="1">
        <v>45175.513194444444</v>
      </c>
      <c r="D705" t="s">
        <v>16</v>
      </c>
      <c r="E705" t="s">
        <v>172</v>
      </c>
      <c r="F705" t="s">
        <v>646</v>
      </c>
      <c r="G705" t="s">
        <v>463</v>
      </c>
      <c r="H705">
        <v>229</v>
      </c>
      <c r="I705">
        <v>27</v>
      </c>
      <c r="J705" t="s">
        <v>35</v>
      </c>
      <c r="K705" t="s">
        <v>33</v>
      </c>
      <c r="L705" t="s">
        <v>42</v>
      </c>
      <c r="M705" t="s">
        <v>30</v>
      </c>
      <c r="N705">
        <v>0</v>
      </c>
      <c r="O705">
        <v>1</v>
      </c>
      <c r="P705" s="8">
        <f>INT(Delivery_data[[#This Row],[Order Timestamp]])</f>
        <v>45175</v>
      </c>
      <c r="Q705">
        <f ca="1">IF(Delivery_data[[#This Row],[Order Status]]="In Progress", TODAY()-Delivery_data[[#This Row],[Order Date]], "")</f>
        <v>808</v>
      </c>
      <c r="R705">
        <f>IF(Delivery_data[[#This Row],[On Time]]=1,0,1)</f>
        <v>1</v>
      </c>
    </row>
    <row r="706" spans="1:18" x14ac:dyDescent="0.35">
      <c r="A706">
        <v>1467</v>
      </c>
      <c r="B706" t="s">
        <v>832</v>
      </c>
      <c r="C706" s="1">
        <v>45174.487500000003</v>
      </c>
      <c r="D706" t="s">
        <v>16</v>
      </c>
      <c r="E706" t="s">
        <v>87</v>
      </c>
      <c r="F706" t="s">
        <v>646</v>
      </c>
      <c r="G706" t="s">
        <v>233</v>
      </c>
      <c r="H706">
        <v>207</v>
      </c>
      <c r="I706">
        <v>18</v>
      </c>
      <c r="J706" t="s">
        <v>35</v>
      </c>
      <c r="K706" t="s">
        <v>21</v>
      </c>
      <c r="L706" t="s">
        <v>42</v>
      </c>
      <c r="M706" t="s">
        <v>39</v>
      </c>
      <c r="N706">
        <v>0</v>
      </c>
      <c r="O706">
        <v>1</v>
      </c>
      <c r="P706" s="8">
        <f>INT(Delivery_data[[#This Row],[Order Timestamp]])</f>
        <v>45174</v>
      </c>
      <c r="Q706">
        <f ca="1">IF(Delivery_data[[#This Row],[Order Status]]="In Progress", TODAY()-Delivery_data[[#This Row],[Order Date]], "")</f>
        <v>809</v>
      </c>
      <c r="R706">
        <f>IF(Delivery_data[[#This Row],[On Time]]=1,0,1)</f>
        <v>1</v>
      </c>
    </row>
    <row r="707" spans="1:18" x14ac:dyDescent="0.35">
      <c r="A707">
        <v>1509</v>
      </c>
      <c r="B707" t="s">
        <v>833</v>
      </c>
      <c r="C707" s="1">
        <v>45172.350694444445</v>
      </c>
      <c r="D707" t="s">
        <v>16</v>
      </c>
      <c r="E707" t="s">
        <v>96</v>
      </c>
      <c r="F707" t="s">
        <v>646</v>
      </c>
      <c r="G707" t="s">
        <v>362</v>
      </c>
      <c r="H707">
        <v>62</v>
      </c>
      <c r="I707">
        <v>28</v>
      </c>
      <c r="J707" t="s">
        <v>20</v>
      </c>
      <c r="K707" t="s">
        <v>28</v>
      </c>
      <c r="L707" t="s">
        <v>42</v>
      </c>
      <c r="M707" t="s">
        <v>30</v>
      </c>
      <c r="N707">
        <v>0</v>
      </c>
      <c r="O707">
        <v>0</v>
      </c>
      <c r="P707" s="8">
        <f>INT(Delivery_data[[#This Row],[Order Timestamp]])</f>
        <v>45172</v>
      </c>
      <c r="Q707">
        <f ca="1">IF(Delivery_data[[#This Row],[Order Status]]="In Progress", TODAY()-Delivery_data[[#This Row],[Order Date]], "")</f>
        <v>811</v>
      </c>
      <c r="R707">
        <f>IF(Delivery_data[[#This Row],[On Time]]=1,0,1)</f>
        <v>1</v>
      </c>
    </row>
    <row r="708" spans="1:18" x14ac:dyDescent="0.35">
      <c r="A708">
        <v>1513</v>
      </c>
      <c r="B708" t="s">
        <v>834</v>
      </c>
      <c r="C708" s="1">
        <v>45171.369444444441</v>
      </c>
      <c r="D708" t="s">
        <v>25</v>
      </c>
      <c r="E708" t="s">
        <v>78</v>
      </c>
      <c r="F708" t="s">
        <v>646</v>
      </c>
      <c r="G708" t="s">
        <v>19</v>
      </c>
      <c r="H708">
        <v>133</v>
      </c>
      <c r="I708">
        <v>22</v>
      </c>
      <c r="J708" t="s">
        <v>20</v>
      </c>
      <c r="K708" t="s">
        <v>21</v>
      </c>
      <c r="L708" t="s">
        <v>42</v>
      </c>
      <c r="M708" t="s">
        <v>23</v>
      </c>
      <c r="N708">
        <v>0</v>
      </c>
      <c r="O708">
        <v>0</v>
      </c>
      <c r="P708" s="8">
        <f>INT(Delivery_data[[#This Row],[Order Timestamp]])</f>
        <v>45171</v>
      </c>
      <c r="Q708" t="str">
        <f ca="1">IF(Delivery_data[[#This Row],[Order Status]]="In Progress", TODAY()-Delivery_data[[#This Row],[Order Date]], "")</f>
        <v/>
      </c>
      <c r="R708">
        <f>IF(Delivery_data[[#This Row],[On Time]]=1,0,1)</f>
        <v>1</v>
      </c>
    </row>
    <row r="709" spans="1:18" x14ac:dyDescent="0.35">
      <c r="A709">
        <v>1521</v>
      </c>
      <c r="B709" t="s">
        <v>835</v>
      </c>
      <c r="C709" s="1">
        <v>45174.670138888891</v>
      </c>
      <c r="D709" t="s">
        <v>25</v>
      </c>
      <c r="E709" t="s">
        <v>191</v>
      </c>
      <c r="F709" t="s">
        <v>646</v>
      </c>
      <c r="G709" t="s">
        <v>463</v>
      </c>
      <c r="H709">
        <v>205</v>
      </c>
      <c r="I709">
        <v>15</v>
      </c>
      <c r="J709" t="s">
        <v>27</v>
      </c>
      <c r="K709" t="s">
        <v>38</v>
      </c>
      <c r="L709" t="s">
        <v>42</v>
      </c>
      <c r="M709" t="s">
        <v>30</v>
      </c>
      <c r="N709">
        <v>0</v>
      </c>
      <c r="O709">
        <v>0</v>
      </c>
      <c r="P709" s="8">
        <f>INT(Delivery_data[[#This Row],[Order Timestamp]])</f>
        <v>45174</v>
      </c>
      <c r="Q709" t="str">
        <f ca="1">IF(Delivery_data[[#This Row],[Order Status]]="In Progress", TODAY()-Delivery_data[[#This Row],[Order Date]], "")</f>
        <v/>
      </c>
      <c r="R709">
        <f>IF(Delivery_data[[#This Row],[On Time]]=1,0,1)</f>
        <v>1</v>
      </c>
    </row>
    <row r="710" spans="1:18" x14ac:dyDescent="0.35">
      <c r="A710">
        <v>1525</v>
      </c>
      <c r="B710" t="s">
        <v>232</v>
      </c>
      <c r="C710" s="1">
        <v>45173.570138888892</v>
      </c>
      <c r="D710" t="s">
        <v>25</v>
      </c>
      <c r="E710" t="s">
        <v>260</v>
      </c>
      <c r="F710" t="s">
        <v>646</v>
      </c>
      <c r="G710" t="s">
        <v>557</v>
      </c>
      <c r="H710">
        <v>120</v>
      </c>
      <c r="I710">
        <v>18</v>
      </c>
      <c r="J710" t="s">
        <v>27</v>
      </c>
      <c r="K710" t="s">
        <v>51</v>
      </c>
      <c r="L710" t="s">
        <v>42</v>
      </c>
      <c r="M710" t="s">
        <v>23</v>
      </c>
      <c r="N710">
        <v>0</v>
      </c>
      <c r="O710">
        <v>0</v>
      </c>
      <c r="P710" s="8">
        <f>INT(Delivery_data[[#This Row],[Order Timestamp]])</f>
        <v>45173</v>
      </c>
      <c r="Q710" t="str">
        <f ca="1">IF(Delivery_data[[#This Row],[Order Status]]="In Progress", TODAY()-Delivery_data[[#This Row],[Order Date]], "")</f>
        <v/>
      </c>
      <c r="R710">
        <f>IF(Delivery_data[[#This Row],[On Time]]=1,0,1)</f>
        <v>1</v>
      </c>
    </row>
    <row r="711" spans="1:18" x14ac:dyDescent="0.35">
      <c r="A711">
        <v>1529</v>
      </c>
      <c r="B711" t="s">
        <v>836</v>
      </c>
      <c r="C711" s="1">
        <v>45174.472222222219</v>
      </c>
      <c r="D711" t="s">
        <v>16</v>
      </c>
      <c r="E711" t="s">
        <v>129</v>
      </c>
      <c r="F711" t="s">
        <v>646</v>
      </c>
      <c r="G711" t="s">
        <v>233</v>
      </c>
      <c r="H711">
        <v>213</v>
      </c>
      <c r="I711">
        <v>1</v>
      </c>
      <c r="J711" t="s">
        <v>20</v>
      </c>
      <c r="K711" t="s">
        <v>33</v>
      </c>
      <c r="L711" t="s">
        <v>42</v>
      </c>
      <c r="M711" t="s">
        <v>23</v>
      </c>
      <c r="N711">
        <v>0</v>
      </c>
      <c r="O711">
        <v>0</v>
      </c>
      <c r="P711" s="8">
        <f>INT(Delivery_data[[#This Row],[Order Timestamp]])</f>
        <v>45174</v>
      </c>
      <c r="Q711">
        <f ca="1">IF(Delivery_data[[#This Row],[Order Status]]="In Progress", TODAY()-Delivery_data[[#This Row],[Order Date]], "")</f>
        <v>809</v>
      </c>
      <c r="R711">
        <f>IF(Delivery_data[[#This Row],[On Time]]=1,0,1)</f>
        <v>1</v>
      </c>
    </row>
    <row r="712" spans="1:18" x14ac:dyDescent="0.35">
      <c r="A712">
        <v>1547</v>
      </c>
      <c r="B712" t="s">
        <v>837</v>
      </c>
      <c r="C712" s="1">
        <v>45173.575694444444</v>
      </c>
      <c r="D712" t="s">
        <v>25</v>
      </c>
      <c r="E712" t="s">
        <v>53</v>
      </c>
      <c r="F712" t="s">
        <v>646</v>
      </c>
      <c r="G712" t="s">
        <v>233</v>
      </c>
      <c r="H712">
        <v>205</v>
      </c>
      <c r="I712">
        <v>29</v>
      </c>
      <c r="J712" t="s">
        <v>20</v>
      </c>
      <c r="K712" t="s">
        <v>21</v>
      </c>
      <c r="L712" t="s">
        <v>42</v>
      </c>
      <c r="M712" t="s">
        <v>23</v>
      </c>
      <c r="N712">
        <v>0</v>
      </c>
      <c r="O712">
        <v>0</v>
      </c>
      <c r="P712" s="8">
        <f>INT(Delivery_data[[#This Row],[Order Timestamp]])</f>
        <v>45173</v>
      </c>
      <c r="Q712" t="str">
        <f ca="1">IF(Delivery_data[[#This Row],[Order Status]]="In Progress", TODAY()-Delivery_data[[#This Row],[Order Date]], "")</f>
        <v/>
      </c>
      <c r="R712">
        <f>IF(Delivery_data[[#This Row],[On Time]]=1,0,1)</f>
        <v>1</v>
      </c>
    </row>
    <row r="713" spans="1:18" x14ac:dyDescent="0.35">
      <c r="A713">
        <v>1552</v>
      </c>
      <c r="B713" t="s">
        <v>838</v>
      </c>
      <c r="C713" s="1">
        <v>45173.356249999997</v>
      </c>
      <c r="D713" t="s">
        <v>25</v>
      </c>
      <c r="E713" t="s">
        <v>447</v>
      </c>
      <c r="F713" t="s">
        <v>646</v>
      </c>
      <c r="G713" t="s">
        <v>463</v>
      </c>
      <c r="H713">
        <v>101</v>
      </c>
      <c r="I713">
        <v>8</v>
      </c>
      <c r="J713" t="s">
        <v>35</v>
      </c>
      <c r="K713" t="s">
        <v>21</v>
      </c>
      <c r="L713" t="s">
        <v>42</v>
      </c>
      <c r="M713" t="s">
        <v>23</v>
      </c>
      <c r="N713">
        <v>0</v>
      </c>
      <c r="O713">
        <v>1</v>
      </c>
      <c r="P713" s="8">
        <f>INT(Delivery_data[[#This Row],[Order Timestamp]])</f>
        <v>45173</v>
      </c>
      <c r="Q713" t="str">
        <f ca="1">IF(Delivery_data[[#This Row],[Order Status]]="In Progress", TODAY()-Delivery_data[[#This Row],[Order Date]], "")</f>
        <v/>
      </c>
      <c r="R713">
        <f>IF(Delivery_data[[#This Row],[On Time]]=1,0,1)</f>
        <v>1</v>
      </c>
    </row>
    <row r="714" spans="1:18" x14ac:dyDescent="0.35">
      <c r="A714">
        <v>1556</v>
      </c>
      <c r="B714" t="s">
        <v>839</v>
      </c>
      <c r="C714" s="1">
        <v>45176.57708333333</v>
      </c>
      <c r="D714" t="s">
        <v>25</v>
      </c>
      <c r="E714" t="s">
        <v>104</v>
      </c>
      <c r="F714" t="s">
        <v>646</v>
      </c>
      <c r="G714" t="s">
        <v>463</v>
      </c>
      <c r="H714">
        <v>106</v>
      </c>
      <c r="I714">
        <v>13</v>
      </c>
      <c r="J714" t="s">
        <v>27</v>
      </c>
      <c r="K714" t="s">
        <v>51</v>
      </c>
      <c r="L714" t="s">
        <v>42</v>
      </c>
      <c r="M714" t="s">
        <v>30</v>
      </c>
      <c r="N714">
        <v>0</v>
      </c>
      <c r="O714">
        <v>0</v>
      </c>
      <c r="P714" s="8">
        <f>INT(Delivery_data[[#This Row],[Order Timestamp]])</f>
        <v>45176</v>
      </c>
      <c r="Q714" t="str">
        <f ca="1">IF(Delivery_data[[#This Row],[Order Status]]="In Progress", TODAY()-Delivery_data[[#This Row],[Order Date]], "")</f>
        <v/>
      </c>
      <c r="R714">
        <f>IF(Delivery_data[[#This Row],[On Time]]=1,0,1)</f>
        <v>1</v>
      </c>
    </row>
    <row r="715" spans="1:18" x14ac:dyDescent="0.35">
      <c r="A715">
        <v>1565</v>
      </c>
      <c r="B715" t="s">
        <v>840</v>
      </c>
      <c r="C715" s="1">
        <v>45172.582638888889</v>
      </c>
      <c r="D715" t="s">
        <v>16</v>
      </c>
      <c r="E715" t="s">
        <v>204</v>
      </c>
      <c r="F715" t="s">
        <v>646</v>
      </c>
      <c r="G715" t="s">
        <v>557</v>
      </c>
      <c r="H715">
        <v>202</v>
      </c>
      <c r="I715">
        <v>27</v>
      </c>
      <c r="J715" t="s">
        <v>20</v>
      </c>
      <c r="K715" t="s">
        <v>28</v>
      </c>
      <c r="L715" t="s">
        <v>42</v>
      </c>
      <c r="M715" t="s">
        <v>30</v>
      </c>
      <c r="N715">
        <v>0</v>
      </c>
      <c r="O715">
        <v>0</v>
      </c>
      <c r="P715" s="8">
        <f>INT(Delivery_data[[#This Row],[Order Timestamp]])</f>
        <v>45172</v>
      </c>
      <c r="Q715">
        <f ca="1">IF(Delivery_data[[#This Row],[Order Status]]="In Progress", TODAY()-Delivery_data[[#This Row],[Order Date]], "")</f>
        <v>811</v>
      </c>
      <c r="R715">
        <f>IF(Delivery_data[[#This Row],[On Time]]=1,0,1)</f>
        <v>1</v>
      </c>
    </row>
    <row r="716" spans="1:18" x14ac:dyDescent="0.35">
      <c r="A716">
        <v>1570</v>
      </c>
      <c r="B716" t="s">
        <v>841</v>
      </c>
      <c r="C716" s="1">
        <v>45174.438194444447</v>
      </c>
      <c r="D716" t="s">
        <v>16</v>
      </c>
      <c r="E716" t="s">
        <v>254</v>
      </c>
      <c r="F716" t="s">
        <v>646</v>
      </c>
      <c r="G716" t="s">
        <v>19</v>
      </c>
      <c r="H716">
        <v>81</v>
      </c>
      <c r="I716">
        <v>4</v>
      </c>
      <c r="J716" t="s">
        <v>20</v>
      </c>
      <c r="K716" t="s">
        <v>51</v>
      </c>
      <c r="L716" t="s">
        <v>42</v>
      </c>
      <c r="M716" t="s">
        <v>30</v>
      </c>
      <c r="N716">
        <v>0</v>
      </c>
      <c r="O716">
        <v>0</v>
      </c>
      <c r="P716" s="8">
        <f>INT(Delivery_data[[#This Row],[Order Timestamp]])</f>
        <v>45174</v>
      </c>
      <c r="Q716">
        <f ca="1">IF(Delivery_data[[#This Row],[Order Status]]="In Progress", TODAY()-Delivery_data[[#This Row],[Order Date]], "")</f>
        <v>809</v>
      </c>
      <c r="R716">
        <f>IF(Delivery_data[[#This Row],[On Time]]=1,0,1)</f>
        <v>1</v>
      </c>
    </row>
    <row r="717" spans="1:18" x14ac:dyDescent="0.35">
      <c r="A717">
        <v>1574</v>
      </c>
      <c r="B717" t="s">
        <v>842</v>
      </c>
      <c r="C717" s="1">
        <v>45174.435416666667</v>
      </c>
      <c r="D717" t="s">
        <v>16</v>
      </c>
      <c r="E717" t="s">
        <v>110</v>
      </c>
      <c r="F717" t="s">
        <v>646</v>
      </c>
      <c r="G717" t="s">
        <v>463</v>
      </c>
      <c r="H717">
        <v>170</v>
      </c>
      <c r="I717">
        <v>8</v>
      </c>
      <c r="J717" t="s">
        <v>20</v>
      </c>
      <c r="K717" t="s">
        <v>38</v>
      </c>
      <c r="L717" t="s">
        <v>42</v>
      </c>
      <c r="M717" t="s">
        <v>39</v>
      </c>
      <c r="N717">
        <v>0</v>
      </c>
      <c r="O717">
        <v>0</v>
      </c>
      <c r="P717" s="8">
        <f>INT(Delivery_data[[#This Row],[Order Timestamp]])</f>
        <v>45174</v>
      </c>
      <c r="Q717">
        <f ca="1">IF(Delivery_data[[#This Row],[Order Status]]="In Progress", TODAY()-Delivery_data[[#This Row],[Order Date]], "")</f>
        <v>809</v>
      </c>
      <c r="R717">
        <f>IF(Delivery_data[[#This Row],[On Time]]=1,0,1)</f>
        <v>1</v>
      </c>
    </row>
    <row r="718" spans="1:18" x14ac:dyDescent="0.35">
      <c r="A718">
        <v>1577</v>
      </c>
      <c r="B718" t="s">
        <v>843</v>
      </c>
      <c r="C718" s="1">
        <v>45174.627083333333</v>
      </c>
      <c r="D718" t="s">
        <v>25</v>
      </c>
      <c r="E718" t="s">
        <v>252</v>
      </c>
      <c r="F718" t="s">
        <v>646</v>
      </c>
      <c r="G718" t="s">
        <v>19</v>
      </c>
      <c r="H718">
        <v>146</v>
      </c>
      <c r="I718">
        <v>28</v>
      </c>
      <c r="J718" t="s">
        <v>20</v>
      </c>
      <c r="K718" t="s">
        <v>51</v>
      </c>
      <c r="L718" t="s">
        <v>42</v>
      </c>
      <c r="M718" t="s">
        <v>39</v>
      </c>
      <c r="N718">
        <v>0</v>
      </c>
      <c r="O718">
        <v>0</v>
      </c>
      <c r="P718" s="8">
        <f>INT(Delivery_data[[#This Row],[Order Timestamp]])</f>
        <v>45174</v>
      </c>
      <c r="Q718" t="str">
        <f ca="1">IF(Delivery_data[[#This Row],[Order Status]]="In Progress", TODAY()-Delivery_data[[#This Row],[Order Date]], "")</f>
        <v/>
      </c>
      <c r="R718">
        <f>IF(Delivery_data[[#This Row],[On Time]]=1,0,1)</f>
        <v>1</v>
      </c>
    </row>
    <row r="719" spans="1:18" x14ac:dyDescent="0.35">
      <c r="A719">
        <v>1584</v>
      </c>
      <c r="B719" t="s">
        <v>844</v>
      </c>
      <c r="C719" s="1">
        <v>45170.661805555559</v>
      </c>
      <c r="D719" t="s">
        <v>16</v>
      </c>
      <c r="E719" t="s">
        <v>598</v>
      </c>
      <c r="F719" t="s">
        <v>646</v>
      </c>
      <c r="G719" t="s">
        <v>19</v>
      </c>
      <c r="H719">
        <v>239</v>
      </c>
      <c r="I719">
        <v>22</v>
      </c>
      <c r="J719" t="s">
        <v>35</v>
      </c>
      <c r="K719" t="s">
        <v>38</v>
      </c>
      <c r="L719" t="s">
        <v>42</v>
      </c>
      <c r="M719" t="s">
        <v>39</v>
      </c>
      <c r="N719">
        <v>0</v>
      </c>
      <c r="O719">
        <v>1</v>
      </c>
      <c r="P719" s="8">
        <f>INT(Delivery_data[[#This Row],[Order Timestamp]])</f>
        <v>45170</v>
      </c>
      <c r="Q719">
        <f ca="1">IF(Delivery_data[[#This Row],[Order Status]]="In Progress", TODAY()-Delivery_data[[#This Row],[Order Date]], "")</f>
        <v>813</v>
      </c>
      <c r="R719">
        <f>IF(Delivery_data[[#This Row],[On Time]]=1,0,1)</f>
        <v>1</v>
      </c>
    </row>
    <row r="720" spans="1:18" x14ac:dyDescent="0.35">
      <c r="A720">
        <v>1605</v>
      </c>
      <c r="B720" t="s">
        <v>845</v>
      </c>
      <c r="C720" s="1">
        <v>45172.388888888891</v>
      </c>
      <c r="D720" t="s">
        <v>25</v>
      </c>
      <c r="E720" t="s">
        <v>178</v>
      </c>
      <c r="F720" t="s">
        <v>646</v>
      </c>
      <c r="G720" t="s">
        <v>233</v>
      </c>
      <c r="H720">
        <v>119</v>
      </c>
      <c r="I720">
        <v>14</v>
      </c>
      <c r="J720" t="s">
        <v>35</v>
      </c>
      <c r="K720" t="s">
        <v>28</v>
      </c>
      <c r="L720" t="s">
        <v>42</v>
      </c>
      <c r="M720" t="s">
        <v>23</v>
      </c>
      <c r="N720">
        <v>0</v>
      </c>
      <c r="O720">
        <v>1</v>
      </c>
      <c r="P720" s="8">
        <f>INT(Delivery_data[[#This Row],[Order Timestamp]])</f>
        <v>45172</v>
      </c>
      <c r="Q720" t="str">
        <f ca="1">IF(Delivery_data[[#This Row],[Order Status]]="In Progress", TODAY()-Delivery_data[[#This Row],[Order Date]], "")</f>
        <v/>
      </c>
      <c r="R720">
        <f>IF(Delivery_data[[#This Row],[On Time]]=1,0,1)</f>
        <v>1</v>
      </c>
    </row>
    <row r="721" spans="1:18" x14ac:dyDescent="0.35">
      <c r="A721">
        <v>1620</v>
      </c>
      <c r="B721" t="s">
        <v>846</v>
      </c>
      <c r="C721" s="1">
        <v>45171.393055555556</v>
      </c>
      <c r="D721" t="s">
        <v>25</v>
      </c>
      <c r="E721" t="s">
        <v>50</v>
      </c>
      <c r="F721" t="s">
        <v>646</v>
      </c>
      <c r="G721" t="s">
        <v>19</v>
      </c>
      <c r="H721">
        <v>133</v>
      </c>
      <c r="I721">
        <v>11</v>
      </c>
      <c r="J721" t="s">
        <v>20</v>
      </c>
      <c r="K721" t="s">
        <v>38</v>
      </c>
      <c r="L721" t="s">
        <v>42</v>
      </c>
      <c r="M721" t="s">
        <v>39</v>
      </c>
      <c r="N721">
        <v>0</v>
      </c>
      <c r="O721">
        <v>0</v>
      </c>
      <c r="P721" s="8">
        <f>INT(Delivery_data[[#This Row],[Order Timestamp]])</f>
        <v>45171</v>
      </c>
      <c r="Q721" t="str">
        <f ca="1">IF(Delivery_data[[#This Row],[Order Status]]="In Progress", TODAY()-Delivery_data[[#This Row],[Order Date]], "")</f>
        <v/>
      </c>
      <c r="R721">
        <f>IF(Delivery_data[[#This Row],[On Time]]=1,0,1)</f>
        <v>1</v>
      </c>
    </row>
    <row r="722" spans="1:18" x14ac:dyDescent="0.35">
      <c r="A722">
        <v>1623</v>
      </c>
      <c r="B722" t="s">
        <v>847</v>
      </c>
      <c r="C722" s="1">
        <v>45173.670138888891</v>
      </c>
      <c r="D722" t="s">
        <v>16</v>
      </c>
      <c r="E722" t="s">
        <v>267</v>
      </c>
      <c r="F722" t="s">
        <v>646</v>
      </c>
      <c r="G722" t="s">
        <v>463</v>
      </c>
      <c r="H722">
        <v>117</v>
      </c>
      <c r="I722">
        <v>20</v>
      </c>
      <c r="J722" t="s">
        <v>27</v>
      </c>
      <c r="K722" t="s">
        <v>28</v>
      </c>
      <c r="L722" t="s">
        <v>42</v>
      </c>
      <c r="M722" t="s">
        <v>30</v>
      </c>
      <c r="N722">
        <v>0</v>
      </c>
      <c r="O722">
        <v>0</v>
      </c>
      <c r="P722" s="8">
        <f>INT(Delivery_data[[#This Row],[Order Timestamp]])</f>
        <v>45173</v>
      </c>
      <c r="Q722">
        <f ca="1">IF(Delivery_data[[#This Row],[Order Status]]="In Progress", TODAY()-Delivery_data[[#This Row],[Order Date]], "")</f>
        <v>810</v>
      </c>
      <c r="R722">
        <f>IF(Delivery_data[[#This Row],[On Time]]=1,0,1)</f>
        <v>1</v>
      </c>
    </row>
    <row r="723" spans="1:18" x14ac:dyDescent="0.35">
      <c r="A723">
        <v>1625</v>
      </c>
      <c r="B723" t="s">
        <v>848</v>
      </c>
      <c r="C723" s="1">
        <v>45172.543055555558</v>
      </c>
      <c r="D723" t="s">
        <v>16</v>
      </c>
      <c r="E723" t="s">
        <v>169</v>
      </c>
      <c r="F723" t="s">
        <v>646</v>
      </c>
      <c r="G723" t="s">
        <v>557</v>
      </c>
      <c r="H723">
        <v>192</v>
      </c>
      <c r="I723">
        <v>3</v>
      </c>
      <c r="J723" t="s">
        <v>20</v>
      </c>
      <c r="K723" t="s">
        <v>51</v>
      </c>
      <c r="L723" t="s">
        <v>42</v>
      </c>
      <c r="M723" t="s">
        <v>23</v>
      </c>
      <c r="N723">
        <v>0</v>
      </c>
      <c r="O723">
        <v>0</v>
      </c>
      <c r="P723" s="8">
        <f>INT(Delivery_data[[#This Row],[Order Timestamp]])</f>
        <v>45172</v>
      </c>
      <c r="Q723">
        <f ca="1">IF(Delivery_data[[#This Row],[Order Status]]="In Progress", TODAY()-Delivery_data[[#This Row],[Order Date]], "")</f>
        <v>811</v>
      </c>
      <c r="R723">
        <f>IF(Delivery_data[[#This Row],[On Time]]=1,0,1)</f>
        <v>1</v>
      </c>
    </row>
    <row r="724" spans="1:18" x14ac:dyDescent="0.35">
      <c r="A724">
        <v>1633</v>
      </c>
      <c r="B724" t="s">
        <v>849</v>
      </c>
      <c r="C724" s="1">
        <v>45174.621527777781</v>
      </c>
      <c r="D724" t="s">
        <v>25</v>
      </c>
      <c r="E724" t="s">
        <v>222</v>
      </c>
      <c r="F724" t="s">
        <v>646</v>
      </c>
      <c r="G724" t="s">
        <v>362</v>
      </c>
      <c r="H724">
        <v>71</v>
      </c>
      <c r="I724">
        <v>13</v>
      </c>
      <c r="J724" t="s">
        <v>20</v>
      </c>
      <c r="K724" t="s">
        <v>38</v>
      </c>
      <c r="L724" t="s">
        <v>42</v>
      </c>
      <c r="M724" t="s">
        <v>39</v>
      </c>
      <c r="N724">
        <v>0</v>
      </c>
      <c r="O724">
        <v>0</v>
      </c>
      <c r="P724" s="8">
        <f>INT(Delivery_data[[#This Row],[Order Timestamp]])</f>
        <v>45174</v>
      </c>
      <c r="Q724" t="str">
        <f ca="1">IF(Delivery_data[[#This Row],[Order Status]]="In Progress", TODAY()-Delivery_data[[#This Row],[Order Date]], "")</f>
        <v/>
      </c>
      <c r="R724">
        <f>IF(Delivery_data[[#This Row],[On Time]]=1,0,1)</f>
        <v>1</v>
      </c>
    </row>
    <row r="725" spans="1:18" x14ac:dyDescent="0.35">
      <c r="A725">
        <v>1634</v>
      </c>
      <c r="B725" t="s">
        <v>850</v>
      </c>
      <c r="C725" s="1">
        <v>45170.685416666667</v>
      </c>
      <c r="D725" t="s">
        <v>16</v>
      </c>
      <c r="E725" t="s">
        <v>78</v>
      </c>
      <c r="F725" t="s">
        <v>646</v>
      </c>
      <c r="G725" t="s">
        <v>557</v>
      </c>
      <c r="H725">
        <v>88</v>
      </c>
      <c r="I725">
        <v>14</v>
      </c>
      <c r="J725" t="s">
        <v>27</v>
      </c>
      <c r="K725" t="s">
        <v>51</v>
      </c>
      <c r="L725" t="s">
        <v>42</v>
      </c>
      <c r="M725" t="s">
        <v>23</v>
      </c>
      <c r="N725">
        <v>0</v>
      </c>
      <c r="O725">
        <v>0</v>
      </c>
      <c r="P725" s="8">
        <f>INT(Delivery_data[[#This Row],[Order Timestamp]])</f>
        <v>45170</v>
      </c>
      <c r="Q725">
        <f ca="1">IF(Delivery_data[[#This Row],[Order Status]]="In Progress", TODAY()-Delivery_data[[#This Row],[Order Date]], "")</f>
        <v>813</v>
      </c>
      <c r="R725">
        <f>IF(Delivery_data[[#This Row],[On Time]]=1,0,1)</f>
        <v>1</v>
      </c>
    </row>
    <row r="726" spans="1:18" x14ac:dyDescent="0.35">
      <c r="A726">
        <v>1638</v>
      </c>
      <c r="B726" t="s">
        <v>851</v>
      </c>
      <c r="C726" s="1">
        <v>45172.679861111108</v>
      </c>
      <c r="D726" t="s">
        <v>16</v>
      </c>
      <c r="E726" t="s">
        <v>155</v>
      </c>
      <c r="F726" t="s">
        <v>646</v>
      </c>
      <c r="G726" t="s">
        <v>19</v>
      </c>
      <c r="H726">
        <v>92</v>
      </c>
      <c r="I726">
        <v>25</v>
      </c>
      <c r="J726" t="s">
        <v>35</v>
      </c>
      <c r="K726" t="s">
        <v>28</v>
      </c>
      <c r="L726" t="s">
        <v>42</v>
      </c>
      <c r="M726" t="s">
        <v>30</v>
      </c>
      <c r="N726">
        <v>0</v>
      </c>
      <c r="O726">
        <v>1</v>
      </c>
      <c r="P726" s="8">
        <f>INT(Delivery_data[[#This Row],[Order Timestamp]])</f>
        <v>45172</v>
      </c>
      <c r="Q726">
        <f ca="1">IF(Delivery_data[[#This Row],[Order Status]]="In Progress", TODAY()-Delivery_data[[#This Row],[Order Date]], "")</f>
        <v>811</v>
      </c>
      <c r="R726">
        <f>IF(Delivery_data[[#This Row],[On Time]]=1,0,1)</f>
        <v>1</v>
      </c>
    </row>
    <row r="727" spans="1:18" x14ac:dyDescent="0.35">
      <c r="A727">
        <v>1648</v>
      </c>
      <c r="B727" t="s">
        <v>852</v>
      </c>
      <c r="C727" s="1">
        <v>45173.590277777781</v>
      </c>
      <c r="D727" t="s">
        <v>25</v>
      </c>
      <c r="E727" t="s">
        <v>100</v>
      </c>
      <c r="F727" t="s">
        <v>646</v>
      </c>
      <c r="G727" t="s">
        <v>463</v>
      </c>
      <c r="H727">
        <v>203</v>
      </c>
      <c r="I727">
        <v>4</v>
      </c>
      <c r="J727" t="s">
        <v>20</v>
      </c>
      <c r="K727" t="s">
        <v>33</v>
      </c>
      <c r="L727" t="s">
        <v>42</v>
      </c>
      <c r="M727" t="s">
        <v>23</v>
      </c>
      <c r="N727">
        <v>0</v>
      </c>
      <c r="O727">
        <v>0</v>
      </c>
      <c r="P727" s="8">
        <f>INT(Delivery_data[[#This Row],[Order Timestamp]])</f>
        <v>45173</v>
      </c>
      <c r="Q727" t="str">
        <f ca="1">IF(Delivery_data[[#This Row],[Order Status]]="In Progress", TODAY()-Delivery_data[[#This Row],[Order Date]], "")</f>
        <v/>
      </c>
      <c r="R727">
        <f>IF(Delivery_data[[#This Row],[On Time]]=1,0,1)</f>
        <v>1</v>
      </c>
    </row>
    <row r="728" spans="1:18" x14ac:dyDescent="0.35">
      <c r="A728">
        <v>1662</v>
      </c>
      <c r="B728" t="s">
        <v>853</v>
      </c>
      <c r="C728" s="1">
        <v>45174.472222222219</v>
      </c>
      <c r="D728" t="s">
        <v>25</v>
      </c>
      <c r="E728" t="s">
        <v>416</v>
      </c>
      <c r="F728" t="s">
        <v>646</v>
      </c>
      <c r="G728" t="s">
        <v>557</v>
      </c>
      <c r="H728">
        <v>137</v>
      </c>
      <c r="I728">
        <v>11</v>
      </c>
      <c r="J728" t="s">
        <v>35</v>
      </c>
      <c r="K728" t="s">
        <v>28</v>
      </c>
      <c r="L728" t="s">
        <v>42</v>
      </c>
      <c r="M728" t="s">
        <v>39</v>
      </c>
      <c r="N728">
        <v>0</v>
      </c>
      <c r="O728">
        <v>1</v>
      </c>
      <c r="P728" s="8">
        <f>INT(Delivery_data[[#This Row],[Order Timestamp]])</f>
        <v>45174</v>
      </c>
      <c r="Q728" t="str">
        <f ca="1">IF(Delivery_data[[#This Row],[Order Status]]="In Progress", TODAY()-Delivery_data[[#This Row],[Order Date]], "")</f>
        <v/>
      </c>
      <c r="R728">
        <f>IF(Delivery_data[[#This Row],[On Time]]=1,0,1)</f>
        <v>1</v>
      </c>
    </row>
    <row r="729" spans="1:18" x14ac:dyDescent="0.35">
      <c r="A729">
        <v>1663</v>
      </c>
      <c r="B729" t="s">
        <v>854</v>
      </c>
      <c r="C729" s="1">
        <v>45172.404861111114</v>
      </c>
      <c r="D729" t="s">
        <v>16</v>
      </c>
      <c r="E729" t="s">
        <v>53</v>
      </c>
      <c r="F729" t="s">
        <v>646</v>
      </c>
      <c r="G729" t="s">
        <v>463</v>
      </c>
      <c r="H729">
        <v>101</v>
      </c>
      <c r="I729">
        <v>11</v>
      </c>
      <c r="J729" t="s">
        <v>20</v>
      </c>
      <c r="K729" t="s">
        <v>33</v>
      </c>
      <c r="L729" t="s">
        <v>42</v>
      </c>
      <c r="M729" t="s">
        <v>30</v>
      </c>
      <c r="N729">
        <v>0</v>
      </c>
      <c r="O729">
        <v>0</v>
      </c>
      <c r="P729" s="8">
        <f>INT(Delivery_data[[#This Row],[Order Timestamp]])</f>
        <v>45172</v>
      </c>
      <c r="Q729">
        <f ca="1">IF(Delivery_data[[#This Row],[Order Status]]="In Progress", TODAY()-Delivery_data[[#This Row],[Order Date]], "")</f>
        <v>811</v>
      </c>
      <c r="R729">
        <f>IF(Delivery_data[[#This Row],[On Time]]=1,0,1)</f>
        <v>1</v>
      </c>
    </row>
    <row r="730" spans="1:18" x14ac:dyDescent="0.35">
      <c r="A730">
        <v>1664</v>
      </c>
      <c r="B730" t="s">
        <v>855</v>
      </c>
      <c r="C730" s="1">
        <v>45171.372916666667</v>
      </c>
      <c r="D730" t="s">
        <v>25</v>
      </c>
      <c r="E730" t="s">
        <v>346</v>
      </c>
      <c r="F730" t="s">
        <v>646</v>
      </c>
      <c r="G730" t="s">
        <v>233</v>
      </c>
      <c r="H730">
        <v>97</v>
      </c>
      <c r="I730">
        <v>17</v>
      </c>
      <c r="J730" t="s">
        <v>20</v>
      </c>
      <c r="K730" t="s">
        <v>33</v>
      </c>
      <c r="L730" t="s">
        <v>42</v>
      </c>
      <c r="M730" t="s">
        <v>23</v>
      </c>
      <c r="N730">
        <v>0</v>
      </c>
      <c r="O730">
        <v>0</v>
      </c>
      <c r="P730" s="8">
        <f>INT(Delivery_data[[#This Row],[Order Timestamp]])</f>
        <v>45171</v>
      </c>
      <c r="Q730" t="str">
        <f ca="1">IF(Delivery_data[[#This Row],[Order Status]]="In Progress", TODAY()-Delivery_data[[#This Row],[Order Date]], "")</f>
        <v/>
      </c>
      <c r="R730">
        <f>IF(Delivery_data[[#This Row],[On Time]]=1,0,1)</f>
        <v>1</v>
      </c>
    </row>
    <row r="731" spans="1:18" x14ac:dyDescent="0.35">
      <c r="A731">
        <v>1665</v>
      </c>
      <c r="B731" t="s">
        <v>856</v>
      </c>
      <c r="C731" s="1">
        <v>45177.424305555556</v>
      </c>
      <c r="D731" t="s">
        <v>25</v>
      </c>
      <c r="E731" t="s">
        <v>240</v>
      </c>
      <c r="F731" t="s">
        <v>646</v>
      </c>
      <c r="G731" t="s">
        <v>233</v>
      </c>
      <c r="H731">
        <v>190</v>
      </c>
      <c r="I731">
        <v>23</v>
      </c>
      <c r="J731" t="s">
        <v>20</v>
      </c>
      <c r="K731" t="s">
        <v>28</v>
      </c>
      <c r="L731" t="s">
        <v>42</v>
      </c>
      <c r="M731" t="s">
        <v>30</v>
      </c>
      <c r="N731">
        <v>0</v>
      </c>
      <c r="O731">
        <v>0</v>
      </c>
      <c r="P731" s="8">
        <f>INT(Delivery_data[[#This Row],[Order Timestamp]])</f>
        <v>45177</v>
      </c>
      <c r="Q731" t="str">
        <f ca="1">IF(Delivery_data[[#This Row],[Order Status]]="In Progress", TODAY()-Delivery_data[[#This Row],[Order Date]], "")</f>
        <v/>
      </c>
      <c r="R731">
        <f>IF(Delivery_data[[#This Row],[On Time]]=1,0,1)</f>
        <v>1</v>
      </c>
    </row>
    <row r="732" spans="1:18" x14ac:dyDescent="0.35">
      <c r="A732">
        <v>1669</v>
      </c>
      <c r="B732" t="s">
        <v>857</v>
      </c>
      <c r="C732" s="1">
        <v>45171.388888888891</v>
      </c>
      <c r="D732" t="s">
        <v>25</v>
      </c>
      <c r="E732" t="s">
        <v>76</v>
      </c>
      <c r="F732" t="s">
        <v>646</v>
      </c>
      <c r="G732" t="s">
        <v>362</v>
      </c>
      <c r="H732">
        <v>153</v>
      </c>
      <c r="I732">
        <v>8</v>
      </c>
      <c r="J732" t="s">
        <v>20</v>
      </c>
      <c r="K732" t="s">
        <v>21</v>
      </c>
      <c r="L732" t="s">
        <v>42</v>
      </c>
      <c r="M732" t="s">
        <v>39</v>
      </c>
      <c r="N732">
        <v>0</v>
      </c>
      <c r="O732">
        <v>0</v>
      </c>
      <c r="P732" s="8">
        <f>INT(Delivery_data[[#This Row],[Order Timestamp]])</f>
        <v>45171</v>
      </c>
      <c r="Q732" t="str">
        <f ca="1">IF(Delivery_data[[#This Row],[Order Status]]="In Progress", TODAY()-Delivery_data[[#This Row],[Order Date]], "")</f>
        <v/>
      </c>
      <c r="R732">
        <f>IF(Delivery_data[[#This Row],[On Time]]=1,0,1)</f>
        <v>1</v>
      </c>
    </row>
    <row r="733" spans="1:18" x14ac:dyDescent="0.35">
      <c r="A733">
        <v>1679</v>
      </c>
      <c r="B733" t="s">
        <v>858</v>
      </c>
      <c r="C733" s="1">
        <v>45173.373611111114</v>
      </c>
      <c r="D733" t="s">
        <v>25</v>
      </c>
      <c r="E733" t="s">
        <v>110</v>
      </c>
      <c r="F733" t="s">
        <v>646</v>
      </c>
      <c r="G733" t="s">
        <v>557</v>
      </c>
      <c r="H733">
        <v>158</v>
      </c>
      <c r="I733">
        <v>3</v>
      </c>
      <c r="J733" t="s">
        <v>27</v>
      </c>
      <c r="K733" t="s">
        <v>28</v>
      </c>
      <c r="L733" t="s">
        <v>42</v>
      </c>
      <c r="M733" t="s">
        <v>39</v>
      </c>
      <c r="N733">
        <v>0</v>
      </c>
      <c r="O733">
        <v>0</v>
      </c>
      <c r="P733" s="8">
        <f>INT(Delivery_data[[#This Row],[Order Timestamp]])</f>
        <v>45173</v>
      </c>
      <c r="Q733" t="str">
        <f ca="1">IF(Delivery_data[[#This Row],[Order Status]]="In Progress", TODAY()-Delivery_data[[#This Row],[Order Date]], "")</f>
        <v/>
      </c>
      <c r="R733">
        <f>IF(Delivery_data[[#This Row],[On Time]]=1,0,1)</f>
        <v>1</v>
      </c>
    </row>
    <row r="734" spans="1:18" x14ac:dyDescent="0.35">
      <c r="A734">
        <v>1682</v>
      </c>
      <c r="B734" t="s">
        <v>205</v>
      </c>
      <c r="C734" s="1">
        <v>45170.53402777778</v>
      </c>
      <c r="D734" t="s">
        <v>16</v>
      </c>
      <c r="E734" t="s">
        <v>64</v>
      </c>
      <c r="F734" t="s">
        <v>646</v>
      </c>
      <c r="G734" t="s">
        <v>362</v>
      </c>
      <c r="H734">
        <v>197</v>
      </c>
      <c r="I734">
        <v>3</v>
      </c>
      <c r="J734" t="s">
        <v>27</v>
      </c>
      <c r="K734" t="s">
        <v>38</v>
      </c>
      <c r="L734" t="s">
        <v>42</v>
      </c>
      <c r="M734" t="s">
        <v>39</v>
      </c>
      <c r="N734">
        <v>0</v>
      </c>
      <c r="O734">
        <v>0</v>
      </c>
      <c r="P734" s="8">
        <f>INT(Delivery_data[[#This Row],[Order Timestamp]])</f>
        <v>45170</v>
      </c>
      <c r="Q734">
        <f ca="1">IF(Delivery_data[[#This Row],[Order Status]]="In Progress", TODAY()-Delivery_data[[#This Row],[Order Date]], "")</f>
        <v>813</v>
      </c>
      <c r="R734">
        <f>IF(Delivery_data[[#This Row],[On Time]]=1,0,1)</f>
        <v>1</v>
      </c>
    </row>
    <row r="735" spans="1:18" x14ac:dyDescent="0.35">
      <c r="A735">
        <v>1683</v>
      </c>
      <c r="B735" t="s">
        <v>859</v>
      </c>
      <c r="C735" s="1">
        <v>45171.488888888889</v>
      </c>
      <c r="D735" t="s">
        <v>25</v>
      </c>
      <c r="E735" t="s">
        <v>172</v>
      </c>
      <c r="F735" t="s">
        <v>646</v>
      </c>
      <c r="G735" t="s">
        <v>557</v>
      </c>
      <c r="H735">
        <v>193</v>
      </c>
      <c r="I735">
        <v>26</v>
      </c>
      <c r="J735" t="s">
        <v>20</v>
      </c>
      <c r="K735" t="s">
        <v>51</v>
      </c>
      <c r="L735" t="s">
        <v>42</v>
      </c>
      <c r="M735" t="s">
        <v>30</v>
      </c>
      <c r="N735">
        <v>0</v>
      </c>
      <c r="O735">
        <v>0</v>
      </c>
      <c r="P735" s="8">
        <f>INT(Delivery_data[[#This Row],[Order Timestamp]])</f>
        <v>45171</v>
      </c>
      <c r="Q735" t="str">
        <f ca="1">IF(Delivery_data[[#This Row],[Order Status]]="In Progress", TODAY()-Delivery_data[[#This Row],[Order Date]], "")</f>
        <v/>
      </c>
      <c r="R735">
        <f>IF(Delivery_data[[#This Row],[On Time]]=1,0,1)</f>
        <v>1</v>
      </c>
    </row>
    <row r="736" spans="1:18" x14ac:dyDescent="0.35">
      <c r="A736">
        <v>1696</v>
      </c>
      <c r="B736" t="s">
        <v>860</v>
      </c>
      <c r="C736" s="1">
        <v>45176.60833333333</v>
      </c>
      <c r="D736" t="s">
        <v>16</v>
      </c>
      <c r="E736" t="s">
        <v>356</v>
      </c>
      <c r="F736" t="s">
        <v>646</v>
      </c>
      <c r="G736" t="s">
        <v>362</v>
      </c>
      <c r="H736">
        <v>125</v>
      </c>
      <c r="I736">
        <v>29</v>
      </c>
      <c r="J736" t="s">
        <v>27</v>
      </c>
      <c r="K736" t="s">
        <v>28</v>
      </c>
      <c r="L736" t="s">
        <v>42</v>
      </c>
      <c r="M736" t="s">
        <v>23</v>
      </c>
      <c r="N736">
        <v>0</v>
      </c>
      <c r="O736">
        <v>0</v>
      </c>
      <c r="P736" s="8">
        <f>INT(Delivery_data[[#This Row],[Order Timestamp]])</f>
        <v>45176</v>
      </c>
      <c r="Q736">
        <f ca="1">IF(Delivery_data[[#This Row],[Order Status]]="In Progress", TODAY()-Delivery_data[[#This Row],[Order Date]], "")</f>
        <v>807</v>
      </c>
      <c r="R736">
        <f>IF(Delivery_data[[#This Row],[On Time]]=1,0,1)</f>
        <v>1</v>
      </c>
    </row>
    <row r="737" spans="1:18" x14ac:dyDescent="0.35">
      <c r="A737">
        <v>1704</v>
      </c>
      <c r="B737" t="s">
        <v>861</v>
      </c>
      <c r="C737" s="1">
        <v>45170.459027777775</v>
      </c>
      <c r="D737" t="s">
        <v>25</v>
      </c>
      <c r="E737" t="s">
        <v>26</v>
      </c>
      <c r="F737" t="s">
        <v>646</v>
      </c>
      <c r="G737" t="s">
        <v>557</v>
      </c>
      <c r="H737">
        <v>108</v>
      </c>
      <c r="I737">
        <v>26</v>
      </c>
      <c r="J737" t="s">
        <v>27</v>
      </c>
      <c r="K737" t="s">
        <v>21</v>
      </c>
      <c r="L737" t="s">
        <v>42</v>
      </c>
      <c r="M737" t="s">
        <v>23</v>
      </c>
      <c r="N737">
        <v>0</v>
      </c>
      <c r="O737">
        <v>0</v>
      </c>
      <c r="P737" s="8">
        <f>INT(Delivery_data[[#This Row],[Order Timestamp]])</f>
        <v>45170</v>
      </c>
      <c r="Q737" t="str">
        <f ca="1">IF(Delivery_data[[#This Row],[Order Status]]="In Progress", TODAY()-Delivery_data[[#This Row],[Order Date]], "")</f>
        <v/>
      </c>
      <c r="R737">
        <f>IF(Delivery_data[[#This Row],[On Time]]=1,0,1)</f>
        <v>1</v>
      </c>
    </row>
    <row r="738" spans="1:18" x14ac:dyDescent="0.35">
      <c r="A738">
        <v>1708</v>
      </c>
      <c r="B738" t="s">
        <v>862</v>
      </c>
      <c r="C738" s="1">
        <v>45175.465277777781</v>
      </c>
      <c r="D738" t="s">
        <v>25</v>
      </c>
      <c r="E738" t="s">
        <v>121</v>
      </c>
      <c r="F738" t="s">
        <v>646</v>
      </c>
      <c r="G738" t="s">
        <v>362</v>
      </c>
      <c r="H738">
        <v>114</v>
      </c>
      <c r="I738">
        <v>13</v>
      </c>
      <c r="J738" t="s">
        <v>35</v>
      </c>
      <c r="K738" t="s">
        <v>38</v>
      </c>
      <c r="L738" t="s">
        <v>42</v>
      </c>
      <c r="M738" t="s">
        <v>39</v>
      </c>
      <c r="N738">
        <v>0</v>
      </c>
      <c r="O738">
        <v>1</v>
      </c>
      <c r="P738" s="8">
        <f>INT(Delivery_data[[#This Row],[Order Timestamp]])</f>
        <v>45175</v>
      </c>
      <c r="Q738" t="str">
        <f ca="1">IF(Delivery_data[[#This Row],[Order Status]]="In Progress", TODAY()-Delivery_data[[#This Row],[Order Date]], "")</f>
        <v/>
      </c>
      <c r="R738">
        <f>IF(Delivery_data[[#This Row],[On Time]]=1,0,1)</f>
        <v>1</v>
      </c>
    </row>
    <row r="739" spans="1:18" x14ac:dyDescent="0.35">
      <c r="A739">
        <v>1712</v>
      </c>
      <c r="B739" t="s">
        <v>863</v>
      </c>
      <c r="C739" s="1">
        <v>45171.429166666669</v>
      </c>
      <c r="D739" t="s">
        <v>16</v>
      </c>
      <c r="E739" t="s">
        <v>158</v>
      </c>
      <c r="F739" t="s">
        <v>646</v>
      </c>
      <c r="G739" t="s">
        <v>233</v>
      </c>
      <c r="H739">
        <v>195</v>
      </c>
      <c r="I739">
        <v>22</v>
      </c>
      <c r="J739" t="s">
        <v>35</v>
      </c>
      <c r="K739" t="s">
        <v>33</v>
      </c>
      <c r="L739" t="s">
        <v>42</v>
      </c>
      <c r="M739" t="s">
        <v>39</v>
      </c>
      <c r="N739">
        <v>0</v>
      </c>
      <c r="O739">
        <v>1</v>
      </c>
      <c r="P739" s="8">
        <f>INT(Delivery_data[[#This Row],[Order Timestamp]])</f>
        <v>45171</v>
      </c>
      <c r="Q739">
        <f ca="1">IF(Delivery_data[[#This Row],[Order Status]]="In Progress", TODAY()-Delivery_data[[#This Row],[Order Date]], "")</f>
        <v>812</v>
      </c>
      <c r="R739">
        <f>IF(Delivery_data[[#This Row],[On Time]]=1,0,1)</f>
        <v>1</v>
      </c>
    </row>
    <row r="740" spans="1:18" x14ac:dyDescent="0.35">
      <c r="A740">
        <v>1731</v>
      </c>
      <c r="B740" t="s">
        <v>864</v>
      </c>
      <c r="C740" s="1">
        <v>45173.343055555553</v>
      </c>
      <c r="D740" t="s">
        <v>16</v>
      </c>
      <c r="E740" t="s">
        <v>100</v>
      </c>
      <c r="F740" t="s">
        <v>646</v>
      </c>
      <c r="G740" t="s">
        <v>557</v>
      </c>
      <c r="H740">
        <v>121</v>
      </c>
      <c r="I740">
        <v>22</v>
      </c>
      <c r="J740" t="s">
        <v>27</v>
      </c>
      <c r="K740" t="s">
        <v>33</v>
      </c>
      <c r="L740" t="s">
        <v>42</v>
      </c>
      <c r="M740" t="s">
        <v>23</v>
      </c>
      <c r="N740">
        <v>0</v>
      </c>
      <c r="O740">
        <v>0</v>
      </c>
      <c r="P740" s="8">
        <f>INT(Delivery_data[[#This Row],[Order Timestamp]])</f>
        <v>45173</v>
      </c>
      <c r="Q740">
        <f ca="1">IF(Delivery_data[[#This Row],[Order Status]]="In Progress", TODAY()-Delivery_data[[#This Row],[Order Date]], "")</f>
        <v>810</v>
      </c>
      <c r="R740">
        <f>IF(Delivery_data[[#This Row],[On Time]]=1,0,1)</f>
        <v>1</v>
      </c>
    </row>
    <row r="741" spans="1:18" x14ac:dyDescent="0.35">
      <c r="A741">
        <v>1734</v>
      </c>
      <c r="B741" t="s">
        <v>865</v>
      </c>
      <c r="C741" s="1">
        <v>45175.640972222223</v>
      </c>
      <c r="D741" t="s">
        <v>16</v>
      </c>
      <c r="E741" t="s">
        <v>209</v>
      </c>
      <c r="F741" t="s">
        <v>646</v>
      </c>
      <c r="G741" t="s">
        <v>362</v>
      </c>
      <c r="H741">
        <v>196</v>
      </c>
      <c r="I741">
        <v>5</v>
      </c>
      <c r="J741" t="s">
        <v>20</v>
      </c>
      <c r="K741" t="s">
        <v>38</v>
      </c>
      <c r="L741" t="s">
        <v>42</v>
      </c>
      <c r="M741" t="s">
        <v>39</v>
      </c>
      <c r="N741">
        <v>0</v>
      </c>
      <c r="O741">
        <v>0</v>
      </c>
      <c r="P741" s="8">
        <f>INT(Delivery_data[[#This Row],[Order Timestamp]])</f>
        <v>45175</v>
      </c>
      <c r="Q741">
        <f ca="1">IF(Delivery_data[[#This Row],[Order Status]]="In Progress", TODAY()-Delivery_data[[#This Row],[Order Date]], "")</f>
        <v>808</v>
      </c>
      <c r="R741">
        <f>IF(Delivery_data[[#This Row],[On Time]]=1,0,1)</f>
        <v>1</v>
      </c>
    </row>
    <row r="742" spans="1:18" x14ac:dyDescent="0.35">
      <c r="A742">
        <v>1742</v>
      </c>
      <c r="B742" t="s">
        <v>866</v>
      </c>
      <c r="C742" s="1">
        <v>45172.42083333333</v>
      </c>
      <c r="D742" t="s">
        <v>25</v>
      </c>
      <c r="E742" t="s">
        <v>175</v>
      </c>
      <c r="F742" t="s">
        <v>646</v>
      </c>
      <c r="G742" t="s">
        <v>233</v>
      </c>
      <c r="H742">
        <v>64</v>
      </c>
      <c r="I742">
        <v>24</v>
      </c>
      <c r="J742" t="s">
        <v>35</v>
      </c>
      <c r="K742" t="s">
        <v>33</v>
      </c>
      <c r="L742" t="s">
        <v>42</v>
      </c>
      <c r="M742" t="s">
        <v>39</v>
      </c>
      <c r="N742">
        <v>0</v>
      </c>
      <c r="O742">
        <v>1</v>
      </c>
      <c r="P742" s="8">
        <f>INT(Delivery_data[[#This Row],[Order Timestamp]])</f>
        <v>45172</v>
      </c>
      <c r="Q742" t="str">
        <f ca="1">IF(Delivery_data[[#This Row],[Order Status]]="In Progress", TODAY()-Delivery_data[[#This Row],[Order Date]], "")</f>
        <v/>
      </c>
      <c r="R742">
        <f>IF(Delivery_data[[#This Row],[On Time]]=1,0,1)</f>
        <v>1</v>
      </c>
    </row>
    <row r="743" spans="1:18" x14ac:dyDescent="0.35">
      <c r="A743">
        <v>1743</v>
      </c>
      <c r="B743" t="s">
        <v>867</v>
      </c>
      <c r="C743" s="1">
        <v>45171.390277777777</v>
      </c>
      <c r="D743" t="s">
        <v>16</v>
      </c>
      <c r="E743" t="s">
        <v>126</v>
      </c>
      <c r="F743" t="s">
        <v>646</v>
      </c>
      <c r="G743" t="s">
        <v>19</v>
      </c>
      <c r="H743">
        <v>194</v>
      </c>
      <c r="I743">
        <v>14</v>
      </c>
      <c r="J743" t="s">
        <v>35</v>
      </c>
      <c r="K743" t="s">
        <v>38</v>
      </c>
      <c r="L743" t="s">
        <v>42</v>
      </c>
      <c r="M743" t="s">
        <v>39</v>
      </c>
      <c r="N743">
        <v>0</v>
      </c>
      <c r="O743">
        <v>1</v>
      </c>
      <c r="P743" s="8">
        <f>INT(Delivery_data[[#This Row],[Order Timestamp]])</f>
        <v>45171</v>
      </c>
      <c r="Q743">
        <f ca="1">IF(Delivery_data[[#This Row],[Order Status]]="In Progress", TODAY()-Delivery_data[[#This Row],[Order Date]], "")</f>
        <v>812</v>
      </c>
      <c r="R743">
        <f>IF(Delivery_data[[#This Row],[On Time]]=1,0,1)</f>
        <v>1</v>
      </c>
    </row>
    <row r="744" spans="1:18" x14ac:dyDescent="0.35">
      <c r="A744">
        <v>1770</v>
      </c>
      <c r="B744" t="s">
        <v>868</v>
      </c>
      <c r="C744" s="1">
        <v>45170.488888888889</v>
      </c>
      <c r="D744" t="s">
        <v>25</v>
      </c>
      <c r="E744" t="s">
        <v>62</v>
      </c>
      <c r="F744" t="s">
        <v>646</v>
      </c>
      <c r="G744" t="s">
        <v>362</v>
      </c>
      <c r="H744">
        <v>81</v>
      </c>
      <c r="I744">
        <v>15</v>
      </c>
      <c r="J744" t="s">
        <v>35</v>
      </c>
      <c r="K744" t="s">
        <v>21</v>
      </c>
      <c r="L744" t="s">
        <v>42</v>
      </c>
      <c r="M744" t="s">
        <v>23</v>
      </c>
      <c r="N744">
        <v>0</v>
      </c>
      <c r="O744">
        <v>1</v>
      </c>
      <c r="P744" s="8">
        <f>INT(Delivery_data[[#This Row],[Order Timestamp]])</f>
        <v>45170</v>
      </c>
      <c r="Q744" t="str">
        <f ca="1">IF(Delivery_data[[#This Row],[Order Status]]="In Progress", TODAY()-Delivery_data[[#This Row],[Order Date]], "")</f>
        <v/>
      </c>
      <c r="R744">
        <f>IF(Delivery_data[[#This Row],[On Time]]=1,0,1)</f>
        <v>1</v>
      </c>
    </row>
    <row r="745" spans="1:18" x14ac:dyDescent="0.35">
      <c r="A745">
        <v>1783</v>
      </c>
      <c r="B745" t="s">
        <v>869</v>
      </c>
      <c r="C745" s="1">
        <v>45173.572916666664</v>
      </c>
      <c r="D745" t="s">
        <v>16</v>
      </c>
      <c r="E745" t="s">
        <v>356</v>
      </c>
      <c r="F745" t="s">
        <v>646</v>
      </c>
      <c r="G745" t="s">
        <v>233</v>
      </c>
      <c r="H745">
        <v>149</v>
      </c>
      <c r="I745">
        <v>8</v>
      </c>
      <c r="J745" t="s">
        <v>35</v>
      </c>
      <c r="K745" t="s">
        <v>51</v>
      </c>
      <c r="L745" t="s">
        <v>42</v>
      </c>
      <c r="M745" t="s">
        <v>30</v>
      </c>
      <c r="N745">
        <v>0</v>
      </c>
      <c r="O745">
        <v>1</v>
      </c>
      <c r="P745" s="8">
        <f>INT(Delivery_data[[#This Row],[Order Timestamp]])</f>
        <v>45173</v>
      </c>
      <c r="Q745">
        <f ca="1">IF(Delivery_data[[#This Row],[Order Status]]="In Progress", TODAY()-Delivery_data[[#This Row],[Order Date]], "")</f>
        <v>810</v>
      </c>
      <c r="R745">
        <f>IF(Delivery_data[[#This Row],[On Time]]=1,0,1)</f>
        <v>1</v>
      </c>
    </row>
    <row r="746" spans="1:18" x14ac:dyDescent="0.35">
      <c r="A746">
        <v>1799</v>
      </c>
      <c r="B746" t="s">
        <v>870</v>
      </c>
      <c r="C746" s="1">
        <v>45170.355555555558</v>
      </c>
      <c r="D746" t="s">
        <v>16</v>
      </c>
      <c r="E746" t="s">
        <v>155</v>
      </c>
      <c r="F746" t="s">
        <v>646</v>
      </c>
      <c r="G746" t="s">
        <v>557</v>
      </c>
      <c r="H746">
        <v>68</v>
      </c>
      <c r="I746">
        <v>4</v>
      </c>
      <c r="J746" t="s">
        <v>20</v>
      </c>
      <c r="K746" t="s">
        <v>28</v>
      </c>
      <c r="L746" t="s">
        <v>42</v>
      </c>
      <c r="M746" t="s">
        <v>23</v>
      </c>
      <c r="N746">
        <v>0</v>
      </c>
      <c r="O746">
        <v>0</v>
      </c>
      <c r="P746" s="8">
        <f>INT(Delivery_data[[#This Row],[Order Timestamp]])</f>
        <v>45170</v>
      </c>
      <c r="Q746">
        <f ca="1">IF(Delivery_data[[#This Row],[Order Status]]="In Progress", TODAY()-Delivery_data[[#This Row],[Order Date]], "")</f>
        <v>813</v>
      </c>
      <c r="R746">
        <f>IF(Delivery_data[[#This Row],[On Time]]=1,0,1)</f>
        <v>1</v>
      </c>
    </row>
    <row r="747" spans="1:18" x14ac:dyDescent="0.35">
      <c r="A747">
        <v>1810</v>
      </c>
      <c r="B747" t="s">
        <v>871</v>
      </c>
      <c r="C747" s="1">
        <v>45173.489583333336</v>
      </c>
      <c r="D747" t="s">
        <v>16</v>
      </c>
      <c r="E747" t="s">
        <v>346</v>
      </c>
      <c r="F747" t="s">
        <v>646</v>
      </c>
      <c r="G747" t="s">
        <v>463</v>
      </c>
      <c r="H747">
        <v>131</v>
      </c>
      <c r="I747">
        <v>26</v>
      </c>
      <c r="J747" t="s">
        <v>27</v>
      </c>
      <c r="K747" t="s">
        <v>33</v>
      </c>
      <c r="L747" t="s">
        <v>42</v>
      </c>
      <c r="M747" t="s">
        <v>23</v>
      </c>
      <c r="N747">
        <v>0</v>
      </c>
      <c r="O747">
        <v>0</v>
      </c>
      <c r="P747" s="8">
        <f>INT(Delivery_data[[#This Row],[Order Timestamp]])</f>
        <v>45173</v>
      </c>
      <c r="Q747">
        <f ca="1">IF(Delivery_data[[#This Row],[Order Status]]="In Progress", TODAY()-Delivery_data[[#This Row],[Order Date]], "")</f>
        <v>810</v>
      </c>
      <c r="R747">
        <f>IF(Delivery_data[[#This Row],[On Time]]=1,0,1)</f>
        <v>1</v>
      </c>
    </row>
    <row r="748" spans="1:18" x14ac:dyDescent="0.35">
      <c r="A748">
        <v>1815</v>
      </c>
      <c r="B748" t="s">
        <v>872</v>
      </c>
      <c r="C748" s="1">
        <v>45176.588888888888</v>
      </c>
      <c r="D748" t="s">
        <v>25</v>
      </c>
      <c r="E748" t="s">
        <v>653</v>
      </c>
      <c r="F748" t="s">
        <v>646</v>
      </c>
      <c r="G748" t="s">
        <v>362</v>
      </c>
      <c r="H748">
        <v>205</v>
      </c>
      <c r="I748">
        <v>5</v>
      </c>
      <c r="J748" t="s">
        <v>35</v>
      </c>
      <c r="K748" t="s">
        <v>28</v>
      </c>
      <c r="L748" t="s">
        <v>42</v>
      </c>
      <c r="M748" t="s">
        <v>39</v>
      </c>
      <c r="N748">
        <v>0</v>
      </c>
      <c r="O748">
        <v>1</v>
      </c>
      <c r="P748" s="8">
        <f>INT(Delivery_data[[#This Row],[Order Timestamp]])</f>
        <v>45176</v>
      </c>
      <c r="Q748" t="str">
        <f ca="1">IF(Delivery_data[[#This Row],[Order Status]]="In Progress", TODAY()-Delivery_data[[#This Row],[Order Date]], "")</f>
        <v/>
      </c>
      <c r="R748">
        <f>IF(Delivery_data[[#This Row],[On Time]]=1,0,1)</f>
        <v>1</v>
      </c>
    </row>
    <row r="749" spans="1:18" x14ac:dyDescent="0.35">
      <c r="A749">
        <v>1834</v>
      </c>
      <c r="B749" t="s">
        <v>873</v>
      </c>
      <c r="C749" s="1">
        <v>45171.461111111108</v>
      </c>
      <c r="D749" t="s">
        <v>16</v>
      </c>
      <c r="E749" t="s">
        <v>169</v>
      </c>
      <c r="F749" t="s">
        <v>646</v>
      </c>
      <c r="G749" t="s">
        <v>19</v>
      </c>
      <c r="H749">
        <v>61</v>
      </c>
      <c r="I749">
        <v>16</v>
      </c>
      <c r="J749" t="s">
        <v>20</v>
      </c>
      <c r="K749" t="s">
        <v>21</v>
      </c>
      <c r="L749" t="s">
        <v>42</v>
      </c>
      <c r="M749" t="s">
        <v>23</v>
      </c>
      <c r="N749">
        <v>0</v>
      </c>
      <c r="O749">
        <v>0</v>
      </c>
      <c r="P749" s="8">
        <f>INT(Delivery_data[[#This Row],[Order Timestamp]])</f>
        <v>45171</v>
      </c>
      <c r="Q749">
        <f ca="1">IF(Delivery_data[[#This Row],[Order Status]]="In Progress", TODAY()-Delivery_data[[#This Row],[Order Date]], "")</f>
        <v>812</v>
      </c>
      <c r="R749">
        <f>IF(Delivery_data[[#This Row],[On Time]]=1,0,1)</f>
        <v>1</v>
      </c>
    </row>
    <row r="750" spans="1:18" x14ac:dyDescent="0.35">
      <c r="A750">
        <v>1835</v>
      </c>
      <c r="B750" t="s">
        <v>874</v>
      </c>
      <c r="C750" s="1">
        <v>45177.57916666667</v>
      </c>
      <c r="D750" t="s">
        <v>25</v>
      </c>
      <c r="E750" t="s">
        <v>155</v>
      </c>
      <c r="F750" t="s">
        <v>646</v>
      </c>
      <c r="G750" t="s">
        <v>362</v>
      </c>
      <c r="H750">
        <v>195</v>
      </c>
      <c r="I750">
        <v>13</v>
      </c>
      <c r="J750" t="s">
        <v>35</v>
      </c>
      <c r="K750" t="s">
        <v>33</v>
      </c>
      <c r="L750" t="s">
        <v>42</v>
      </c>
      <c r="M750" t="s">
        <v>30</v>
      </c>
      <c r="N750">
        <v>0</v>
      </c>
      <c r="O750">
        <v>1</v>
      </c>
      <c r="P750" s="8">
        <f>INT(Delivery_data[[#This Row],[Order Timestamp]])</f>
        <v>45177</v>
      </c>
      <c r="Q750" t="str">
        <f ca="1">IF(Delivery_data[[#This Row],[Order Status]]="In Progress", TODAY()-Delivery_data[[#This Row],[Order Date]], "")</f>
        <v/>
      </c>
      <c r="R750">
        <f>IF(Delivery_data[[#This Row],[On Time]]=1,0,1)</f>
        <v>1</v>
      </c>
    </row>
    <row r="751" spans="1:18" x14ac:dyDescent="0.35">
      <c r="A751">
        <v>1848</v>
      </c>
      <c r="B751" t="s">
        <v>875</v>
      </c>
      <c r="C751" s="1">
        <v>45170.542361111111</v>
      </c>
      <c r="D751" t="s">
        <v>16</v>
      </c>
      <c r="E751" t="s">
        <v>225</v>
      </c>
      <c r="F751" t="s">
        <v>646</v>
      </c>
      <c r="G751" t="s">
        <v>557</v>
      </c>
      <c r="H751">
        <v>188</v>
      </c>
      <c r="I751">
        <v>8</v>
      </c>
      <c r="J751" t="s">
        <v>20</v>
      </c>
      <c r="K751" t="s">
        <v>38</v>
      </c>
      <c r="L751" t="s">
        <v>42</v>
      </c>
      <c r="M751" t="s">
        <v>23</v>
      </c>
      <c r="N751">
        <v>0</v>
      </c>
      <c r="O751">
        <v>0</v>
      </c>
      <c r="P751" s="8">
        <f>INT(Delivery_data[[#This Row],[Order Timestamp]])</f>
        <v>45170</v>
      </c>
      <c r="Q751">
        <f ca="1">IF(Delivery_data[[#This Row],[Order Status]]="In Progress", TODAY()-Delivery_data[[#This Row],[Order Date]], "")</f>
        <v>813</v>
      </c>
      <c r="R751">
        <f>IF(Delivery_data[[#This Row],[On Time]]=1,0,1)</f>
        <v>1</v>
      </c>
    </row>
    <row r="752" spans="1:18" x14ac:dyDescent="0.35">
      <c r="A752">
        <v>1850</v>
      </c>
      <c r="B752" t="s">
        <v>876</v>
      </c>
      <c r="C752" s="1">
        <v>45175.670138888891</v>
      </c>
      <c r="D752" t="s">
        <v>25</v>
      </c>
      <c r="E752" t="s">
        <v>653</v>
      </c>
      <c r="F752" t="s">
        <v>646</v>
      </c>
      <c r="G752" t="s">
        <v>233</v>
      </c>
      <c r="H752">
        <v>199</v>
      </c>
      <c r="I752">
        <v>27</v>
      </c>
      <c r="J752" t="s">
        <v>20</v>
      </c>
      <c r="K752" t="s">
        <v>51</v>
      </c>
      <c r="L752" t="s">
        <v>42</v>
      </c>
      <c r="M752" t="s">
        <v>23</v>
      </c>
      <c r="N752">
        <v>0</v>
      </c>
      <c r="O752">
        <v>0</v>
      </c>
      <c r="P752" s="8">
        <f>INT(Delivery_data[[#This Row],[Order Timestamp]])</f>
        <v>45175</v>
      </c>
      <c r="Q752" t="str">
        <f ca="1">IF(Delivery_data[[#This Row],[Order Status]]="In Progress", TODAY()-Delivery_data[[#This Row],[Order Date]], "")</f>
        <v/>
      </c>
      <c r="R752">
        <f>IF(Delivery_data[[#This Row],[On Time]]=1,0,1)</f>
        <v>1</v>
      </c>
    </row>
    <row r="753" spans="1:18" x14ac:dyDescent="0.35">
      <c r="A753">
        <v>1851</v>
      </c>
      <c r="B753" t="s">
        <v>877</v>
      </c>
      <c r="C753" s="1">
        <v>45176.45</v>
      </c>
      <c r="D753" t="s">
        <v>16</v>
      </c>
      <c r="E753" t="s">
        <v>80</v>
      </c>
      <c r="F753" t="s">
        <v>646</v>
      </c>
      <c r="G753" t="s">
        <v>557</v>
      </c>
      <c r="H753">
        <v>129</v>
      </c>
      <c r="I753">
        <v>17</v>
      </c>
      <c r="J753" t="s">
        <v>27</v>
      </c>
      <c r="K753" t="s">
        <v>33</v>
      </c>
      <c r="L753" t="s">
        <v>42</v>
      </c>
      <c r="M753" t="s">
        <v>23</v>
      </c>
      <c r="N753">
        <v>0</v>
      </c>
      <c r="O753">
        <v>0</v>
      </c>
      <c r="P753" s="8">
        <f>INT(Delivery_data[[#This Row],[Order Timestamp]])</f>
        <v>45176</v>
      </c>
      <c r="Q753">
        <f ca="1">IF(Delivery_data[[#This Row],[Order Status]]="In Progress", TODAY()-Delivery_data[[#This Row],[Order Date]], "")</f>
        <v>807</v>
      </c>
      <c r="R753">
        <f>IF(Delivery_data[[#This Row],[On Time]]=1,0,1)</f>
        <v>1</v>
      </c>
    </row>
    <row r="754" spans="1:18" x14ac:dyDescent="0.35">
      <c r="A754">
        <v>1852</v>
      </c>
      <c r="B754" t="s">
        <v>878</v>
      </c>
      <c r="C754" s="1">
        <v>45175.430555555555</v>
      </c>
      <c r="D754" t="s">
        <v>25</v>
      </c>
      <c r="E754" t="s">
        <v>121</v>
      </c>
      <c r="F754" t="s">
        <v>646</v>
      </c>
      <c r="G754" t="s">
        <v>233</v>
      </c>
      <c r="H754">
        <v>213</v>
      </c>
      <c r="I754">
        <v>27</v>
      </c>
      <c r="J754" t="s">
        <v>20</v>
      </c>
      <c r="K754" t="s">
        <v>21</v>
      </c>
      <c r="L754" t="s">
        <v>42</v>
      </c>
      <c r="M754" t="s">
        <v>39</v>
      </c>
      <c r="N754">
        <v>0</v>
      </c>
      <c r="O754">
        <v>0</v>
      </c>
      <c r="P754" s="8">
        <f>INT(Delivery_data[[#This Row],[Order Timestamp]])</f>
        <v>45175</v>
      </c>
      <c r="Q754" t="str">
        <f ca="1">IF(Delivery_data[[#This Row],[Order Status]]="In Progress", TODAY()-Delivery_data[[#This Row],[Order Date]], "")</f>
        <v/>
      </c>
      <c r="R754">
        <f>IF(Delivery_data[[#This Row],[On Time]]=1,0,1)</f>
        <v>1</v>
      </c>
    </row>
    <row r="755" spans="1:18" x14ac:dyDescent="0.35">
      <c r="A755">
        <v>1861</v>
      </c>
      <c r="B755" t="s">
        <v>879</v>
      </c>
      <c r="C755" s="1">
        <v>45173.692361111112</v>
      </c>
      <c r="D755" t="s">
        <v>16</v>
      </c>
      <c r="E755" t="s">
        <v>346</v>
      </c>
      <c r="F755" t="s">
        <v>646</v>
      </c>
      <c r="G755" t="s">
        <v>19</v>
      </c>
      <c r="H755">
        <v>127</v>
      </c>
      <c r="I755">
        <v>7</v>
      </c>
      <c r="J755" t="s">
        <v>35</v>
      </c>
      <c r="K755" t="s">
        <v>51</v>
      </c>
      <c r="L755" t="s">
        <v>42</v>
      </c>
      <c r="M755" t="s">
        <v>39</v>
      </c>
      <c r="N755">
        <v>0</v>
      </c>
      <c r="O755">
        <v>1</v>
      </c>
      <c r="P755" s="8">
        <f>INT(Delivery_data[[#This Row],[Order Timestamp]])</f>
        <v>45173</v>
      </c>
      <c r="Q755">
        <f ca="1">IF(Delivery_data[[#This Row],[Order Status]]="In Progress", TODAY()-Delivery_data[[#This Row],[Order Date]], "")</f>
        <v>810</v>
      </c>
      <c r="R755">
        <f>IF(Delivery_data[[#This Row],[On Time]]=1,0,1)</f>
        <v>1</v>
      </c>
    </row>
    <row r="756" spans="1:18" x14ac:dyDescent="0.35">
      <c r="A756">
        <v>1866</v>
      </c>
      <c r="B756" t="s">
        <v>880</v>
      </c>
      <c r="C756" s="1">
        <v>45176.65</v>
      </c>
      <c r="D756" t="s">
        <v>16</v>
      </c>
      <c r="E756" t="s">
        <v>94</v>
      </c>
      <c r="F756" t="s">
        <v>646</v>
      </c>
      <c r="G756" t="s">
        <v>362</v>
      </c>
      <c r="H756">
        <v>157</v>
      </c>
      <c r="I756">
        <v>6</v>
      </c>
      <c r="J756" t="s">
        <v>35</v>
      </c>
      <c r="K756" t="s">
        <v>28</v>
      </c>
      <c r="L756" t="s">
        <v>42</v>
      </c>
      <c r="M756" t="s">
        <v>30</v>
      </c>
      <c r="N756">
        <v>0</v>
      </c>
      <c r="O756">
        <v>1</v>
      </c>
      <c r="P756" s="8">
        <f>INT(Delivery_data[[#This Row],[Order Timestamp]])</f>
        <v>45176</v>
      </c>
      <c r="Q756">
        <f ca="1">IF(Delivery_data[[#This Row],[Order Status]]="In Progress", TODAY()-Delivery_data[[#This Row],[Order Date]], "")</f>
        <v>807</v>
      </c>
      <c r="R756">
        <f>IF(Delivery_data[[#This Row],[On Time]]=1,0,1)</f>
        <v>1</v>
      </c>
    </row>
    <row r="757" spans="1:18" x14ac:dyDescent="0.35">
      <c r="A757">
        <v>1894</v>
      </c>
      <c r="B757" t="s">
        <v>881</v>
      </c>
      <c r="C757" s="1">
        <v>45174.419444444444</v>
      </c>
      <c r="D757" t="s">
        <v>16</v>
      </c>
      <c r="E757" t="s">
        <v>74</v>
      </c>
      <c r="F757" t="s">
        <v>646</v>
      </c>
      <c r="G757" t="s">
        <v>233</v>
      </c>
      <c r="H757">
        <v>107</v>
      </c>
      <c r="I757">
        <v>7</v>
      </c>
      <c r="J757" t="s">
        <v>20</v>
      </c>
      <c r="K757" t="s">
        <v>33</v>
      </c>
      <c r="L757" t="s">
        <v>42</v>
      </c>
      <c r="M757" t="s">
        <v>39</v>
      </c>
      <c r="N757">
        <v>0</v>
      </c>
      <c r="O757">
        <v>0</v>
      </c>
      <c r="P757" s="8">
        <f>INT(Delivery_data[[#This Row],[Order Timestamp]])</f>
        <v>45174</v>
      </c>
      <c r="Q757">
        <f ca="1">IF(Delivery_data[[#This Row],[Order Status]]="In Progress", TODAY()-Delivery_data[[#This Row],[Order Date]], "")</f>
        <v>809</v>
      </c>
      <c r="R757">
        <f>IF(Delivery_data[[#This Row],[On Time]]=1,0,1)</f>
        <v>1</v>
      </c>
    </row>
    <row r="758" spans="1:18" x14ac:dyDescent="0.35">
      <c r="A758">
        <v>1908</v>
      </c>
      <c r="B758" t="s">
        <v>882</v>
      </c>
      <c r="C758" s="1">
        <v>45172.473611111112</v>
      </c>
      <c r="D758" t="s">
        <v>25</v>
      </c>
      <c r="E758" t="s">
        <v>325</v>
      </c>
      <c r="F758" t="s">
        <v>646</v>
      </c>
      <c r="G758" t="s">
        <v>463</v>
      </c>
      <c r="H758">
        <v>205</v>
      </c>
      <c r="I758">
        <v>2</v>
      </c>
      <c r="J758" t="s">
        <v>35</v>
      </c>
      <c r="K758" t="s">
        <v>38</v>
      </c>
      <c r="L758" t="s">
        <v>42</v>
      </c>
      <c r="M758" t="s">
        <v>23</v>
      </c>
      <c r="N758">
        <v>0</v>
      </c>
      <c r="O758">
        <v>1</v>
      </c>
      <c r="P758" s="8">
        <f>INT(Delivery_data[[#This Row],[Order Timestamp]])</f>
        <v>45172</v>
      </c>
      <c r="Q758" t="str">
        <f ca="1">IF(Delivery_data[[#This Row],[Order Status]]="In Progress", TODAY()-Delivery_data[[#This Row],[Order Date]], "")</f>
        <v/>
      </c>
      <c r="R758">
        <f>IF(Delivery_data[[#This Row],[On Time]]=1,0,1)</f>
        <v>1</v>
      </c>
    </row>
    <row r="759" spans="1:18" x14ac:dyDescent="0.35">
      <c r="A759">
        <v>1911</v>
      </c>
      <c r="B759" t="s">
        <v>883</v>
      </c>
      <c r="C759" s="1">
        <v>45172.423611111109</v>
      </c>
      <c r="D759" t="s">
        <v>25</v>
      </c>
      <c r="E759" t="s">
        <v>121</v>
      </c>
      <c r="F759" t="s">
        <v>646</v>
      </c>
      <c r="G759" t="s">
        <v>362</v>
      </c>
      <c r="H759">
        <v>61</v>
      </c>
      <c r="I759">
        <v>20</v>
      </c>
      <c r="J759" t="s">
        <v>35</v>
      </c>
      <c r="K759" t="s">
        <v>28</v>
      </c>
      <c r="L759" t="s">
        <v>42</v>
      </c>
      <c r="M759" t="s">
        <v>23</v>
      </c>
      <c r="N759">
        <v>0</v>
      </c>
      <c r="O759">
        <v>1</v>
      </c>
      <c r="P759" s="8">
        <f>INT(Delivery_data[[#This Row],[Order Timestamp]])</f>
        <v>45172</v>
      </c>
      <c r="Q759" t="str">
        <f ca="1">IF(Delivery_data[[#This Row],[Order Status]]="In Progress", TODAY()-Delivery_data[[#This Row],[Order Date]], "")</f>
        <v/>
      </c>
      <c r="R759">
        <f>IF(Delivery_data[[#This Row],[On Time]]=1,0,1)</f>
        <v>1</v>
      </c>
    </row>
    <row r="760" spans="1:18" x14ac:dyDescent="0.35">
      <c r="A760">
        <v>1938</v>
      </c>
      <c r="B760" t="s">
        <v>884</v>
      </c>
      <c r="C760" s="1">
        <v>45174.408333333333</v>
      </c>
      <c r="D760" t="s">
        <v>16</v>
      </c>
      <c r="E760" t="s">
        <v>78</v>
      </c>
      <c r="F760" t="s">
        <v>646</v>
      </c>
      <c r="G760" t="s">
        <v>233</v>
      </c>
      <c r="H760">
        <v>73</v>
      </c>
      <c r="I760">
        <v>21</v>
      </c>
      <c r="J760" t="s">
        <v>20</v>
      </c>
      <c r="K760" t="s">
        <v>51</v>
      </c>
      <c r="L760" t="s">
        <v>42</v>
      </c>
      <c r="M760" t="s">
        <v>23</v>
      </c>
      <c r="N760">
        <v>0</v>
      </c>
      <c r="O760">
        <v>0</v>
      </c>
      <c r="P760" s="8">
        <f>INT(Delivery_data[[#This Row],[Order Timestamp]])</f>
        <v>45174</v>
      </c>
      <c r="Q760">
        <f ca="1">IF(Delivery_data[[#This Row],[Order Status]]="In Progress", TODAY()-Delivery_data[[#This Row],[Order Date]], "")</f>
        <v>809</v>
      </c>
      <c r="R760">
        <f>IF(Delivery_data[[#This Row],[On Time]]=1,0,1)</f>
        <v>1</v>
      </c>
    </row>
    <row r="761" spans="1:18" x14ac:dyDescent="0.35">
      <c r="A761">
        <v>1945</v>
      </c>
      <c r="B761" t="s">
        <v>885</v>
      </c>
      <c r="C761" s="1">
        <v>45177.59375</v>
      </c>
      <c r="D761" t="s">
        <v>16</v>
      </c>
      <c r="E761" t="s">
        <v>225</v>
      </c>
      <c r="F761" t="s">
        <v>646</v>
      </c>
      <c r="G761" t="s">
        <v>362</v>
      </c>
      <c r="H761">
        <v>177</v>
      </c>
      <c r="I761">
        <v>17</v>
      </c>
      <c r="J761" t="s">
        <v>27</v>
      </c>
      <c r="K761" t="s">
        <v>28</v>
      </c>
      <c r="L761" t="s">
        <v>42</v>
      </c>
      <c r="M761" t="s">
        <v>23</v>
      </c>
      <c r="N761">
        <v>0</v>
      </c>
      <c r="O761">
        <v>0</v>
      </c>
      <c r="P761" s="8">
        <f>INT(Delivery_data[[#This Row],[Order Timestamp]])</f>
        <v>45177</v>
      </c>
      <c r="Q761">
        <f ca="1">IF(Delivery_data[[#This Row],[Order Status]]="In Progress", TODAY()-Delivery_data[[#This Row],[Order Date]], "")</f>
        <v>806</v>
      </c>
      <c r="R761">
        <f>IF(Delivery_data[[#This Row],[On Time]]=1,0,1)</f>
        <v>1</v>
      </c>
    </row>
    <row r="762" spans="1:18" x14ac:dyDescent="0.35">
      <c r="A762">
        <v>1946</v>
      </c>
      <c r="B762" t="s">
        <v>886</v>
      </c>
      <c r="C762" s="1">
        <v>45171.461111111108</v>
      </c>
      <c r="D762" t="s">
        <v>25</v>
      </c>
      <c r="E762" t="s">
        <v>83</v>
      </c>
      <c r="F762" t="s">
        <v>646</v>
      </c>
      <c r="G762" t="s">
        <v>362</v>
      </c>
      <c r="H762">
        <v>128</v>
      </c>
      <c r="I762">
        <v>13</v>
      </c>
      <c r="J762" t="s">
        <v>27</v>
      </c>
      <c r="K762" t="s">
        <v>21</v>
      </c>
      <c r="L762" t="s">
        <v>42</v>
      </c>
      <c r="M762" t="s">
        <v>30</v>
      </c>
      <c r="N762">
        <v>0</v>
      </c>
      <c r="O762">
        <v>0</v>
      </c>
      <c r="P762" s="8">
        <f>INT(Delivery_data[[#This Row],[Order Timestamp]])</f>
        <v>45171</v>
      </c>
      <c r="Q762" t="str">
        <f ca="1">IF(Delivery_data[[#This Row],[Order Status]]="In Progress", TODAY()-Delivery_data[[#This Row],[Order Date]], "")</f>
        <v/>
      </c>
      <c r="R762">
        <f>IF(Delivery_data[[#This Row],[On Time]]=1,0,1)</f>
        <v>1</v>
      </c>
    </row>
    <row r="763" spans="1:18" x14ac:dyDescent="0.35">
      <c r="A763">
        <v>1948</v>
      </c>
      <c r="B763" t="s">
        <v>887</v>
      </c>
      <c r="C763" s="1">
        <v>45177.613194444442</v>
      </c>
      <c r="D763" t="s">
        <v>16</v>
      </c>
      <c r="E763" t="s">
        <v>245</v>
      </c>
      <c r="F763" t="s">
        <v>646</v>
      </c>
      <c r="G763" t="s">
        <v>362</v>
      </c>
      <c r="H763">
        <v>120</v>
      </c>
      <c r="I763">
        <v>16</v>
      </c>
      <c r="J763" t="s">
        <v>27</v>
      </c>
      <c r="K763" t="s">
        <v>33</v>
      </c>
      <c r="L763" t="s">
        <v>42</v>
      </c>
      <c r="M763" t="s">
        <v>30</v>
      </c>
      <c r="N763">
        <v>0</v>
      </c>
      <c r="O763">
        <v>0</v>
      </c>
      <c r="P763" s="8">
        <f>INT(Delivery_data[[#This Row],[Order Timestamp]])</f>
        <v>45177</v>
      </c>
      <c r="Q763">
        <f ca="1">IF(Delivery_data[[#This Row],[Order Status]]="In Progress", TODAY()-Delivery_data[[#This Row],[Order Date]], "")</f>
        <v>806</v>
      </c>
      <c r="R763">
        <f>IF(Delivery_data[[#This Row],[On Time]]=1,0,1)</f>
        <v>1</v>
      </c>
    </row>
    <row r="764" spans="1:18" x14ac:dyDescent="0.35">
      <c r="A764">
        <v>1959</v>
      </c>
      <c r="B764" t="s">
        <v>888</v>
      </c>
      <c r="C764" s="1">
        <v>45174.573611111111</v>
      </c>
      <c r="D764" t="s">
        <v>16</v>
      </c>
      <c r="E764" t="s">
        <v>314</v>
      </c>
      <c r="F764" t="s">
        <v>646</v>
      </c>
      <c r="G764" t="s">
        <v>557</v>
      </c>
      <c r="H764">
        <v>63</v>
      </c>
      <c r="I764">
        <v>10</v>
      </c>
      <c r="J764" t="s">
        <v>35</v>
      </c>
      <c r="K764" t="s">
        <v>51</v>
      </c>
      <c r="L764" t="s">
        <v>42</v>
      </c>
      <c r="M764" t="s">
        <v>23</v>
      </c>
      <c r="N764">
        <v>0</v>
      </c>
      <c r="O764">
        <v>1</v>
      </c>
      <c r="P764" s="8">
        <f>INT(Delivery_data[[#This Row],[Order Timestamp]])</f>
        <v>45174</v>
      </c>
      <c r="Q764">
        <f ca="1">IF(Delivery_data[[#This Row],[Order Status]]="In Progress", TODAY()-Delivery_data[[#This Row],[Order Date]], "")</f>
        <v>809</v>
      </c>
      <c r="R764">
        <f>IF(Delivery_data[[#This Row],[On Time]]=1,0,1)</f>
        <v>1</v>
      </c>
    </row>
    <row r="765" spans="1:18" x14ac:dyDescent="0.35">
      <c r="A765">
        <v>1989</v>
      </c>
      <c r="B765" t="s">
        <v>889</v>
      </c>
      <c r="C765" s="1">
        <v>45176.402777777781</v>
      </c>
      <c r="D765" t="s">
        <v>25</v>
      </c>
      <c r="E765" t="s">
        <v>200</v>
      </c>
      <c r="F765" t="s">
        <v>646</v>
      </c>
      <c r="G765" t="s">
        <v>362</v>
      </c>
      <c r="H765">
        <v>165</v>
      </c>
      <c r="I765">
        <v>12</v>
      </c>
      <c r="J765" t="s">
        <v>27</v>
      </c>
      <c r="K765" t="s">
        <v>51</v>
      </c>
      <c r="L765" t="s">
        <v>42</v>
      </c>
      <c r="M765" t="s">
        <v>23</v>
      </c>
      <c r="N765">
        <v>0</v>
      </c>
      <c r="O765">
        <v>0</v>
      </c>
      <c r="P765" s="8">
        <f>INT(Delivery_data[[#This Row],[Order Timestamp]])</f>
        <v>45176</v>
      </c>
      <c r="Q765" t="str">
        <f ca="1">IF(Delivery_data[[#This Row],[Order Status]]="In Progress", TODAY()-Delivery_data[[#This Row],[Order Date]], "")</f>
        <v/>
      </c>
      <c r="R765">
        <f>IF(Delivery_data[[#This Row],[On Time]]=1,0,1)</f>
        <v>1</v>
      </c>
    </row>
    <row r="766" spans="1:18" x14ac:dyDescent="0.35">
      <c r="A766">
        <v>1996</v>
      </c>
      <c r="B766" t="s">
        <v>890</v>
      </c>
      <c r="C766" s="1">
        <v>45176.563194444447</v>
      </c>
      <c r="D766" t="s">
        <v>16</v>
      </c>
      <c r="E766" t="s">
        <v>172</v>
      </c>
      <c r="F766" t="s">
        <v>646</v>
      </c>
      <c r="G766" t="s">
        <v>463</v>
      </c>
      <c r="H766">
        <v>236</v>
      </c>
      <c r="I766">
        <v>27</v>
      </c>
      <c r="J766" t="s">
        <v>20</v>
      </c>
      <c r="K766" t="s">
        <v>28</v>
      </c>
      <c r="L766" t="s">
        <v>42</v>
      </c>
      <c r="M766" t="s">
        <v>30</v>
      </c>
      <c r="N766">
        <v>0</v>
      </c>
      <c r="O766">
        <v>0</v>
      </c>
      <c r="P766" s="8">
        <f>INT(Delivery_data[[#This Row],[Order Timestamp]])</f>
        <v>45176</v>
      </c>
      <c r="Q766">
        <f ca="1">IF(Delivery_data[[#This Row],[Order Status]]="In Progress", TODAY()-Delivery_data[[#This Row],[Order Date]], "")</f>
        <v>807</v>
      </c>
      <c r="R766">
        <f>IF(Delivery_data[[#This Row],[On Time]]=1,0,1)</f>
        <v>1</v>
      </c>
    </row>
    <row r="767" spans="1:18" x14ac:dyDescent="0.35">
      <c r="A767">
        <v>2005</v>
      </c>
      <c r="B767" t="s">
        <v>891</v>
      </c>
      <c r="C767" s="1">
        <v>45171.538888888892</v>
      </c>
      <c r="D767" t="s">
        <v>16</v>
      </c>
      <c r="E767" t="s">
        <v>126</v>
      </c>
      <c r="F767" t="s">
        <v>646</v>
      </c>
      <c r="G767" t="s">
        <v>362</v>
      </c>
      <c r="H767">
        <v>141</v>
      </c>
      <c r="I767">
        <v>9</v>
      </c>
      <c r="J767" t="s">
        <v>27</v>
      </c>
      <c r="K767" t="s">
        <v>51</v>
      </c>
      <c r="L767" t="s">
        <v>42</v>
      </c>
      <c r="M767" t="s">
        <v>23</v>
      </c>
      <c r="N767">
        <v>0</v>
      </c>
      <c r="O767">
        <v>0</v>
      </c>
      <c r="P767" s="8">
        <f>INT(Delivery_data[[#This Row],[Order Timestamp]])</f>
        <v>45171</v>
      </c>
      <c r="Q767">
        <f ca="1">IF(Delivery_data[[#This Row],[Order Status]]="In Progress", TODAY()-Delivery_data[[#This Row],[Order Date]], "")</f>
        <v>812</v>
      </c>
      <c r="R767">
        <f>IF(Delivery_data[[#This Row],[On Time]]=1,0,1)</f>
        <v>1</v>
      </c>
    </row>
    <row r="768" spans="1:18" x14ac:dyDescent="0.35">
      <c r="A768">
        <v>2007</v>
      </c>
      <c r="B768" t="s">
        <v>892</v>
      </c>
      <c r="C768" s="1">
        <v>45175.62222222222</v>
      </c>
      <c r="D768" t="s">
        <v>16</v>
      </c>
      <c r="E768" t="s">
        <v>653</v>
      </c>
      <c r="F768" t="s">
        <v>646</v>
      </c>
      <c r="G768" t="s">
        <v>463</v>
      </c>
      <c r="H768">
        <v>159</v>
      </c>
      <c r="I768">
        <v>21</v>
      </c>
      <c r="J768" t="s">
        <v>27</v>
      </c>
      <c r="K768" t="s">
        <v>51</v>
      </c>
      <c r="L768" t="s">
        <v>42</v>
      </c>
      <c r="M768" t="s">
        <v>39</v>
      </c>
      <c r="N768">
        <v>0</v>
      </c>
      <c r="O768">
        <v>0</v>
      </c>
      <c r="P768" s="8">
        <f>INT(Delivery_data[[#This Row],[Order Timestamp]])</f>
        <v>45175</v>
      </c>
      <c r="Q768">
        <f ca="1">IF(Delivery_data[[#This Row],[Order Status]]="In Progress", TODAY()-Delivery_data[[#This Row],[Order Date]], "")</f>
        <v>808</v>
      </c>
      <c r="R768">
        <f>IF(Delivery_data[[#This Row],[On Time]]=1,0,1)</f>
        <v>1</v>
      </c>
    </row>
    <row r="769" spans="1:18" x14ac:dyDescent="0.35">
      <c r="A769">
        <v>2019</v>
      </c>
      <c r="B769" t="s">
        <v>893</v>
      </c>
      <c r="C769" s="1">
        <v>45175.363888888889</v>
      </c>
      <c r="D769" t="s">
        <v>25</v>
      </c>
      <c r="E769" t="s">
        <v>64</v>
      </c>
      <c r="F769" t="s">
        <v>646</v>
      </c>
      <c r="G769" t="s">
        <v>362</v>
      </c>
      <c r="H769">
        <v>84</v>
      </c>
      <c r="I769">
        <v>13</v>
      </c>
      <c r="J769" t="s">
        <v>27</v>
      </c>
      <c r="K769" t="s">
        <v>21</v>
      </c>
      <c r="L769" t="s">
        <v>42</v>
      </c>
      <c r="M769" t="s">
        <v>23</v>
      </c>
      <c r="N769">
        <v>0</v>
      </c>
      <c r="O769">
        <v>0</v>
      </c>
      <c r="P769" s="8">
        <f>INT(Delivery_data[[#This Row],[Order Timestamp]])</f>
        <v>45175</v>
      </c>
      <c r="Q769" t="str">
        <f ca="1">IF(Delivery_data[[#This Row],[Order Status]]="In Progress", TODAY()-Delivery_data[[#This Row],[Order Date]], "")</f>
        <v/>
      </c>
      <c r="R769">
        <f>IF(Delivery_data[[#This Row],[On Time]]=1,0,1)</f>
        <v>1</v>
      </c>
    </row>
    <row r="770" spans="1:18" x14ac:dyDescent="0.35">
      <c r="A770">
        <v>2026</v>
      </c>
      <c r="B770" t="s">
        <v>894</v>
      </c>
      <c r="C770" s="1">
        <v>45175.540277777778</v>
      </c>
      <c r="D770" t="s">
        <v>25</v>
      </c>
      <c r="E770" t="s">
        <v>74</v>
      </c>
      <c r="F770" t="s">
        <v>646</v>
      </c>
      <c r="G770" t="s">
        <v>19</v>
      </c>
      <c r="H770">
        <v>224</v>
      </c>
      <c r="I770">
        <v>15</v>
      </c>
      <c r="J770" t="s">
        <v>27</v>
      </c>
      <c r="K770" t="s">
        <v>33</v>
      </c>
      <c r="L770" t="s">
        <v>42</v>
      </c>
      <c r="M770" t="s">
        <v>30</v>
      </c>
      <c r="N770">
        <v>0</v>
      </c>
      <c r="O770">
        <v>0</v>
      </c>
      <c r="P770" s="8">
        <f>INT(Delivery_data[[#This Row],[Order Timestamp]])</f>
        <v>45175</v>
      </c>
      <c r="Q770" t="str">
        <f ca="1">IF(Delivery_data[[#This Row],[Order Status]]="In Progress", TODAY()-Delivery_data[[#This Row],[Order Date]], "")</f>
        <v/>
      </c>
      <c r="R770">
        <f>IF(Delivery_data[[#This Row],[On Time]]=1,0,1)</f>
        <v>1</v>
      </c>
    </row>
    <row r="771" spans="1:18" x14ac:dyDescent="0.35">
      <c r="A771">
        <v>2032</v>
      </c>
      <c r="B771" t="s">
        <v>895</v>
      </c>
      <c r="C771" s="1">
        <v>45174.409722222219</v>
      </c>
      <c r="D771" t="s">
        <v>25</v>
      </c>
      <c r="E771" t="s">
        <v>240</v>
      </c>
      <c r="F771" t="s">
        <v>646</v>
      </c>
      <c r="G771" t="s">
        <v>463</v>
      </c>
      <c r="H771">
        <v>93</v>
      </c>
      <c r="I771">
        <v>18</v>
      </c>
      <c r="J771" t="s">
        <v>35</v>
      </c>
      <c r="K771" t="s">
        <v>38</v>
      </c>
      <c r="L771" t="s">
        <v>42</v>
      </c>
      <c r="M771" t="s">
        <v>30</v>
      </c>
      <c r="N771">
        <v>0</v>
      </c>
      <c r="O771">
        <v>1</v>
      </c>
      <c r="P771" s="8">
        <f>INT(Delivery_data[[#This Row],[Order Timestamp]])</f>
        <v>45174</v>
      </c>
      <c r="Q771" t="str">
        <f ca="1">IF(Delivery_data[[#This Row],[Order Status]]="In Progress", TODAY()-Delivery_data[[#This Row],[Order Date]], "")</f>
        <v/>
      </c>
      <c r="R771">
        <f>IF(Delivery_data[[#This Row],[On Time]]=1,0,1)</f>
        <v>1</v>
      </c>
    </row>
    <row r="772" spans="1:18" x14ac:dyDescent="0.35">
      <c r="A772">
        <v>2033</v>
      </c>
      <c r="B772" t="s">
        <v>896</v>
      </c>
      <c r="C772" s="1">
        <v>45173.392361111109</v>
      </c>
      <c r="D772" t="s">
        <v>16</v>
      </c>
      <c r="E772" t="s">
        <v>152</v>
      </c>
      <c r="F772" t="s">
        <v>646</v>
      </c>
      <c r="G772" t="s">
        <v>362</v>
      </c>
      <c r="H772">
        <v>150</v>
      </c>
      <c r="I772">
        <v>3</v>
      </c>
      <c r="J772" t="s">
        <v>27</v>
      </c>
      <c r="K772" t="s">
        <v>21</v>
      </c>
      <c r="L772" t="s">
        <v>42</v>
      </c>
      <c r="M772" t="s">
        <v>39</v>
      </c>
      <c r="N772">
        <v>0</v>
      </c>
      <c r="O772">
        <v>0</v>
      </c>
      <c r="P772" s="8">
        <f>INT(Delivery_data[[#This Row],[Order Timestamp]])</f>
        <v>45173</v>
      </c>
      <c r="Q772">
        <f ca="1">IF(Delivery_data[[#This Row],[Order Status]]="In Progress", TODAY()-Delivery_data[[#This Row],[Order Date]], "")</f>
        <v>810</v>
      </c>
      <c r="R772">
        <f>IF(Delivery_data[[#This Row],[On Time]]=1,0,1)</f>
        <v>1</v>
      </c>
    </row>
    <row r="773" spans="1:18" x14ac:dyDescent="0.35">
      <c r="A773">
        <v>2034</v>
      </c>
      <c r="B773" t="s">
        <v>897</v>
      </c>
      <c r="C773" s="1">
        <v>45174.495138888888</v>
      </c>
      <c r="D773" t="s">
        <v>25</v>
      </c>
      <c r="E773" t="s">
        <v>325</v>
      </c>
      <c r="F773" t="s">
        <v>646</v>
      </c>
      <c r="G773" t="s">
        <v>19</v>
      </c>
      <c r="H773">
        <v>91</v>
      </c>
      <c r="I773">
        <v>22</v>
      </c>
      <c r="J773" t="s">
        <v>35</v>
      </c>
      <c r="K773" t="s">
        <v>33</v>
      </c>
      <c r="L773" t="s">
        <v>42</v>
      </c>
      <c r="M773" t="s">
        <v>30</v>
      </c>
      <c r="N773">
        <v>0</v>
      </c>
      <c r="O773">
        <v>1</v>
      </c>
      <c r="P773" s="8">
        <f>INT(Delivery_data[[#This Row],[Order Timestamp]])</f>
        <v>45174</v>
      </c>
      <c r="Q773" t="str">
        <f ca="1">IF(Delivery_data[[#This Row],[Order Status]]="In Progress", TODAY()-Delivery_data[[#This Row],[Order Date]], "")</f>
        <v/>
      </c>
      <c r="R773">
        <f>IF(Delivery_data[[#This Row],[On Time]]=1,0,1)</f>
        <v>1</v>
      </c>
    </row>
    <row r="774" spans="1:18" x14ac:dyDescent="0.35">
      <c r="A774">
        <v>2035</v>
      </c>
      <c r="B774" t="s">
        <v>898</v>
      </c>
      <c r="C774" s="1">
        <v>45177.525694444441</v>
      </c>
      <c r="D774" t="s">
        <v>16</v>
      </c>
      <c r="E774" t="s">
        <v>416</v>
      </c>
      <c r="F774" t="s">
        <v>646</v>
      </c>
      <c r="G774" t="s">
        <v>233</v>
      </c>
      <c r="H774">
        <v>197</v>
      </c>
      <c r="I774">
        <v>5</v>
      </c>
      <c r="J774" t="s">
        <v>20</v>
      </c>
      <c r="K774" t="s">
        <v>51</v>
      </c>
      <c r="L774" t="s">
        <v>42</v>
      </c>
      <c r="M774" t="s">
        <v>30</v>
      </c>
      <c r="N774">
        <v>0</v>
      </c>
      <c r="O774">
        <v>0</v>
      </c>
      <c r="P774" s="8">
        <f>INT(Delivery_data[[#This Row],[Order Timestamp]])</f>
        <v>45177</v>
      </c>
      <c r="Q774">
        <f ca="1">IF(Delivery_data[[#This Row],[Order Status]]="In Progress", TODAY()-Delivery_data[[#This Row],[Order Date]], "")</f>
        <v>806</v>
      </c>
      <c r="R774">
        <f>IF(Delivery_data[[#This Row],[On Time]]=1,0,1)</f>
        <v>1</v>
      </c>
    </row>
    <row r="775" spans="1:18" x14ac:dyDescent="0.35">
      <c r="A775">
        <v>2051</v>
      </c>
      <c r="B775" t="s">
        <v>899</v>
      </c>
      <c r="C775" s="1">
        <v>45172.45416666667</v>
      </c>
      <c r="D775" t="s">
        <v>25</v>
      </c>
      <c r="E775" t="s">
        <v>94</v>
      </c>
      <c r="F775" t="s">
        <v>646</v>
      </c>
      <c r="G775" t="s">
        <v>233</v>
      </c>
      <c r="H775">
        <v>147</v>
      </c>
      <c r="I775">
        <v>28</v>
      </c>
      <c r="J775" t="s">
        <v>27</v>
      </c>
      <c r="K775" t="s">
        <v>21</v>
      </c>
      <c r="L775" t="s">
        <v>42</v>
      </c>
      <c r="M775" t="s">
        <v>30</v>
      </c>
      <c r="N775">
        <v>0</v>
      </c>
      <c r="O775">
        <v>0</v>
      </c>
      <c r="P775" s="8">
        <f>INT(Delivery_data[[#This Row],[Order Timestamp]])</f>
        <v>45172</v>
      </c>
      <c r="Q775" t="str">
        <f ca="1">IF(Delivery_data[[#This Row],[Order Status]]="In Progress", TODAY()-Delivery_data[[#This Row],[Order Date]], "")</f>
        <v/>
      </c>
      <c r="R775">
        <f>IF(Delivery_data[[#This Row],[On Time]]=1,0,1)</f>
        <v>1</v>
      </c>
    </row>
    <row r="776" spans="1:18" x14ac:dyDescent="0.35">
      <c r="A776">
        <v>2067</v>
      </c>
      <c r="B776" t="s">
        <v>900</v>
      </c>
      <c r="C776" s="1">
        <v>45173.679861111108</v>
      </c>
      <c r="D776" t="s">
        <v>25</v>
      </c>
      <c r="E776" t="s">
        <v>214</v>
      </c>
      <c r="F776" t="s">
        <v>646</v>
      </c>
      <c r="G776" t="s">
        <v>463</v>
      </c>
      <c r="H776">
        <v>86</v>
      </c>
      <c r="I776">
        <v>13</v>
      </c>
      <c r="J776" t="s">
        <v>27</v>
      </c>
      <c r="K776" t="s">
        <v>28</v>
      </c>
      <c r="L776" t="s">
        <v>42</v>
      </c>
      <c r="M776" t="s">
        <v>23</v>
      </c>
      <c r="N776">
        <v>0</v>
      </c>
      <c r="O776">
        <v>0</v>
      </c>
      <c r="P776" s="8">
        <f>INT(Delivery_data[[#This Row],[Order Timestamp]])</f>
        <v>45173</v>
      </c>
      <c r="Q776" t="str">
        <f ca="1">IF(Delivery_data[[#This Row],[Order Status]]="In Progress", TODAY()-Delivery_data[[#This Row],[Order Date]], "")</f>
        <v/>
      </c>
      <c r="R776">
        <f>IF(Delivery_data[[#This Row],[On Time]]=1,0,1)</f>
        <v>1</v>
      </c>
    </row>
    <row r="777" spans="1:18" x14ac:dyDescent="0.35">
      <c r="A777">
        <v>2079</v>
      </c>
      <c r="B777" t="s">
        <v>901</v>
      </c>
      <c r="C777" s="1">
        <v>45171.592361111114</v>
      </c>
      <c r="D777" t="s">
        <v>25</v>
      </c>
      <c r="E777" t="s">
        <v>287</v>
      </c>
      <c r="F777" t="s">
        <v>646</v>
      </c>
      <c r="G777" t="s">
        <v>362</v>
      </c>
      <c r="H777">
        <v>232</v>
      </c>
      <c r="I777">
        <v>2</v>
      </c>
      <c r="J777" t="s">
        <v>35</v>
      </c>
      <c r="K777" t="s">
        <v>51</v>
      </c>
      <c r="L777" t="s">
        <v>42</v>
      </c>
      <c r="M777" t="s">
        <v>23</v>
      </c>
      <c r="N777">
        <v>0</v>
      </c>
      <c r="O777">
        <v>1</v>
      </c>
      <c r="P777" s="8">
        <f>INT(Delivery_data[[#This Row],[Order Timestamp]])</f>
        <v>45171</v>
      </c>
      <c r="Q777" t="str">
        <f ca="1">IF(Delivery_data[[#This Row],[Order Status]]="In Progress", TODAY()-Delivery_data[[#This Row],[Order Date]], "")</f>
        <v/>
      </c>
      <c r="R777">
        <f>IF(Delivery_data[[#This Row],[On Time]]=1,0,1)</f>
        <v>1</v>
      </c>
    </row>
    <row r="778" spans="1:18" x14ac:dyDescent="0.35">
      <c r="A778">
        <v>2081</v>
      </c>
      <c r="B778" t="s">
        <v>902</v>
      </c>
      <c r="C778" s="1">
        <v>45176.65625</v>
      </c>
      <c r="D778" t="s">
        <v>16</v>
      </c>
      <c r="E778" t="s">
        <v>271</v>
      </c>
      <c r="F778" t="s">
        <v>646</v>
      </c>
      <c r="G778" t="s">
        <v>557</v>
      </c>
      <c r="H778">
        <v>232</v>
      </c>
      <c r="I778">
        <v>23</v>
      </c>
      <c r="J778" t="s">
        <v>20</v>
      </c>
      <c r="K778" t="s">
        <v>38</v>
      </c>
      <c r="L778" t="s">
        <v>42</v>
      </c>
      <c r="M778" t="s">
        <v>23</v>
      </c>
      <c r="N778">
        <v>0</v>
      </c>
      <c r="O778">
        <v>0</v>
      </c>
      <c r="P778" s="8">
        <f>INT(Delivery_data[[#This Row],[Order Timestamp]])</f>
        <v>45176</v>
      </c>
      <c r="Q778">
        <f ca="1">IF(Delivery_data[[#This Row],[Order Status]]="In Progress", TODAY()-Delivery_data[[#This Row],[Order Date]], "")</f>
        <v>807</v>
      </c>
      <c r="R778">
        <f>IF(Delivery_data[[#This Row],[On Time]]=1,0,1)</f>
        <v>1</v>
      </c>
    </row>
    <row r="779" spans="1:18" x14ac:dyDescent="0.35">
      <c r="A779">
        <v>2086</v>
      </c>
      <c r="B779" t="s">
        <v>903</v>
      </c>
      <c r="C779" s="1">
        <v>45170.616666666669</v>
      </c>
      <c r="D779" t="s">
        <v>25</v>
      </c>
      <c r="E779" t="s">
        <v>48</v>
      </c>
      <c r="F779" t="s">
        <v>646</v>
      </c>
      <c r="G779" t="s">
        <v>463</v>
      </c>
      <c r="H779">
        <v>190</v>
      </c>
      <c r="I779">
        <v>11</v>
      </c>
      <c r="J779" t="s">
        <v>35</v>
      </c>
      <c r="K779" t="s">
        <v>28</v>
      </c>
      <c r="L779" t="s">
        <v>42</v>
      </c>
      <c r="M779" t="s">
        <v>39</v>
      </c>
      <c r="N779">
        <v>0</v>
      </c>
      <c r="O779">
        <v>1</v>
      </c>
      <c r="P779" s="8">
        <f>INT(Delivery_data[[#This Row],[Order Timestamp]])</f>
        <v>45170</v>
      </c>
      <c r="Q779" t="str">
        <f ca="1">IF(Delivery_data[[#This Row],[Order Status]]="In Progress", TODAY()-Delivery_data[[#This Row],[Order Date]], "")</f>
        <v/>
      </c>
      <c r="R779">
        <f>IF(Delivery_data[[#This Row],[On Time]]=1,0,1)</f>
        <v>1</v>
      </c>
    </row>
    <row r="780" spans="1:18" x14ac:dyDescent="0.35">
      <c r="A780">
        <v>2091</v>
      </c>
      <c r="B780" t="s">
        <v>904</v>
      </c>
      <c r="C780" s="1">
        <v>45175.495138888888</v>
      </c>
      <c r="D780" t="s">
        <v>25</v>
      </c>
      <c r="E780" t="s">
        <v>195</v>
      </c>
      <c r="F780" t="s">
        <v>646</v>
      </c>
      <c r="G780" t="s">
        <v>557</v>
      </c>
      <c r="H780">
        <v>133</v>
      </c>
      <c r="I780">
        <v>22</v>
      </c>
      <c r="J780" t="s">
        <v>35</v>
      </c>
      <c r="K780" t="s">
        <v>51</v>
      </c>
      <c r="L780" t="s">
        <v>42</v>
      </c>
      <c r="M780" t="s">
        <v>39</v>
      </c>
      <c r="N780">
        <v>0</v>
      </c>
      <c r="O780">
        <v>1</v>
      </c>
      <c r="P780" s="8">
        <f>INT(Delivery_data[[#This Row],[Order Timestamp]])</f>
        <v>45175</v>
      </c>
      <c r="Q780" t="str">
        <f ca="1">IF(Delivery_data[[#This Row],[Order Status]]="In Progress", TODAY()-Delivery_data[[#This Row],[Order Date]], "")</f>
        <v/>
      </c>
      <c r="R780">
        <f>IF(Delivery_data[[#This Row],[On Time]]=1,0,1)</f>
        <v>1</v>
      </c>
    </row>
    <row r="781" spans="1:18" x14ac:dyDescent="0.35">
      <c r="A781">
        <v>2102</v>
      </c>
      <c r="B781" t="s">
        <v>905</v>
      </c>
      <c r="C781" s="1">
        <v>45171.60833333333</v>
      </c>
      <c r="D781" t="s">
        <v>16</v>
      </c>
      <c r="E781" t="s">
        <v>178</v>
      </c>
      <c r="F781" t="s">
        <v>646</v>
      </c>
      <c r="G781" t="s">
        <v>362</v>
      </c>
      <c r="H781">
        <v>203</v>
      </c>
      <c r="I781">
        <v>5</v>
      </c>
      <c r="J781" t="s">
        <v>27</v>
      </c>
      <c r="K781" t="s">
        <v>38</v>
      </c>
      <c r="L781" t="s">
        <v>42</v>
      </c>
      <c r="M781" t="s">
        <v>39</v>
      </c>
      <c r="N781">
        <v>0</v>
      </c>
      <c r="O781">
        <v>0</v>
      </c>
      <c r="P781" s="8">
        <f>INT(Delivery_data[[#This Row],[Order Timestamp]])</f>
        <v>45171</v>
      </c>
      <c r="Q781">
        <f ca="1">IF(Delivery_data[[#This Row],[Order Status]]="In Progress", TODAY()-Delivery_data[[#This Row],[Order Date]], "")</f>
        <v>812</v>
      </c>
      <c r="R781">
        <f>IF(Delivery_data[[#This Row],[On Time]]=1,0,1)</f>
        <v>1</v>
      </c>
    </row>
    <row r="782" spans="1:18" x14ac:dyDescent="0.35">
      <c r="A782">
        <v>2109</v>
      </c>
      <c r="B782" t="s">
        <v>906</v>
      </c>
      <c r="C782" s="1">
        <v>45176.662499999999</v>
      </c>
      <c r="D782" t="s">
        <v>25</v>
      </c>
      <c r="E782" t="s">
        <v>134</v>
      </c>
      <c r="F782" t="s">
        <v>646</v>
      </c>
      <c r="G782" t="s">
        <v>233</v>
      </c>
      <c r="H782">
        <v>177</v>
      </c>
      <c r="I782">
        <v>12</v>
      </c>
      <c r="J782" t="s">
        <v>27</v>
      </c>
      <c r="K782" t="s">
        <v>33</v>
      </c>
      <c r="L782" t="s">
        <v>42</v>
      </c>
      <c r="M782" t="s">
        <v>39</v>
      </c>
      <c r="N782">
        <v>0</v>
      </c>
      <c r="O782">
        <v>0</v>
      </c>
      <c r="P782" s="8">
        <f>INT(Delivery_data[[#This Row],[Order Timestamp]])</f>
        <v>45176</v>
      </c>
      <c r="Q782" t="str">
        <f ca="1">IF(Delivery_data[[#This Row],[Order Status]]="In Progress", TODAY()-Delivery_data[[#This Row],[Order Date]], "")</f>
        <v/>
      </c>
      <c r="R782">
        <f>IF(Delivery_data[[#This Row],[On Time]]=1,0,1)</f>
        <v>1</v>
      </c>
    </row>
    <row r="783" spans="1:18" x14ac:dyDescent="0.35">
      <c r="A783">
        <v>2116</v>
      </c>
      <c r="B783" t="s">
        <v>907</v>
      </c>
      <c r="C783" s="1">
        <v>45174.700694444444</v>
      </c>
      <c r="D783" t="s">
        <v>25</v>
      </c>
      <c r="E783" t="s">
        <v>113</v>
      </c>
      <c r="F783" t="s">
        <v>646</v>
      </c>
      <c r="G783" t="s">
        <v>362</v>
      </c>
      <c r="H783">
        <v>184</v>
      </c>
      <c r="I783">
        <v>13</v>
      </c>
      <c r="J783" t="s">
        <v>35</v>
      </c>
      <c r="K783" t="s">
        <v>28</v>
      </c>
      <c r="L783" t="s">
        <v>42</v>
      </c>
      <c r="M783" t="s">
        <v>39</v>
      </c>
      <c r="N783">
        <v>0</v>
      </c>
      <c r="O783">
        <v>1</v>
      </c>
      <c r="P783" s="8">
        <f>INT(Delivery_data[[#This Row],[Order Timestamp]])</f>
        <v>45174</v>
      </c>
      <c r="Q783" t="str">
        <f ca="1">IF(Delivery_data[[#This Row],[Order Status]]="In Progress", TODAY()-Delivery_data[[#This Row],[Order Date]], "")</f>
        <v/>
      </c>
      <c r="R783">
        <f>IF(Delivery_data[[#This Row],[On Time]]=1,0,1)</f>
        <v>1</v>
      </c>
    </row>
    <row r="784" spans="1:18" x14ac:dyDescent="0.35">
      <c r="A784">
        <v>2118</v>
      </c>
      <c r="B784" t="s">
        <v>908</v>
      </c>
      <c r="C784" s="1">
        <v>45174.342361111114</v>
      </c>
      <c r="D784" t="s">
        <v>25</v>
      </c>
      <c r="E784" t="s">
        <v>314</v>
      </c>
      <c r="F784" t="s">
        <v>646</v>
      </c>
      <c r="G784" t="s">
        <v>19</v>
      </c>
      <c r="H784">
        <v>134</v>
      </c>
      <c r="I784">
        <v>14</v>
      </c>
      <c r="J784" t="s">
        <v>20</v>
      </c>
      <c r="K784" t="s">
        <v>51</v>
      </c>
      <c r="L784" t="s">
        <v>42</v>
      </c>
      <c r="M784" t="s">
        <v>30</v>
      </c>
      <c r="N784">
        <v>0</v>
      </c>
      <c r="O784">
        <v>0</v>
      </c>
      <c r="P784" s="8">
        <f>INT(Delivery_data[[#This Row],[Order Timestamp]])</f>
        <v>45174</v>
      </c>
      <c r="Q784" t="str">
        <f ca="1">IF(Delivery_data[[#This Row],[Order Status]]="In Progress", TODAY()-Delivery_data[[#This Row],[Order Date]], "")</f>
        <v/>
      </c>
      <c r="R784">
        <f>IF(Delivery_data[[#This Row],[On Time]]=1,0,1)</f>
        <v>1</v>
      </c>
    </row>
    <row r="785" spans="1:18" x14ac:dyDescent="0.35">
      <c r="A785">
        <v>2127</v>
      </c>
      <c r="B785" t="s">
        <v>909</v>
      </c>
      <c r="C785" s="1">
        <v>45177.411805555559</v>
      </c>
      <c r="D785" t="s">
        <v>16</v>
      </c>
      <c r="E785" t="s">
        <v>287</v>
      </c>
      <c r="F785" t="s">
        <v>646</v>
      </c>
      <c r="G785" t="s">
        <v>557</v>
      </c>
      <c r="H785">
        <v>206</v>
      </c>
      <c r="I785">
        <v>13</v>
      </c>
      <c r="J785" t="s">
        <v>35</v>
      </c>
      <c r="K785" t="s">
        <v>51</v>
      </c>
      <c r="L785" t="s">
        <v>42</v>
      </c>
      <c r="M785" t="s">
        <v>30</v>
      </c>
      <c r="N785">
        <v>0</v>
      </c>
      <c r="O785">
        <v>1</v>
      </c>
      <c r="P785" s="8">
        <f>INT(Delivery_data[[#This Row],[Order Timestamp]])</f>
        <v>45177</v>
      </c>
      <c r="Q785">
        <f ca="1">IF(Delivery_data[[#This Row],[Order Status]]="In Progress", TODAY()-Delivery_data[[#This Row],[Order Date]], "")</f>
        <v>806</v>
      </c>
      <c r="R785">
        <f>IF(Delivery_data[[#This Row],[On Time]]=1,0,1)</f>
        <v>1</v>
      </c>
    </row>
    <row r="786" spans="1:18" x14ac:dyDescent="0.35">
      <c r="A786">
        <v>2136</v>
      </c>
      <c r="B786" t="s">
        <v>910</v>
      </c>
      <c r="C786" s="1">
        <v>45175.368750000001</v>
      </c>
      <c r="D786" t="s">
        <v>16</v>
      </c>
      <c r="E786" t="s">
        <v>110</v>
      </c>
      <c r="F786" t="s">
        <v>646</v>
      </c>
      <c r="G786" t="s">
        <v>557</v>
      </c>
      <c r="H786">
        <v>179</v>
      </c>
      <c r="I786">
        <v>16</v>
      </c>
      <c r="J786" t="s">
        <v>35</v>
      </c>
      <c r="K786" t="s">
        <v>33</v>
      </c>
      <c r="L786" t="s">
        <v>42</v>
      </c>
      <c r="M786" t="s">
        <v>30</v>
      </c>
      <c r="N786">
        <v>0</v>
      </c>
      <c r="O786">
        <v>1</v>
      </c>
      <c r="P786" s="8">
        <f>INT(Delivery_data[[#This Row],[Order Timestamp]])</f>
        <v>45175</v>
      </c>
      <c r="Q786">
        <f ca="1">IF(Delivery_data[[#This Row],[Order Status]]="In Progress", TODAY()-Delivery_data[[#This Row],[Order Date]], "")</f>
        <v>808</v>
      </c>
      <c r="R786">
        <f>IF(Delivery_data[[#This Row],[On Time]]=1,0,1)</f>
        <v>1</v>
      </c>
    </row>
    <row r="787" spans="1:18" x14ac:dyDescent="0.35">
      <c r="A787">
        <v>2144</v>
      </c>
      <c r="B787" t="s">
        <v>911</v>
      </c>
      <c r="C787" s="1">
        <v>45173.668055555558</v>
      </c>
      <c r="D787" t="s">
        <v>16</v>
      </c>
      <c r="E787" t="s">
        <v>152</v>
      </c>
      <c r="F787" t="s">
        <v>646</v>
      </c>
      <c r="G787" t="s">
        <v>463</v>
      </c>
      <c r="H787">
        <v>142</v>
      </c>
      <c r="I787">
        <v>25</v>
      </c>
      <c r="J787" t="s">
        <v>35</v>
      </c>
      <c r="K787" t="s">
        <v>38</v>
      </c>
      <c r="L787" t="s">
        <v>42</v>
      </c>
      <c r="M787" t="s">
        <v>39</v>
      </c>
      <c r="N787">
        <v>0</v>
      </c>
      <c r="O787">
        <v>1</v>
      </c>
      <c r="P787" s="8">
        <f>INT(Delivery_data[[#This Row],[Order Timestamp]])</f>
        <v>45173</v>
      </c>
      <c r="Q787">
        <f ca="1">IF(Delivery_data[[#This Row],[Order Status]]="In Progress", TODAY()-Delivery_data[[#This Row],[Order Date]], "")</f>
        <v>810</v>
      </c>
      <c r="R787">
        <f>IF(Delivery_data[[#This Row],[On Time]]=1,0,1)</f>
        <v>1</v>
      </c>
    </row>
    <row r="788" spans="1:18" x14ac:dyDescent="0.35">
      <c r="A788">
        <v>2148</v>
      </c>
      <c r="B788" t="s">
        <v>912</v>
      </c>
      <c r="C788" s="1">
        <v>45170.637499999997</v>
      </c>
      <c r="D788" t="s">
        <v>16</v>
      </c>
      <c r="E788" t="s">
        <v>248</v>
      </c>
      <c r="F788" t="s">
        <v>646</v>
      </c>
      <c r="G788" t="s">
        <v>362</v>
      </c>
      <c r="H788">
        <v>170</v>
      </c>
      <c r="I788">
        <v>29</v>
      </c>
      <c r="J788" t="s">
        <v>35</v>
      </c>
      <c r="K788" t="s">
        <v>38</v>
      </c>
      <c r="L788" t="s">
        <v>42</v>
      </c>
      <c r="M788" t="s">
        <v>39</v>
      </c>
      <c r="N788">
        <v>0</v>
      </c>
      <c r="O788">
        <v>1</v>
      </c>
      <c r="P788" s="8">
        <f>INT(Delivery_data[[#This Row],[Order Timestamp]])</f>
        <v>45170</v>
      </c>
      <c r="Q788">
        <f ca="1">IF(Delivery_data[[#This Row],[Order Status]]="In Progress", TODAY()-Delivery_data[[#This Row],[Order Date]], "")</f>
        <v>813</v>
      </c>
      <c r="R788">
        <f>IF(Delivery_data[[#This Row],[On Time]]=1,0,1)</f>
        <v>1</v>
      </c>
    </row>
    <row r="789" spans="1:18" x14ac:dyDescent="0.35">
      <c r="A789">
        <v>2150</v>
      </c>
      <c r="B789" t="s">
        <v>913</v>
      </c>
      <c r="C789" s="1">
        <v>45174.54583333333</v>
      </c>
      <c r="D789" t="s">
        <v>25</v>
      </c>
      <c r="E789" t="s">
        <v>214</v>
      </c>
      <c r="F789" t="s">
        <v>646</v>
      </c>
      <c r="G789" t="s">
        <v>233</v>
      </c>
      <c r="H789">
        <v>182</v>
      </c>
      <c r="I789">
        <v>24</v>
      </c>
      <c r="J789" t="s">
        <v>20</v>
      </c>
      <c r="K789" t="s">
        <v>28</v>
      </c>
      <c r="L789" t="s">
        <v>42</v>
      </c>
      <c r="M789" t="s">
        <v>30</v>
      </c>
      <c r="N789">
        <v>0</v>
      </c>
      <c r="O789">
        <v>0</v>
      </c>
      <c r="P789" s="8">
        <f>INT(Delivery_data[[#This Row],[Order Timestamp]])</f>
        <v>45174</v>
      </c>
      <c r="Q789" t="str">
        <f ca="1">IF(Delivery_data[[#This Row],[Order Status]]="In Progress", TODAY()-Delivery_data[[#This Row],[Order Date]], "")</f>
        <v/>
      </c>
      <c r="R789">
        <f>IF(Delivery_data[[#This Row],[On Time]]=1,0,1)</f>
        <v>1</v>
      </c>
    </row>
    <row r="790" spans="1:18" x14ac:dyDescent="0.35">
      <c r="A790">
        <v>2157</v>
      </c>
      <c r="B790" t="s">
        <v>914</v>
      </c>
      <c r="C790" s="1">
        <v>45174.57916666667</v>
      </c>
      <c r="D790" t="s">
        <v>16</v>
      </c>
      <c r="E790" t="s">
        <v>37</v>
      </c>
      <c r="F790" t="s">
        <v>646</v>
      </c>
      <c r="G790" t="s">
        <v>19</v>
      </c>
      <c r="H790">
        <v>131</v>
      </c>
      <c r="I790">
        <v>27</v>
      </c>
      <c r="J790" t="s">
        <v>27</v>
      </c>
      <c r="K790" t="s">
        <v>21</v>
      </c>
      <c r="L790" t="s">
        <v>42</v>
      </c>
      <c r="M790" t="s">
        <v>30</v>
      </c>
      <c r="N790">
        <v>0</v>
      </c>
      <c r="O790">
        <v>0</v>
      </c>
      <c r="P790" s="8">
        <f>INT(Delivery_data[[#This Row],[Order Timestamp]])</f>
        <v>45174</v>
      </c>
      <c r="Q790">
        <f ca="1">IF(Delivery_data[[#This Row],[Order Status]]="In Progress", TODAY()-Delivery_data[[#This Row],[Order Date]], "")</f>
        <v>809</v>
      </c>
      <c r="R790">
        <f>IF(Delivery_data[[#This Row],[On Time]]=1,0,1)</f>
        <v>1</v>
      </c>
    </row>
    <row r="791" spans="1:18" x14ac:dyDescent="0.35">
      <c r="A791">
        <v>2165</v>
      </c>
      <c r="B791" t="s">
        <v>915</v>
      </c>
      <c r="C791" s="1">
        <v>45170.519444444442</v>
      </c>
      <c r="D791" t="s">
        <v>16</v>
      </c>
      <c r="E791" t="s">
        <v>248</v>
      </c>
      <c r="F791" t="s">
        <v>646</v>
      </c>
      <c r="G791" t="s">
        <v>233</v>
      </c>
      <c r="H791">
        <v>228</v>
      </c>
      <c r="I791">
        <v>20</v>
      </c>
      <c r="J791" t="s">
        <v>27</v>
      </c>
      <c r="K791" t="s">
        <v>21</v>
      </c>
      <c r="L791" t="s">
        <v>42</v>
      </c>
      <c r="M791" t="s">
        <v>39</v>
      </c>
      <c r="N791">
        <v>0</v>
      </c>
      <c r="O791">
        <v>0</v>
      </c>
      <c r="P791" s="8">
        <f>INT(Delivery_data[[#This Row],[Order Timestamp]])</f>
        <v>45170</v>
      </c>
      <c r="Q791">
        <f ca="1">IF(Delivery_data[[#This Row],[Order Status]]="In Progress", TODAY()-Delivery_data[[#This Row],[Order Date]], "")</f>
        <v>813</v>
      </c>
      <c r="R791">
        <f>IF(Delivery_data[[#This Row],[On Time]]=1,0,1)</f>
        <v>1</v>
      </c>
    </row>
    <row r="792" spans="1:18" x14ac:dyDescent="0.35">
      <c r="A792">
        <v>2166</v>
      </c>
      <c r="B792" t="s">
        <v>916</v>
      </c>
      <c r="C792" s="1">
        <v>45177.522222222222</v>
      </c>
      <c r="D792" t="s">
        <v>25</v>
      </c>
      <c r="E792" t="s">
        <v>68</v>
      </c>
      <c r="F792" t="s">
        <v>646</v>
      </c>
      <c r="G792" t="s">
        <v>233</v>
      </c>
      <c r="H792">
        <v>212</v>
      </c>
      <c r="I792">
        <v>9</v>
      </c>
      <c r="J792" t="s">
        <v>20</v>
      </c>
      <c r="K792" t="s">
        <v>38</v>
      </c>
      <c r="L792" t="s">
        <v>42</v>
      </c>
      <c r="M792" t="s">
        <v>39</v>
      </c>
      <c r="N792">
        <v>0</v>
      </c>
      <c r="O792">
        <v>0</v>
      </c>
      <c r="P792" s="8">
        <f>INT(Delivery_data[[#This Row],[Order Timestamp]])</f>
        <v>45177</v>
      </c>
      <c r="Q792" t="str">
        <f ca="1">IF(Delivery_data[[#This Row],[Order Status]]="In Progress", TODAY()-Delivery_data[[#This Row],[Order Date]], "")</f>
        <v/>
      </c>
      <c r="R792">
        <f>IF(Delivery_data[[#This Row],[On Time]]=1,0,1)</f>
        <v>1</v>
      </c>
    </row>
    <row r="793" spans="1:18" x14ac:dyDescent="0.35">
      <c r="A793">
        <v>2173</v>
      </c>
      <c r="B793" t="s">
        <v>917</v>
      </c>
      <c r="C793" s="1">
        <v>45177.493055555555</v>
      </c>
      <c r="D793" t="s">
        <v>25</v>
      </c>
      <c r="E793" t="s">
        <v>184</v>
      </c>
      <c r="F793" t="s">
        <v>646</v>
      </c>
      <c r="G793" t="s">
        <v>233</v>
      </c>
      <c r="H793">
        <v>208</v>
      </c>
      <c r="I793">
        <v>25</v>
      </c>
      <c r="J793" t="s">
        <v>20</v>
      </c>
      <c r="K793" t="s">
        <v>38</v>
      </c>
      <c r="L793" t="s">
        <v>42</v>
      </c>
      <c r="M793" t="s">
        <v>39</v>
      </c>
      <c r="N793">
        <v>0</v>
      </c>
      <c r="O793">
        <v>0</v>
      </c>
      <c r="P793" s="8">
        <f>INT(Delivery_data[[#This Row],[Order Timestamp]])</f>
        <v>45177</v>
      </c>
      <c r="Q793" t="str">
        <f ca="1">IF(Delivery_data[[#This Row],[Order Status]]="In Progress", TODAY()-Delivery_data[[#This Row],[Order Date]], "")</f>
        <v/>
      </c>
      <c r="R793">
        <f>IF(Delivery_data[[#This Row],[On Time]]=1,0,1)</f>
        <v>1</v>
      </c>
    </row>
    <row r="794" spans="1:18" x14ac:dyDescent="0.35">
      <c r="A794">
        <v>2175</v>
      </c>
      <c r="B794" t="s">
        <v>918</v>
      </c>
      <c r="C794" s="1">
        <v>45173.602083333331</v>
      </c>
      <c r="D794" t="s">
        <v>25</v>
      </c>
      <c r="E794" t="s">
        <v>314</v>
      </c>
      <c r="F794" t="s">
        <v>646</v>
      </c>
      <c r="G794" t="s">
        <v>233</v>
      </c>
      <c r="H794">
        <v>110</v>
      </c>
      <c r="I794">
        <v>19</v>
      </c>
      <c r="J794" t="s">
        <v>27</v>
      </c>
      <c r="K794" t="s">
        <v>21</v>
      </c>
      <c r="L794" t="s">
        <v>42</v>
      </c>
      <c r="M794" t="s">
        <v>39</v>
      </c>
      <c r="N794">
        <v>0</v>
      </c>
      <c r="O794">
        <v>0</v>
      </c>
      <c r="P794" s="8">
        <f>INT(Delivery_data[[#This Row],[Order Timestamp]])</f>
        <v>45173</v>
      </c>
      <c r="Q794" t="str">
        <f ca="1">IF(Delivery_data[[#This Row],[Order Status]]="In Progress", TODAY()-Delivery_data[[#This Row],[Order Date]], "")</f>
        <v/>
      </c>
      <c r="R794">
        <f>IF(Delivery_data[[#This Row],[On Time]]=1,0,1)</f>
        <v>1</v>
      </c>
    </row>
    <row r="795" spans="1:18" x14ac:dyDescent="0.35">
      <c r="A795">
        <v>2199</v>
      </c>
      <c r="B795" t="s">
        <v>919</v>
      </c>
      <c r="C795" s="1">
        <v>45170.486805555556</v>
      </c>
      <c r="D795" t="s">
        <v>16</v>
      </c>
      <c r="E795" t="s">
        <v>447</v>
      </c>
      <c r="F795" t="s">
        <v>646</v>
      </c>
      <c r="G795" t="s">
        <v>362</v>
      </c>
      <c r="H795">
        <v>68</v>
      </c>
      <c r="I795">
        <v>4</v>
      </c>
      <c r="J795" t="s">
        <v>35</v>
      </c>
      <c r="K795" t="s">
        <v>38</v>
      </c>
      <c r="L795" t="s">
        <v>42</v>
      </c>
      <c r="M795" t="s">
        <v>30</v>
      </c>
      <c r="N795">
        <v>0</v>
      </c>
      <c r="O795">
        <v>1</v>
      </c>
      <c r="P795" s="8">
        <f>INT(Delivery_data[[#This Row],[Order Timestamp]])</f>
        <v>45170</v>
      </c>
      <c r="Q795">
        <f ca="1">IF(Delivery_data[[#This Row],[Order Status]]="In Progress", TODAY()-Delivery_data[[#This Row],[Order Date]], "")</f>
        <v>813</v>
      </c>
      <c r="R795">
        <f>IF(Delivery_data[[#This Row],[On Time]]=1,0,1)</f>
        <v>1</v>
      </c>
    </row>
    <row r="796" spans="1:18" x14ac:dyDescent="0.35">
      <c r="A796">
        <v>2216</v>
      </c>
      <c r="B796" t="s">
        <v>920</v>
      </c>
      <c r="C796" s="1">
        <v>45177.441666666666</v>
      </c>
      <c r="D796" t="s">
        <v>16</v>
      </c>
      <c r="E796" t="s">
        <v>258</v>
      </c>
      <c r="F796" t="s">
        <v>646</v>
      </c>
      <c r="G796" t="s">
        <v>362</v>
      </c>
      <c r="H796">
        <v>161</v>
      </c>
      <c r="I796">
        <v>3</v>
      </c>
      <c r="J796" t="s">
        <v>35</v>
      </c>
      <c r="K796" t="s">
        <v>21</v>
      </c>
      <c r="L796" t="s">
        <v>42</v>
      </c>
      <c r="M796" t="s">
        <v>30</v>
      </c>
      <c r="N796">
        <v>0</v>
      </c>
      <c r="O796">
        <v>1</v>
      </c>
      <c r="P796" s="8">
        <f>INT(Delivery_data[[#This Row],[Order Timestamp]])</f>
        <v>45177</v>
      </c>
      <c r="Q796">
        <f ca="1">IF(Delivery_data[[#This Row],[Order Status]]="In Progress", TODAY()-Delivery_data[[#This Row],[Order Date]], "")</f>
        <v>806</v>
      </c>
      <c r="R796">
        <f>IF(Delivery_data[[#This Row],[On Time]]=1,0,1)</f>
        <v>1</v>
      </c>
    </row>
    <row r="797" spans="1:18" x14ac:dyDescent="0.35">
      <c r="A797">
        <v>2218</v>
      </c>
      <c r="B797" t="s">
        <v>921</v>
      </c>
      <c r="C797" s="1">
        <v>45175.495138888888</v>
      </c>
      <c r="D797" t="s">
        <v>25</v>
      </c>
      <c r="E797" t="s">
        <v>320</v>
      </c>
      <c r="F797" t="s">
        <v>646</v>
      </c>
      <c r="G797" t="s">
        <v>233</v>
      </c>
      <c r="H797">
        <v>145</v>
      </c>
      <c r="I797">
        <v>9</v>
      </c>
      <c r="J797" t="s">
        <v>27</v>
      </c>
      <c r="K797" t="s">
        <v>51</v>
      </c>
      <c r="L797" t="s">
        <v>42</v>
      </c>
      <c r="M797" t="s">
        <v>30</v>
      </c>
      <c r="N797">
        <v>0</v>
      </c>
      <c r="O797">
        <v>0</v>
      </c>
      <c r="P797" s="8">
        <f>INT(Delivery_data[[#This Row],[Order Timestamp]])</f>
        <v>45175</v>
      </c>
      <c r="Q797" t="str">
        <f ca="1">IF(Delivery_data[[#This Row],[Order Status]]="In Progress", TODAY()-Delivery_data[[#This Row],[Order Date]], "")</f>
        <v/>
      </c>
      <c r="R797">
        <f>IF(Delivery_data[[#This Row],[On Time]]=1,0,1)</f>
        <v>1</v>
      </c>
    </row>
    <row r="798" spans="1:18" x14ac:dyDescent="0.35">
      <c r="A798">
        <v>2222</v>
      </c>
      <c r="B798" t="s">
        <v>922</v>
      </c>
      <c r="C798" s="1">
        <v>45172.615277777775</v>
      </c>
      <c r="D798" t="s">
        <v>16</v>
      </c>
      <c r="E798" t="s">
        <v>91</v>
      </c>
      <c r="F798" t="s">
        <v>646</v>
      </c>
      <c r="G798" t="s">
        <v>233</v>
      </c>
      <c r="H798">
        <v>229</v>
      </c>
      <c r="I798">
        <v>18</v>
      </c>
      <c r="J798" t="s">
        <v>20</v>
      </c>
      <c r="K798" t="s">
        <v>51</v>
      </c>
      <c r="L798" t="s">
        <v>42</v>
      </c>
      <c r="M798" t="s">
        <v>23</v>
      </c>
      <c r="N798">
        <v>0</v>
      </c>
      <c r="O798">
        <v>0</v>
      </c>
      <c r="P798" s="8">
        <f>INT(Delivery_data[[#This Row],[Order Timestamp]])</f>
        <v>45172</v>
      </c>
      <c r="Q798">
        <f ca="1">IF(Delivery_data[[#This Row],[Order Status]]="In Progress", TODAY()-Delivery_data[[#This Row],[Order Date]], "")</f>
        <v>811</v>
      </c>
      <c r="R798">
        <f>IF(Delivery_data[[#This Row],[On Time]]=1,0,1)</f>
        <v>1</v>
      </c>
    </row>
    <row r="799" spans="1:18" x14ac:dyDescent="0.35">
      <c r="A799">
        <v>2223</v>
      </c>
      <c r="B799" t="s">
        <v>923</v>
      </c>
      <c r="C799" s="1">
        <v>45172.470833333333</v>
      </c>
      <c r="D799" t="s">
        <v>25</v>
      </c>
      <c r="E799" t="s">
        <v>178</v>
      </c>
      <c r="F799" t="s">
        <v>646</v>
      </c>
      <c r="G799" t="s">
        <v>19</v>
      </c>
      <c r="H799">
        <v>123</v>
      </c>
      <c r="I799">
        <v>19</v>
      </c>
      <c r="J799" t="s">
        <v>35</v>
      </c>
      <c r="K799" t="s">
        <v>28</v>
      </c>
      <c r="L799" t="s">
        <v>42</v>
      </c>
      <c r="M799" t="s">
        <v>30</v>
      </c>
      <c r="N799">
        <v>0</v>
      </c>
      <c r="O799">
        <v>1</v>
      </c>
      <c r="P799" s="8">
        <f>INT(Delivery_data[[#This Row],[Order Timestamp]])</f>
        <v>45172</v>
      </c>
      <c r="Q799" t="str">
        <f ca="1">IF(Delivery_data[[#This Row],[Order Status]]="In Progress", TODAY()-Delivery_data[[#This Row],[Order Date]], "")</f>
        <v/>
      </c>
      <c r="R799">
        <f>IF(Delivery_data[[#This Row],[On Time]]=1,0,1)</f>
        <v>1</v>
      </c>
    </row>
    <row r="800" spans="1:18" x14ac:dyDescent="0.35">
      <c r="A800">
        <v>2224</v>
      </c>
      <c r="B800" t="s">
        <v>924</v>
      </c>
      <c r="C800" s="1">
        <v>45172.402083333334</v>
      </c>
      <c r="D800" t="s">
        <v>25</v>
      </c>
      <c r="E800" t="s">
        <v>260</v>
      </c>
      <c r="F800" t="s">
        <v>646</v>
      </c>
      <c r="G800" t="s">
        <v>557</v>
      </c>
      <c r="H800">
        <v>176</v>
      </c>
      <c r="I800">
        <v>12</v>
      </c>
      <c r="J800" t="s">
        <v>35</v>
      </c>
      <c r="K800" t="s">
        <v>21</v>
      </c>
      <c r="L800" t="s">
        <v>42</v>
      </c>
      <c r="M800" t="s">
        <v>23</v>
      </c>
      <c r="N800">
        <v>0</v>
      </c>
      <c r="O800">
        <v>1</v>
      </c>
      <c r="P800" s="8">
        <f>INT(Delivery_data[[#This Row],[Order Timestamp]])</f>
        <v>45172</v>
      </c>
      <c r="Q800" t="str">
        <f ca="1">IF(Delivery_data[[#This Row],[Order Status]]="In Progress", TODAY()-Delivery_data[[#This Row],[Order Date]], "")</f>
        <v/>
      </c>
      <c r="R800">
        <f>IF(Delivery_data[[#This Row],[On Time]]=1,0,1)</f>
        <v>1</v>
      </c>
    </row>
    <row r="801" spans="1:18" x14ac:dyDescent="0.35">
      <c r="A801">
        <v>2232</v>
      </c>
      <c r="B801" t="s">
        <v>925</v>
      </c>
      <c r="C801" s="1">
        <v>45171.706944444442</v>
      </c>
      <c r="D801" t="s">
        <v>25</v>
      </c>
      <c r="E801" t="s">
        <v>258</v>
      </c>
      <c r="F801" t="s">
        <v>646</v>
      </c>
      <c r="G801" t="s">
        <v>19</v>
      </c>
      <c r="H801">
        <v>140</v>
      </c>
      <c r="I801">
        <v>22</v>
      </c>
      <c r="J801" t="s">
        <v>35</v>
      </c>
      <c r="K801" t="s">
        <v>51</v>
      </c>
      <c r="L801" t="s">
        <v>42</v>
      </c>
      <c r="M801" t="s">
        <v>30</v>
      </c>
      <c r="N801">
        <v>0</v>
      </c>
      <c r="O801">
        <v>1</v>
      </c>
      <c r="P801" s="8">
        <f>INT(Delivery_data[[#This Row],[Order Timestamp]])</f>
        <v>45171</v>
      </c>
      <c r="Q801" t="str">
        <f ca="1">IF(Delivery_data[[#This Row],[Order Status]]="In Progress", TODAY()-Delivery_data[[#This Row],[Order Date]], "")</f>
        <v/>
      </c>
      <c r="R801">
        <f>IF(Delivery_data[[#This Row],[On Time]]=1,0,1)</f>
        <v>1</v>
      </c>
    </row>
    <row r="802" spans="1:18" x14ac:dyDescent="0.35">
      <c r="A802">
        <v>2249</v>
      </c>
      <c r="B802" t="s">
        <v>926</v>
      </c>
      <c r="C802" s="1">
        <v>45172.565972222219</v>
      </c>
      <c r="D802" t="s">
        <v>25</v>
      </c>
      <c r="E802" t="s">
        <v>274</v>
      </c>
      <c r="F802" t="s">
        <v>646</v>
      </c>
      <c r="G802" t="s">
        <v>463</v>
      </c>
      <c r="H802">
        <v>154</v>
      </c>
      <c r="I802">
        <v>12</v>
      </c>
      <c r="J802" t="s">
        <v>35</v>
      </c>
      <c r="K802" t="s">
        <v>51</v>
      </c>
      <c r="L802" t="s">
        <v>42</v>
      </c>
      <c r="M802" t="s">
        <v>30</v>
      </c>
      <c r="N802">
        <v>0</v>
      </c>
      <c r="O802">
        <v>1</v>
      </c>
      <c r="P802" s="8">
        <f>INT(Delivery_data[[#This Row],[Order Timestamp]])</f>
        <v>45172</v>
      </c>
      <c r="Q802" t="str">
        <f ca="1">IF(Delivery_data[[#This Row],[Order Status]]="In Progress", TODAY()-Delivery_data[[#This Row],[Order Date]], "")</f>
        <v/>
      </c>
      <c r="R802">
        <f>IF(Delivery_data[[#This Row],[On Time]]=1,0,1)</f>
        <v>1</v>
      </c>
    </row>
    <row r="803" spans="1:18" x14ac:dyDescent="0.35">
      <c r="A803">
        <v>2260</v>
      </c>
      <c r="B803" t="s">
        <v>927</v>
      </c>
      <c r="C803" s="1">
        <v>45176.706944444442</v>
      </c>
      <c r="D803" t="s">
        <v>25</v>
      </c>
      <c r="E803" t="s">
        <v>178</v>
      </c>
      <c r="F803" t="s">
        <v>646</v>
      </c>
      <c r="G803" t="s">
        <v>463</v>
      </c>
      <c r="H803">
        <v>66</v>
      </c>
      <c r="I803">
        <v>8</v>
      </c>
      <c r="J803" t="s">
        <v>35</v>
      </c>
      <c r="K803" t="s">
        <v>28</v>
      </c>
      <c r="L803" t="s">
        <v>42</v>
      </c>
      <c r="M803" t="s">
        <v>23</v>
      </c>
      <c r="N803">
        <v>0</v>
      </c>
      <c r="O803">
        <v>1</v>
      </c>
      <c r="P803" s="8">
        <f>INT(Delivery_data[[#This Row],[Order Timestamp]])</f>
        <v>45176</v>
      </c>
      <c r="Q803" t="str">
        <f ca="1">IF(Delivery_data[[#This Row],[Order Status]]="In Progress", TODAY()-Delivery_data[[#This Row],[Order Date]], "")</f>
        <v/>
      </c>
      <c r="R803">
        <f>IF(Delivery_data[[#This Row],[On Time]]=1,0,1)</f>
        <v>1</v>
      </c>
    </row>
    <row r="804" spans="1:18" x14ac:dyDescent="0.35">
      <c r="A804">
        <v>2262</v>
      </c>
      <c r="B804" t="s">
        <v>928</v>
      </c>
      <c r="C804" s="1">
        <v>45176.385416666664</v>
      </c>
      <c r="D804" t="s">
        <v>16</v>
      </c>
      <c r="E804" t="s">
        <v>17</v>
      </c>
      <c r="F804" t="s">
        <v>646</v>
      </c>
      <c r="G804" t="s">
        <v>19</v>
      </c>
      <c r="H804">
        <v>162</v>
      </c>
      <c r="I804">
        <v>2</v>
      </c>
      <c r="J804" t="s">
        <v>35</v>
      </c>
      <c r="K804" t="s">
        <v>33</v>
      </c>
      <c r="L804" t="s">
        <v>42</v>
      </c>
      <c r="M804" t="s">
        <v>30</v>
      </c>
      <c r="N804">
        <v>0</v>
      </c>
      <c r="O804">
        <v>1</v>
      </c>
      <c r="P804" s="8">
        <f>INT(Delivery_data[[#This Row],[Order Timestamp]])</f>
        <v>45176</v>
      </c>
      <c r="Q804">
        <f ca="1">IF(Delivery_data[[#This Row],[Order Status]]="In Progress", TODAY()-Delivery_data[[#This Row],[Order Date]], "")</f>
        <v>807</v>
      </c>
      <c r="R804">
        <f>IF(Delivery_data[[#This Row],[On Time]]=1,0,1)</f>
        <v>1</v>
      </c>
    </row>
    <row r="805" spans="1:18" x14ac:dyDescent="0.35">
      <c r="A805">
        <v>2266</v>
      </c>
      <c r="B805" t="s">
        <v>929</v>
      </c>
      <c r="C805" s="1">
        <v>45173.497916666667</v>
      </c>
      <c r="D805" t="s">
        <v>25</v>
      </c>
      <c r="E805" t="s">
        <v>129</v>
      </c>
      <c r="F805" t="s">
        <v>646</v>
      </c>
      <c r="G805" t="s">
        <v>463</v>
      </c>
      <c r="H805">
        <v>214</v>
      </c>
      <c r="I805">
        <v>24</v>
      </c>
      <c r="J805" t="s">
        <v>20</v>
      </c>
      <c r="K805" t="s">
        <v>21</v>
      </c>
      <c r="L805" t="s">
        <v>42</v>
      </c>
      <c r="M805" t="s">
        <v>23</v>
      </c>
      <c r="N805">
        <v>0</v>
      </c>
      <c r="O805">
        <v>0</v>
      </c>
      <c r="P805" s="8">
        <f>INT(Delivery_data[[#This Row],[Order Timestamp]])</f>
        <v>45173</v>
      </c>
      <c r="Q805" t="str">
        <f ca="1">IF(Delivery_data[[#This Row],[Order Status]]="In Progress", TODAY()-Delivery_data[[#This Row],[Order Date]], "")</f>
        <v/>
      </c>
      <c r="R805">
        <f>IF(Delivery_data[[#This Row],[On Time]]=1,0,1)</f>
        <v>1</v>
      </c>
    </row>
    <row r="806" spans="1:18" x14ac:dyDescent="0.35">
      <c r="A806">
        <v>2269</v>
      </c>
      <c r="B806" t="s">
        <v>930</v>
      </c>
      <c r="C806" s="1">
        <v>45171.657638888886</v>
      </c>
      <c r="D806" t="s">
        <v>16</v>
      </c>
      <c r="E806" t="s">
        <v>666</v>
      </c>
      <c r="F806" t="s">
        <v>646</v>
      </c>
      <c r="G806" t="s">
        <v>463</v>
      </c>
      <c r="H806">
        <v>181</v>
      </c>
      <c r="I806">
        <v>9</v>
      </c>
      <c r="J806" t="s">
        <v>20</v>
      </c>
      <c r="K806" t="s">
        <v>33</v>
      </c>
      <c r="L806" t="s">
        <v>42</v>
      </c>
      <c r="M806" t="s">
        <v>30</v>
      </c>
      <c r="N806">
        <v>0</v>
      </c>
      <c r="O806">
        <v>0</v>
      </c>
      <c r="P806" s="8">
        <f>INT(Delivery_data[[#This Row],[Order Timestamp]])</f>
        <v>45171</v>
      </c>
      <c r="Q806">
        <f ca="1">IF(Delivery_data[[#This Row],[Order Status]]="In Progress", TODAY()-Delivery_data[[#This Row],[Order Date]], "")</f>
        <v>812</v>
      </c>
      <c r="R806">
        <f>IF(Delivery_data[[#This Row],[On Time]]=1,0,1)</f>
        <v>1</v>
      </c>
    </row>
    <row r="807" spans="1:18" x14ac:dyDescent="0.35">
      <c r="A807">
        <v>2274</v>
      </c>
      <c r="B807" t="s">
        <v>931</v>
      </c>
      <c r="C807" s="1">
        <v>45171.416666666664</v>
      </c>
      <c r="D807" t="s">
        <v>16</v>
      </c>
      <c r="E807" t="s">
        <v>144</v>
      </c>
      <c r="F807" t="s">
        <v>646</v>
      </c>
      <c r="G807" t="s">
        <v>362</v>
      </c>
      <c r="H807">
        <v>168</v>
      </c>
      <c r="I807">
        <v>29</v>
      </c>
      <c r="J807" t="s">
        <v>27</v>
      </c>
      <c r="K807" t="s">
        <v>28</v>
      </c>
      <c r="L807" t="s">
        <v>42</v>
      </c>
      <c r="M807" t="s">
        <v>30</v>
      </c>
      <c r="N807">
        <v>0</v>
      </c>
      <c r="O807">
        <v>0</v>
      </c>
      <c r="P807" s="8">
        <f>INT(Delivery_data[[#This Row],[Order Timestamp]])</f>
        <v>45171</v>
      </c>
      <c r="Q807">
        <f ca="1">IF(Delivery_data[[#This Row],[Order Status]]="In Progress", TODAY()-Delivery_data[[#This Row],[Order Date]], "")</f>
        <v>812</v>
      </c>
      <c r="R807">
        <f>IF(Delivery_data[[#This Row],[On Time]]=1,0,1)</f>
        <v>1</v>
      </c>
    </row>
    <row r="808" spans="1:18" x14ac:dyDescent="0.35">
      <c r="A808">
        <v>2276</v>
      </c>
      <c r="B808" t="s">
        <v>932</v>
      </c>
      <c r="C808" s="1">
        <v>45177.436805555553</v>
      </c>
      <c r="D808" t="s">
        <v>16</v>
      </c>
      <c r="E808" t="s">
        <v>274</v>
      </c>
      <c r="F808" t="s">
        <v>646</v>
      </c>
      <c r="G808" t="s">
        <v>19</v>
      </c>
      <c r="H808">
        <v>97</v>
      </c>
      <c r="I808">
        <v>22</v>
      </c>
      <c r="J808" t="s">
        <v>27</v>
      </c>
      <c r="K808" t="s">
        <v>28</v>
      </c>
      <c r="L808" t="s">
        <v>42</v>
      </c>
      <c r="M808" t="s">
        <v>23</v>
      </c>
      <c r="N808">
        <v>0</v>
      </c>
      <c r="O808">
        <v>0</v>
      </c>
      <c r="P808" s="8">
        <f>INT(Delivery_data[[#This Row],[Order Timestamp]])</f>
        <v>45177</v>
      </c>
      <c r="Q808">
        <f ca="1">IF(Delivery_data[[#This Row],[Order Status]]="In Progress", TODAY()-Delivery_data[[#This Row],[Order Date]], "")</f>
        <v>806</v>
      </c>
      <c r="R808">
        <f>IF(Delivery_data[[#This Row],[On Time]]=1,0,1)</f>
        <v>1</v>
      </c>
    </row>
    <row r="809" spans="1:18" x14ac:dyDescent="0.35">
      <c r="A809">
        <v>2282</v>
      </c>
      <c r="B809" t="s">
        <v>933</v>
      </c>
      <c r="C809" s="1">
        <v>45177.570833333331</v>
      </c>
      <c r="D809" t="s">
        <v>16</v>
      </c>
      <c r="E809" t="s">
        <v>56</v>
      </c>
      <c r="F809" t="s">
        <v>646</v>
      </c>
      <c r="G809" t="s">
        <v>233</v>
      </c>
      <c r="H809">
        <v>144</v>
      </c>
      <c r="I809">
        <v>19</v>
      </c>
      <c r="J809" t="s">
        <v>35</v>
      </c>
      <c r="K809" t="s">
        <v>38</v>
      </c>
      <c r="L809" t="s">
        <v>42</v>
      </c>
      <c r="M809" t="s">
        <v>30</v>
      </c>
      <c r="N809">
        <v>0</v>
      </c>
      <c r="O809">
        <v>1</v>
      </c>
      <c r="P809" s="8">
        <f>INT(Delivery_data[[#This Row],[Order Timestamp]])</f>
        <v>45177</v>
      </c>
      <c r="Q809">
        <f ca="1">IF(Delivery_data[[#This Row],[Order Status]]="In Progress", TODAY()-Delivery_data[[#This Row],[Order Date]], "")</f>
        <v>806</v>
      </c>
      <c r="R809">
        <f>IF(Delivery_data[[#This Row],[On Time]]=1,0,1)</f>
        <v>1</v>
      </c>
    </row>
    <row r="810" spans="1:18" x14ac:dyDescent="0.35">
      <c r="A810">
        <v>2288</v>
      </c>
      <c r="B810" t="s">
        <v>934</v>
      </c>
      <c r="C810" s="1">
        <v>45177.430555555555</v>
      </c>
      <c r="D810" t="s">
        <v>16</v>
      </c>
      <c r="E810" t="s">
        <v>126</v>
      </c>
      <c r="F810" t="s">
        <v>646</v>
      </c>
      <c r="G810" t="s">
        <v>19</v>
      </c>
      <c r="H810">
        <v>230</v>
      </c>
      <c r="I810">
        <v>5</v>
      </c>
      <c r="J810" t="s">
        <v>35</v>
      </c>
      <c r="K810" t="s">
        <v>28</v>
      </c>
      <c r="L810" t="s">
        <v>42</v>
      </c>
      <c r="M810" t="s">
        <v>39</v>
      </c>
      <c r="N810">
        <v>0</v>
      </c>
      <c r="O810">
        <v>1</v>
      </c>
      <c r="P810" s="8">
        <f>INT(Delivery_data[[#This Row],[Order Timestamp]])</f>
        <v>45177</v>
      </c>
      <c r="Q810">
        <f ca="1">IF(Delivery_data[[#This Row],[Order Status]]="In Progress", TODAY()-Delivery_data[[#This Row],[Order Date]], "")</f>
        <v>806</v>
      </c>
      <c r="R810">
        <f>IF(Delivery_data[[#This Row],[On Time]]=1,0,1)</f>
        <v>1</v>
      </c>
    </row>
    <row r="811" spans="1:18" x14ac:dyDescent="0.35">
      <c r="A811">
        <v>2296</v>
      </c>
      <c r="B811" t="s">
        <v>935</v>
      </c>
      <c r="C811" s="1">
        <v>45174.609027777777</v>
      </c>
      <c r="D811" t="s">
        <v>16</v>
      </c>
      <c r="E811" t="s">
        <v>155</v>
      </c>
      <c r="F811" t="s">
        <v>646</v>
      </c>
      <c r="G811" t="s">
        <v>233</v>
      </c>
      <c r="H811">
        <v>117</v>
      </c>
      <c r="I811">
        <v>14</v>
      </c>
      <c r="J811" t="s">
        <v>27</v>
      </c>
      <c r="K811" t="s">
        <v>51</v>
      </c>
      <c r="L811" t="s">
        <v>42</v>
      </c>
      <c r="M811" t="s">
        <v>30</v>
      </c>
      <c r="N811">
        <v>0</v>
      </c>
      <c r="O811">
        <v>0</v>
      </c>
      <c r="P811" s="8">
        <f>INT(Delivery_data[[#This Row],[Order Timestamp]])</f>
        <v>45174</v>
      </c>
      <c r="Q811">
        <f ca="1">IF(Delivery_data[[#This Row],[Order Status]]="In Progress", TODAY()-Delivery_data[[#This Row],[Order Date]], "")</f>
        <v>809</v>
      </c>
      <c r="R811">
        <f>IF(Delivery_data[[#This Row],[On Time]]=1,0,1)</f>
        <v>1</v>
      </c>
    </row>
    <row r="812" spans="1:18" x14ac:dyDescent="0.35">
      <c r="A812">
        <v>2307</v>
      </c>
      <c r="B812" t="s">
        <v>936</v>
      </c>
      <c r="C812" s="1">
        <v>45175.694444444445</v>
      </c>
      <c r="D812" t="s">
        <v>16</v>
      </c>
      <c r="E812" t="s">
        <v>252</v>
      </c>
      <c r="F812" t="s">
        <v>646</v>
      </c>
      <c r="G812" t="s">
        <v>463</v>
      </c>
      <c r="H812">
        <v>113</v>
      </c>
      <c r="I812">
        <v>5</v>
      </c>
      <c r="J812" t="s">
        <v>27</v>
      </c>
      <c r="K812" t="s">
        <v>33</v>
      </c>
      <c r="L812" t="s">
        <v>42</v>
      </c>
      <c r="M812" t="s">
        <v>23</v>
      </c>
      <c r="N812">
        <v>0</v>
      </c>
      <c r="O812">
        <v>0</v>
      </c>
      <c r="P812" s="8">
        <f>INT(Delivery_data[[#This Row],[Order Timestamp]])</f>
        <v>45175</v>
      </c>
      <c r="Q812">
        <f ca="1">IF(Delivery_data[[#This Row],[Order Status]]="In Progress", TODAY()-Delivery_data[[#This Row],[Order Date]], "")</f>
        <v>808</v>
      </c>
      <c r="R812">
        <f>IF(Delivery_data[[#This Row],[On Time]]=1,0,1)</f>
        <v>1</v>
      </c>
    </row>
    <row r="813" spans="1:18" x14ac:dyDescent="0.35">
      <c r="A813">
        <v>2325</v>
      </c>
      <c r="B813" t="s">
        <v>937</v>
      </c>
      <c r="C813" s="1">
        <v>45176.681944444441</v>
      </c>
      <c r="D813" t="s">
        <v>16</v>
      </c>
      <c r="E813" t="s">
        <v>225</v>
      </c>
      <c r="F813" t="s">
        <v>646</v>
      </c>
      <c r="G813" t="s">
        <v>19</v>
      </c>
      <c r="H813">
        <v>144</v>
      </c>
      <c r="I813">
        <v>16</v>
      </c>
      <c r="J813" t="s">
        <v>35</v>
      </c>
      <c r="K813" t="s">
        <v>51</v>
      </c>
      <c r="L813" t="s">
        <v>42</v>
      </c>
      <c r="M813" t="s">
        <v>23</v>
      </c>
      <c r="N813">
        <v>0</v>
      </c>
      <c r="O813">
        <v>1</v>
      </c>
      <c r="P813" s="8">
        <f>INT(Delivery_data[[#This Row],[Order Timestamp]])</f>
        <v>45176</v>
      </c>
      <c r="Q813">
        <f ca="1">IF(Delivery_data[[#This Row],[Order Status]]="In Progress", TODAY()-Delivery_data[[#This Row],[Order Date]], "")</f>
        <v>807</v>
      </c>
      <c r="R813">
        <f>IF(Delivery_data[[#This Row],[On Time]]=1,0,1)</f>
        <v>1</v>
      </c>
    </row>
    <row r="814" spans="1:18" x14ac:dyDescent="0.35">
      <c r="A814">
        <v>2331</v>
      </c>
      <c r="B814" t="s">
        <v>938</v>
      </c>
      <c r="C814" s="1">
        <v>45175.400694444441</v>
      </c>
      <c r="D814" t="s">
        <v>25</v>
      </c>
      <c r="E814" t="s">
        <v>110</v>
      </c>
      <c r="F814" t="s">
        <v>646</v>
      </c>
      <c r="G814" t="s">
        <v>463</v>
      </c>
      <c r="H814">
        <v>112</v>
      </c>
      <c r="I814">
        <v>17</v>
      </c>
      <c r="J814" t="s">
        <v>20</v>
      </c>
      <c r="K814" t="s">
        <v>33</v>
      </c>
      <c r="L814" t="s">
        <v>42</v>
      </c>
      <c r="M814" t="s">
        <v>39</v>
      </c>
      <c r="N814">
        <v>0</v>
      </c>
      <c r="O814">
        <v>0</v>
      </c>
      <c r="P814" s="8">
        <f>INT(Delivery_data[[#This Row],[Order Timestamp]])</f>
        <v>45175</v>
      </c>
      <c r="Q814" t="str">
        <f ca="1">IF(Delivery_data[[#This Row],[Order Status]]="In Progress", TODAY()-Delivery_data[[#This Row],[Order Date]], "")</f>
        <v/>
      </c>
      <c r="R814">
        <f>IF(Delivery_data[[#This Row],[On Time]]=1,0,1)</f>
        <v>1</v>
      </c>
    </row>
    <row r="815" spans="1:18" x14ac:dyDescent="0.35">
      <c r="A815">
        <v>2346</v>
      </c>
      <c r="B815" t="s">
        <v>939</v>
      </c>
      <c r="C815" s="1">
        <v>45174.604166666664</v>
      </c>
      <c r="D815" t="s">
        <v>16</v>
      </c>
      <c r="E815" t="s">
        <v>271</v>
      </c>
      <c r="F815" t="s">
        <v>646</v>
      </c>
      <c r="G815" t="s">
        <v>19</v>
      </c>
      <c r="H815">
        <v>133</v>
      </c>
      <c r="I815">
        <v>22</v>
      </c>
      <c r="J815" t="s">
        <v>35</v>
      </c>
      <c r="K815" t="s">
        <v>28</v>
      </c>
      <c r="L815" t="s">
        <v>42</v>
      </c>
      <c r="M815" t="s">
        <v>23</v>
      </c>
      <c r="N815">
        <v>0</v>
      </c>
      <c r="O815">
        <v>1</v>
      </c>
      <c r="P815" s="8">
        <f>INT(Delivery_data[[#This Row],[Order Timestamp]])</f>
        <v>45174</v>
      </c>
      <c r="Q815">
        <f ca="1">IF(Delivery_data[[#This Row],[Order Status]]="In Progress", TODAY()-Delivery_data[[#This Row],[Order Date]], "")</f>
        <v>809</v>
      </c>
      <c r="R815">
        <f>IF(Delivery_data[[#This Row],[On Time]]=1,0,1)</f>
        <v>1</v>
      </c>
    </row>
    <row r="816" spans="1:18" x14ac:dyDescent="0.35">
      <c r="A816">
        <v>2358</v>
      </c>
      <c r="B816" t="s">
        <v>940</v>
      </c>
      <c r="C816" s="1">
        <v>45174.521527777775</v>
      </c>
      <c r="D816" t="s">
        <v>25</v>
      </c>
      <c r="E816" t="s">
        <v>66</v>
      </c>
      <c r="F816" t="s">
        <v>646</v>
      </c>
      <c r="G816" t="s">
        <v>362</v>
      </c>
      <c r="H816">
        <v>133</v>
      </c>
      <c r="I816">
        <v>17</v>
      </c>
      <c r="J816" t="s">
        <v>35</v>
      </c>
      <c r="K816" t="s">
        <v>51</v>
      </c>
      <c r="L816" t="s">
        <v>42</v>
      </c>
      <c r="M816" t="s">
        <v>30</v>
      </c>
      <c r="N816">
        <v>0</v>
      </c>
      <c r="O816">
        <v>1</v>
      </c>
      <c r="P816" s="8">
        <f>INT(Delivery_data[[#This Row],[Order Timestamp]])</f>
        <v>45174</v>
      </c>
      <c r="Q816" t="str">
        <f ca="1">IF(Delivery_data[[#This Row],[Order Status]]="In Progress", TODAY()-Delivery_data[[#This Row],[Order Date]], "")</f>
        <v/>
      </c>
      <c r="R816">
        <f>IF(Delivery_data[[#This Row],[On Time]]=1,0,1)</f>
        <v>1</v>
      </c>
    </row>
    <row r="817" spans="1:18" x14ac:dyDescent="0.35">
      <c r="A817">
        <v>2359</v>
      </c>
      <c r="B817" t="s">
        <v>941</v>
      </c>
      <c r="C817" s="1">
        <v>45176.664583333331</v>
      </c>
      <c r="D817" t="s">
        <v>25</v>
      </c>
      <c r="E817" t="s">
        <v>94</v>
      </c>
      <c r="F817" t="s">
        <v>646</v>
      </c>
      <c r="G817" t="s">
        <v>362</v>
      </c>
      <c r="H817">
        <v>103</v>
      </c>
      <c r="I817">
        <v>15</v>
      </c>
      <c r="J817" t="s">
        <v>35</v>
      </c>
      <c r="K817" t="s">
        <v>33</v>
      </c>
      <c r="L817" t="s">
        <v>42</v>
      </c>
      <c r="M817" t="s">
        <v>39</v>
      </c>
      <c r="N817">
        <v>0</v>
      </c>
      <c r="O817">
        <v>1</v>
      </c>
      <c r="P817" s="8">
        <f>INT(Delivery_data[[#This Row],[Order Timestamp]])</f>
        <v>45176</v>
      </c>
      <c r="Q817" t="str">
        <f ca="1">IF(Delivery_data[[#This Row],[Order Status]]="In Progress", TODAY()-Delivery_data[[#This Row],[Order Date]], "")</f>
        <v/>
      </c>
      <c r="R817">
        <f>IF(Delivery_data[[#This Row],[On Time]]=1,0,1)</f>
        <v>1</v>
      </c>
    </row>
    <row r="818" spans="1:18" x14ac:dyDescent="0.35">
      <c r="A818">
        <v>2384</v>
      </c>
      <c r="B818" t="s">
        <v>942</v>
      </c>
      <c r="C818" s="1">
        <v>45170.62777777778</v>
      </c>
      <c r="D818" t="s">
        <v>25</v>
      </c>
      <c r="E818" t="s">
        <v>267</v>
      </c>
      <c r="F818" t="s">
        <v>646</v>
      </c>
      <c r="G818" t="s">
        <v>19</v>
      </c>
      <c r="H818">
        <v>206</v>
      </c>
      <c r="I818">
        <v>13</v>
      </c>
      <c r="J818" t="s">
        <v>20</v>
      </c>
      <c r="K818" t="s">
        <v>38</v>
      </c>
      <c r="L818" t="s">
        <v>42</v>
      </c>
      <c r="M818" t="s">
        <v>23</v>
      </c>
      <c r="N818">
        <v>0</v>
      </c>
      <c r="O818">
        <v>0</v>
      </c>
      <c r="P818" s="8">
        <f>INT(Delivery_data[[#This Row],[Order Timestamp]])</f>
        <v>45170</v>
      </c>
      <c r="Q818" t="str">
        <f ca="1">IF(Delivery_data[[#This Row],[Order Status]]="In Progress", TODAY()-Delivery_data[[#This Row],[Order Date]], "")</f>
        <v/>
      </c>
      <c r="R818">
        <f>IF(Delivery_data[[#This Row],[On Time]]=1,0,1)</f>
        <v>1</v>
      </c>
    </row>
    <row r="819" spans="1:18" x14ac:dyDescent="0.35">
      <c r="A819">
        <v>2385</v>
      </c>
      <c r="B819" t="s">
        <v>943</v>
      </c>
      <c r="C819" s="1">
        <v>45170.581944444442</v>
      </c>
      <c r="D819" t="s">
        <v>16</v>
      </c>
      <c r="E819" t="s">
        <v>178</v>
      </c>
      <c r="F819" t="s">
        <v>646</v>
      </c>
      <c r="G819" t="s">
        <v>362</v>
      </c>
      <c r="H819">
        <v>114</v>
      </c>
      <c r="I819">
        <v>8</v>
      </c>
      <c r="J819" t="s">
        <v>27</v>
      </c>
      <c r="K819" t="s">
        <v>33</v>
      </c>
      <c r="L819" t="s">
        <v>42</v>
      </c>
      <c r="M819" t="s">
        <v>30</v>
      </c>
      <c r="N819">
        <v>0</v>
      </c>
      <c r="O819">
        <v>0</v>
      </c>
      <c r="P819" s="8">
        <f>INT(Delivery_data[[#This Row],[Order Timestamp]])</f>
        <v>45170</v>
      </c>
      <c r="Q819">
        <f ca="1">IF(Delivery_data[[#This Row],[Order Status]]="In Progress", TODAY()-Delivery_data[[#This Row],[Order Date]], "")</f>
        <v>813</v>
      </c>
      <c r="R819">
        <f>IF(Delivery_data[[#This Row],[On Time]]=1,0,1)</f>
        <v>1</v>
      </c>
    </row>
    <row r="820" spans="1:18" x14ac:dyDescent="0.35">
      <c r="A820">
        <v>2386</v>
      </c>
      <c r="B820" t="s">
        <v>944</v>
      </c>
      <c r="C820" s="1">
        <v>45170.70416666667</v>
      </c>
      <c r="D820" t="s">
        <v>16</v>
      </c>
      <c r="E820" t="s">
        <v>110</v>
      </c>
      <c r="F820" t="s">
        <v>646</v>
      </c>
      <c r="G820" t="s">
        <v>463</v>
      </c>
      <c r="H820">
        <v>72</v>
      </c>
      <c r="I820">
        <v>25</v>
      </c>
      <c r="J820" t="s">
        <v>20</v>
      </c>
      <c r="K820" t="s">
        <v>33</v>
      </c>
      <c r="L820" t="s">
        <v>42</v>
      </c>
      <c r="M820" t="s">
        <v>23</v>
      </c>
      <c r="N820">
        <v>0</v>
      </c>
      <c r="O820">
        <v>0</v>
      </c>
      <c r="P820" s="8">
        <f>INT(Delivery_data[[#This Row],[Order Timestamp]])</f>
        <v>45170</v>
      </c>
      <c r="Q820">
        <f ca="1">IF(Delivery_data[[#This Row],[Order Status]]="In Progress", TODAY()-Delivery_data[[#This Row],[Order Date]], "")</f>
        <v>813</v>
      </c>
      <c r="R820">
        <f>IF(Delivery_data[[#This Row],[On Time]]=1,0,1)</f>
        <v>1</v>
      </c>
    </row>
    <row r="821" spans="1:18" x14ac:dyDescent="0.35">
      <c r="A821">
        <v>2389</v>
      </c>
      <c r="B821" t="s">
        <v>945</v>
      </c>
      <c r="C821" s="1">
        <v>45177.511805555558</v>
      </c>
      <c r="D821" t="s">
        <v>16</v>
      </c>
      <c r="E821" t="s">
        <v>511</v>
      </c>
      <c r="F821" t="s">
        <v>646</v>
      </c>
      <c r="G821" t="s">
        <v>19</v>
      </c>
      <c r="H821">
        <v>97</v>
      </c>
      <c r="I821">
        <v>20</v>
      </c>
      <c r="J821" t="s">
        <v>20</v>
      </c>
      <c r="K821" t="s">
        <v>38</v>
      </c>
      <c r="L821" t="s">
        <v>42</v>
      </c>
      <c r="M821" t="s">
        <v>39</v>
      </c>
      <c r="N821">
        <v>0</v>
      </c>
      <c r="O821">
        <v>0</v>
      </c>
      <c r="P821" s="8">
        <f>INT(Delivery_data[[#This Row],[Order Timestamp]])</f>
        <v>45177</v>
      </c>
      <c r="Q821">
        <f ca="1">IF(Delivery_data[[#This Row],[Order Status]]="In Progress", TODAY()-Delivery_data[[#This Row],[Order Date]], "")</f>
        <v>806</v>
      </c>
      <c r="R821">
        <f>IF(Delivery_data[[#This Row],[On Time]]=1,0,1)</f>
        <v>1</v>
      </c>
    </row>
    <row r="822" spans="1:18" x14ac:dyDescent="0.35">
      <c r="A822">
        <v>2419</v>
      </c>
      <c r="B822" t="s">
        <v>946</v>
      </c>
      <c r="C822" s="1">
        <v>45176.644444444442</v>
      </c>
      <c r="D822" t="s">
        <v>25</v>
      </c>
      <c r="E822" t="s">
        <v>50</v>
      </c>
      <c r="F822" t="s">
        <v>646</v>
      </c>
      <c r="G822" t="s">
        <v>557</v>
      </c>
      <c r="H822">
        <v>108</v>
      </c>
      <c r="I822">
        <v>9</v>
      </c>
      <c r="J822" t="s">
        <v>20</v>
      </c>
      <c r="K822" t="s">
        <v>28</v>
      </c>
      <c r="L822" t="s">
        <v>42</v>
      </c>
      <c r="M822" t="s">
        <v>23</v>
      </c>
      <c r="N822">
        <v>0</v>
      </c>
      <c r="O822">
        <v>0</v>
      </c>
      <c r="P822" s="8">
        <f>INT(Delivery_data[[#This Row],[Order Timestamp]])</f>
        <v>45176</v>
      </c>
      <c r="Q822" t="str">
        <f ca="1">IF(Delivery_data[[#This Row],[Order Status]]="In Progress", TODAY()-Delivery_data[[#This Row],[Order Date]], "")</f>
        <v/>
      </c>
      <c r="R822">
        <f>IF(Delivery_data[[#This Row],[On Time]]=1,0,1)</f>
        <v>1</v>
      </c>
    </row>
    <row r="823" spans="1:18" x14ac:dyDescent="0.35">
      <c r="A823">
        <v>2421</v>
      </c>
      <c r="B823" t="s">
        <v>947</v>
      </c>
      <c r="C823" s="1">
        <v>45173.388194444444</v>
      </c>
      <c r="D823" t="s">
        <v>16</v>
      </c>
      <c r="E823" t="s">
        <v>134</v>
      </c>
      <c r="F823" t="s">
        <v>646</v>
      </c>
      <c r="G823" t="s">
        <v>362</v>
      </c>
      <c r="H823">
        <v>115</v>
      </c>
      <c r="I823">
        <v>17</v>
      </c>
      <c r="J823" t="s">
        <v>35</v>
      </c>
      <c r="K823" t="s">
        <v>51</v>
      </c>
      <c r="L823" t="s">
        <v>42</v>
      </c>
      <c r="M823" t="s">
        <v>39</v>
      </c>
      <c r="N823">
        <v>0</v>
      </c>
      <c r="O823">
        <v>1</v>
      </c>
      <c r="P823" s="8">
        <f>INT(Delivery_data[[#This Row],[Order Timestamp]])</f>
        <v>45173</v>
      </c>
      <c r="Q823">
        <f ca="1">IF(Delivery_data[[#This Row],[Order Status]]="In Progress", TODAY()-Delivery_data[[#This Row],[Order Date]], "")</f>
        <v>810</v>
      </c>
      <c r="R823">
        <f>IF(Delivery_data[[#This Row],[On Time]]=1,0,1)</f>
        <v>1</v>
      </c>
    </row>
    <row r="824" spans="1:18" x14ac:dyDescent="0.35">
      <c r="A824">
        <v>2424</v>
      </c>
      <c r="B824" t="s">
        <v>948</v>
      </c>
      <c r="C824" s="1">
        <v>45176.611111111109</v>
      </c>
      <c r="D824" t="s">
        <v>25</v>
      </c>
      <c r="E824" t="s">
        <v>172</v>
      </c>
      <c r="F824" t="s">
        <v>646</v>
      </c>
      <c r="G824" t="s">
        <v>233</v>
      </c>
      <c r="H824">
        <v>231</v>
      </c>
      <c r="I824">
        <v>24</v>
      </c>
      <c r="J824" t="s">
        <v>20</v>
      </c>
      <c r="K824" t="s">
        <v>38</v>
      </c>
      <c r="L824" t="s">
        <v>42</v>
      </c>
      <c r="M824" t="s">
        <v>30</v>
      </c>
      <c r="N824">
        <v>0</v>
      </c>
      <c r="O824">
        <v>0</v>
      </c>
      <c r="P824" s="8">
        <f>INT(Delivery_data[[#This Row],[Order Timestamp]])</f>
        <v>45176</v>
      </c>
      <c r="Q824" t="str">
        <f ca="1">IF(Delivery_data[[#This Row],[Order Status]]="In Progress", TODAY()-Delivery_data[[#This Row],[Order Date]], "")</f>
        <v/>
      </c>
      <c r="R824">
        <f>IF(Delivery_data[[#This Row],[On Time]]=1,0,1)</f>
        <v>1</v>
      </c>
    </row>
    <row r="825" spans="1:18" x14ac:dyDescent="0.35">
      <c r="A825">
        <v>2449</v>
      </c>
      <c r="B825" t="s">
        <v>949</v>
      </c>
      <c r="C825" s="1">
        <v>45172.604861111111</v>
      </c>
      <c r="D825" t="s">
        <v>25</v>
      </c>
      <c r="E825" t="s">
        <v>320</v>
      </c>
      <c r="F825" t="s">
        <v>646</v>
      </c>
      <c r="G825" t="s">
        <v>233</v>
      </c>
      <c r="H825">
        <v>73</v>
      </c>
      <c r="I825">
        <v>5</v>
      </c>
      <c r="J825" t="s">
        <v>35</v>
      </c>
      <c r="K825" t="s">
        <v>28</v>
      </c>
      <c r="L825" t="s">
        <v>42</v>
      </c>
      <c r="M825" t="s">
        <v>39</v>
      </c>
      <c r="N825">
        <v>0</v>
      </c>
      <c r="O825">
        <v>1</v>
      </c>
      <c r="P825" s="8">
        <f>INT(Delivery_data[[#This Row],[Order Timestamp]])</f>
        <v>45172</v>
      </c>
      <c r="Q825" t="str">
        <f ca="1">IF(Delivery_data[[#This Row],[Order Status]]="In Progress", TODAY()-Delivery_data[[#This Row],[Order Date]], "")</f>
        <v/>
      </c>
      <c r="R825">
        <f>IF(Delivery_data[[#This Row],[On Time]]=1,0,1)</f>
        <v>1</v>
      </c>
    </row>
    <row r="826" spans="1:18" x14ac:dyDescent="0.35">
      <c r="A826">
        <v>2474</v>
      </c>
      <c r="B826" t="s">
        <v>950</v>
      </c>
      <c r="C826" s="1">
        <v>45170.584722222222</v>
      </c>
      <c r="D826" t="s">
        <v>25</v>
      </c>
      <c r="E826" t="s">
        <v>666</v>
      </c>
      <c r="F826" t="s">
        <v>646</v>
      </c>
      <c r="G826" t="s">
        <v>233</v>
      </c>
      <c r="H826">
        <v>106</v>
      </c>
      <c r="I826">
        <v>10</v>
      </c>
      <c r="J826" t="s">
        <v>35</v>
      </c>
      <c r="K826" t="s">
        <v>21</v>
      </c>
      <c r="L826" t="s">
        <v>42</v>
      </c>
      <c r="M826" t="s">
        <v>23</v>
      </c>
      <c r="N826">
        <v>0</v>
      </c>
      <c r="O826">
        <v>1</v>
      </c>
      <c r="P826" s="8">
        <f>INT(Delivery_data[[#This Row],[Order Timestamp]])</f>
        <v>45170</v>
      </c>
      <c r="Q826" t="str">
        <f ca="1">IF(Delivery_data[[#This Row],[Order Status]]="In Progress", TODAY()-Delivery_data[[#This Row],[Order Date]], "")</f>
        <v/>
      </c>
      <c r="R826">
        <f>IF(Delivery_data[[#This Row],[On Time]]=1,0,1)</f>
        <v>1</v>
      </c>
    </row>
    <row r="827" spans="1:18" x14ac:dyDescent="0.35">
      <c r="A827">
        <v>2475</v>
      </c>
      <c r="B827" t="s">
        <v>951</v>
      </c>
      <c r="C827" s="1">
        <v>45171.680555555555</v>
      </c>
      <c r="D827" t="s">
        <v>25</v>
      </c>
      <c r="E827" t="s">
        <v>252</v>
      </c>
      <c r="F827" t="s">
        <v>646</v>
      </c>
      <c r="G827" t="s">
        <v>233</v>
      </c>
      <c r="H827">
        <v>216</v>
      </c>
      <c r="I827">
        <v>24</v>
      </c>
      <c r="J827" t="s">
        <v>27</v>
      </c>
      <c r="K827" t="s">
        <v>38</v>
      </c>
      <c r="L827" t="s">
        <v>42</v>
      </c>
      <c r="M827" t="s">
        <v>39</v>
      </c>
      <c r="N827">
        <v>0</v>
      </c>
      <c r="O827">
        <v>0</v>
      </c>
      <c r="P827" s="8">
        <f>INT(Delivery_data[[#This Row],[Order Timestamp]])</f>
        <v>45171</v>
      </c>
      <c r="Q827" t="str">
        <f ca="1">IF(Delivery_data[[#This Row],[Order Status]]="In Progress", TODAY()-Delivery_data[[#This Row],[Order Date]], "")</f>
        <v/>
      </c>
      <c r="R827">
        <f>IF(Delivery_data[[#This Row],[On Time]]=1,0,1)</f>
        <v>1</v>
      </c>
    </row>
    <row r="828" spans="1:18" x14ac:dyDescent="0.35">
      <c r="A828">
        <v>2479</v>
      </c>
      <c r="B828" t="s">
        <v>952</v>
      </c>
      <c r="C828" s="1">
        <v>45177.509027777778</v>
      </c>
      <c r="D828" t="s">
        <v>25</v>
      </c>
      <c r="E828" t="s">
        <v>352</v>
      </c>
      <c r="F828" t="s">
        <v>646</v>
      </c>
      <c r="G828" t="s">
        <v>233</v>
      </c>
      <c r="H828">
        <v>129</v>
      </c>
      <c r="I828">
        <v>6</v>
      </c>
      <c r="J828" t="s">
        <v>27</v>
      </c>
      <c r="K828" t="s">
        <v>38</v>
      </c>
      <c r="L828" t="s">
        <v>42</v>
      </c>
      <c r="M828" t="s">
        <v>30</v>
      </c>
      <c r="N828">
        <v>0</v>
      </c>
      <c r="O828">
        <v>0</v>
      </c>
      <c r="P828" s="8">
        <f>INT(Delivery_data[[#This Row],[Order Timestamp]])</f>
        <v>45177</v>
      </c>
      <c r="Q828" t="str">
        <f ca="1">IF(Delivery_data[[#This Row],[Order Status]]="In Progress", TODAY()-Delivery_data[[#This Row],[Order Date]], "")</f>
        <v/>
      </c>
      <c r="R828">
        <f>IF(Delivery_data[[#This Row],[On Time]]=1,0,1)</f>
        <v>1</v>
      </c>
    </row>
    <row r="829" spans="1:18" x14ac:dyDescent="0.35">
      <c r="A829">
        <v>2482</v>
      </c>
      <c r="B829" t="s">
        <v>953</v>
      </c>
      <c r="C829" s="1">
        <v>45176.474999999999</v>
      </c>
      <c r="D829" t="s">
        <v>25</v>
      </c>
      <c r="E829" t="s">
        <v>287</v>
      </c>
      <c r="F829" t="s">
        <v>646</v>
      </c>
      <c r="G829" t="s">
        <v>233</v>
      </c>
      <c r="H829">
        <v>176</v>
      </c>
      <c r="I829">
        <v>12</v>
      </c>
      <c r="J829" t="s">
        <v>27</v>
      </c>
      <c r="K829" t="s">
        <v>33</v>
      </c>
      <c r="L829" t="s">
        <v>42</v>
      </c>
      <c r="M829" t="s">
        <v>30</v>
      </c>
      <c r="N829">
        <v>0</v>
      </c>
      <c r="O829">
        <v>0</v>
      </c>
      <c r="P829" s="8">
        <f>INT(Delivery_data[[#This Row],[Order Timestamp]])</f>
        <v>45176</v>
      </c>
      <c r="Q829" t="str">
        <f ca="1">IF(Delivery_data[[#This Row],[Order Status]]="In Progress", TODAY()-Delivery_data[[#This Row],[Order Date]], "")</f>
        <v/>
      </c>
      <c r="R829">
        <f>IF(Delivery_data[[#This Row],[On Time]]=1,0,1)</f>
        <v>1</v>
      </c>
    </row>
    <row r="830" spans="1:18" x14ac:dyDescent="0.35">
      <c r="A830">
        <v>2493</v>
      </c>
      <c r="B830" t="s">
        <v>954</v>
      </c>
      <c r="C830" s="1">
        <v>45176.619444444441</v>
      </c>
      <c r="D830" t="s">
        <v>16</v>
      </c>
      <c r="E830" t="s">
        <v>260</v>
      </c>
      <c r="F830" t="s">
        <v>646</v>
      </c>
      <c r="G830" t="s">
        <v>557</v>
      </c>
      <c r="H830">
        <v>104</v>
      </c>
      <c r="I830">
        <v>2</v>
      </c>
      <c r="J830" t="s">
        <v>35</v>
      </c>
      <c r="K830" t="s">
        <v>28</v>
      </c>
      <c r="L830" t="s">
        <v>42</v>
      </c>
      <c r="M830" t="s">
        <v>23</v>
      </c>
      <c r="N830">
        <v>0</v>
      </c>
      <c r="O830">
        <v>1</v>
      </c>
      <c r="P830" s="8">
        <f>INT(Delivery_data[[#This Row],[Order Timestamp]])</f>
        <v>45176</v>
      </c>
      <c r="Q830">
        <f ca="1">IF(Delivery_data[[#This Row],[Order Status]]="In Progress", TODAY()-Delivery_data[[#This Row],[Order Date]], "")</f>
        <v>807</v>
      </c>
      <c r="R830">
        <f>IF(Delivery_data[[#This Row],[On Time]]=1,0,1)</f>
        <v>1</v>
      </c>
    </row>
    <row r="831" spans="1:18" x14ac:dyDescent="0.35">
      <c r="A831">
        <v>1032</v>
      </c>
      <c r="B831" t="s">
        <v>955</v>
      </c>
      <c r="C831" s="1">
        <v>45175.620833333334</v>
      </c>
      <c r="D831" t="s">
        <v>25</v>
      </c>
      <c r="E831" t="s">
        <v>314</v>
      </c>
      <c r="F831" t="s">
        <v>646</v>
      </c>
      <c r="G831" t="s">
        <v>557</v>
      </c>
      <c r="H831">
        <v>162</v>
      </c>
      <c r="I831">
        <v>28</v>
      </c>
      <c r="J831" t="s">
        <v>35</v>
      </c>
      <c r="K831" t="s">
        <v>28</v>
      </c>
      <c r="L831" t="s">
        <v>29</v>
      </c>
      <c r="M831" t="s">
        <v>23</v>
      </c>
      <c r="N831">
        <v>0</v>
      </c>
      <c r="O831">
        <v>1</v>
      </c>
      <c r="P831" s="8">
        <f>INT(Delivery_data[[#This Row],[Order Timestamp]])</f>
        <v>45175</v>
      </c>
      <c r="Q831" t="str">
        <f ca="1">IF(Delivery_data[[#This Row],[Order Status]]="In Progress", TODAY()-Delivery_data[[#This Row],[Order Date]], "")</f>
        <v/>
      </c>
      <c r="R831">
        <f>IF(Delivery_data[[#This Row],[On Time]]=1,0,1)</f>
        <v>1</v>
      </c>
    </row>
    <row r="832" spans="1:18" x14ac:dyDescent="0.35">
      <c r="A832">
        <v>1035</v>
      </c>
      <c r="B832" t="s">
        <v>956</v>
      </c>
      <c r="C832" s="1">
        <v>45170.509722222225</v>
      </c>
      <c r="D832" t="s">
        <v>25</v>
      </c>
      <c r="E832" t="s">
        <v>50</v>
      </c>
      <c r="F832" t="s">
        <v>646</v>
      </c>
      <c r="G832" t="s">
        <v>19</v>
      </c>
      <c r="H832">
        <v>64</v>
      </c>
      <c r="I832">
        <v>6</v>
      </c>
      <c r="J832" t="s">
        <v>20</v>
      </c>
      <c r="K832" t="s">
        <v>28</v>
      </c>
      <c r="L832" t="s">
        <v>29</v>
      </c>
      <c r="M832" t="s">
        <v>39</v>
      </c>
      <c r="N832">
        <v>0</v>
      </c>
      <c r="O832">
        <v>0</v>
      </c>
      <c r="P832" s="8">
        <f>INT(Delivery_data[[#This Row],[Order Timestamp]])</f>
        <v>45170</v>
      </c>
      <c r="Q832" t="str">
        <f ca="1">IF(Delivery_data[[#This Row],[Order Status]]="In Progress", TODAY()-Delivery_data[[#This Row],[Order Date]], "")</f>
        <v/>
      </c>
      <c r="R832">
        <f>IF(Delivery_data[[#This Row],[On Time]]=1,0,1)</f>
        <v>1</v>
      </c>
    </row>
    <row r="833" spans="1:18" x14ac:dyDescent="0.35">
      <c r="A833">
        <v>1036</v>
      </c>
      <c r="B833" t="s">
        <v>957</v>
      </c>
      <c r="C833" s="1">
        <v>45171.47152777778</v>
      </c>
      <c r="D833" t="s">
        <v>25</v>
      </c>
      <c r="E833" t="s">
        <v>314</v>
      </c>
      <c r="F833" t="s">
        <v>646</v>
      </c>
      <c r="G833" t="s">
        <v>557</v>
      </c>
      <c r="H833">
        <v>182</v>
      </c>
      <c r="I833">
        <v>15</v>
      </c>
      <c r="J833" t="s">
        <v>20</v>
      </c>
      <c r="K833" t="s">
        <v>21</v>
      </c>
      <c r="L833" t="s">
        <v>29</v>
      </c>
      <c r="M833" t="s">
        <v>23</v>
      </c>
      <c r="N833">
        <v>0</v>
      </c>
      <c r="O833">
        <v>0</v>
      </c>
      <c r="P833" s="8">
        <f>INT(Delivery_data[[#This Row],[Order Timestamp]])</f>
        <v>45171</v>
      </c>
      <c r="Q833" t="str">
        <f ca="1">IF(Delivery_data[[#This Row],[Order Status]]="In Progress", TODAY()-Delivery_data[[#This Row],[Order Date]], "")</f>
        <v/>
      </c>
      <c r="R833">
        <f>IF(Delivery_data[[#This Row],[On Time]]=1,0,1)</f>
        <v>1</v>
      </c>
    </row>
    <row r="834" spans="1:18" x14ac:dyDescent="0.35">
      <c r="A834">
        <v>1045</v>
      </c>
      <c r="B834" t="s">
        <v>958</v>
      </c>
      <c r="C834" s="1">
        <v>45175.629166666666</v>
      </c>
      <c r="D834" t="s">
        <v>16</v>
      </c>
      <c r="E834" t="s">
        <v>172</v>
      </c>
      <c r="F834" t="s">
        <v>646</v>
      </c>
      <c r="G834" t="s">
        <v>557</v>
      </c>
      <c r="H834">
        <v>162</v>
      </c>
      <c r="I834">
        <v>22</v>
      </c>
      <c r="J834" t="s">
        <v>20</v>
      </c>
      <c r="K834" t="s">
        <v>21</v>
      </c>
      <c r="L834" t="s">
        <v>29</v>
      </c>
      <c r="M834" t="s">
        <v>23</v>
      </c>
      <c r="N834">
        <v>0</v>
      </c>
      <c r="O834">
        <v>0</v>
      </c>
      <c r="P834" s="8">
        <f>INT(Delivery_data[[#This Row],[Order Timestamp]])</f>
        <v>45175</v>
      </c>
      <c r="Q834">
        <f ca="1">IF(Delivery_data[[#This Row],[Order Status]]="In Progress", TODAY()-Delivery_data[[#This Row],[Order Date]], "")</f>
        <v>808</v>
      </c>
      <c r="R834">
        <f>IF(Delivery_data[[#This Row],[On Time]]=1,0,1)</f>
        <v>1</v>
      </c>
    </row>
    <row r="835" spans="1:18" x14ac:dyDescent="0.35">
      <c r="A835">
        <v>1059</v>
      </c>
      <c r="B835" t="s">
        <v>959</v>
      </c>
      <c r="C835" s="1">
        <v>45174.625</v>
      </c>
      <c r="D835" t="s">
        <v>25</v>
      </c>
      <c r="E835" t="s">
        <v>62</v>
      </c>
      <c r="F835" t="s">
        <v>646</v>
      </c>
      <c r="G835" t="s">
        <v>19</v>
      </c>
      <c r="H835">
        <v>151</v>
      </c>
      <c r="I835">
        <v>23</v>
      </c>
      <c r="J835" t="s">
        <v>35</v>
      </c>
      <c r="K835" t="s">
        <v>38</v>
      </c>
      <c r="L835" t="s">
        <v>29</v>
      </c>
      <c r="M835" t="s">
        <v>39</v>
      </c>
      <c r="N835">
        <v>0</v>
      </c>
      <c r="O835">
        <v>1</v>
      </c>
      <c r="P835" s="8">
        <f>INT(Delivery_data[[#This Row],[Order Timestamp]])</f>
        <v>45174</v>
      </c>
      <c r="Q835" t="str">
        <f ca="1">IF(Delivery_data[[#This Row],[Order Status]]="In Progress", TODAY()-Delivery_data[[#This Row],[Order Date]], "")</f>
        <v/>
      </c>
      <c r="R835">
        <f>IF(Delivery_data[[#This Row],[On Time]]=1,0,1)</f>
        <v>1</v>
      </c>
    </row>
    <row r="836" spans="1:18" x14ac:dyDescent="0.35">
      <c r="A836">
        <v>1064</v>
      </c>
      <c r="B836" t="s">
        <v>960</v>
      </c>
      <c r="C836" s="1">
        <v>45175.585416666669</v>
      </c>
      <c r="D836" t="s">
        <v>25</v>
      </c>
      <c r="E836" t="s">
        <v>64</v>
      </c>
      <c r="F836" t="s">
        <v>646</v>
      </c>
      <c r="G836" t="s">
        <v>19</v>
      </c>
      <c r="H836">
        <v>129</v>
      </c>
      <c r="I836">
        <v>2</v>
      </c>
      <c r="J836" t="s">
        <v>20</v>
      </c>
      <c r="K836" t="s">
        <v>38</v>
      </c>
      <c r="L836" t="s">
        <v>29</v>
      </c>
      <c r="M836" t="s">
        <v>23</v>
      </c>
      <c r="N836">
        <v>0</v>
      </c>
      <c r="O836">
        <v>0</v>
      </c>
      <c r="P836" s="8">
        <f>INT(Delivery_data[[#This Row],[Order Timestamp]])</f>
        <v>45175</v>
      </c>
      <c r="Q836" t="str">
        <f ca="1">IF(Delivery_data[[#This Row],[Order Status]]="In Progress", TODAY()-Delivery_data[[#This Row],[Order Date]], "")</f>
        <v/>
      </c>
      <c r="R836">
        <f>IF(Delivery_data[[#This Row],[On Time]]=1,0,1)</f>
        <v>1</v>
      </c>
    </row>
    <row r="837" spans="1:18" x14ac:dyDescent="0.35">
      <c r="A837">
        <v>1066</v>
      </c>
      <c r="B837" t="s">
        <v>961</v>
      </c>
      <c r="C837" s="1">
        <v>45174.686111111114</v>
      </c>
      <c r="D837" t="s">
        <v>16</v>
      </c>
      <c r="E837" t="s">
        <v>284</v>
      </c>
      <c r="F837" t="s">
        <v>646</v>
      </c>
      <c r="G837" t="s">
        <v>19</v>
      </c>
      <c r="H837">
        <v>203</v>
      </c>
      <c r="I837">
        <v>20</v>
      </c>
      <c r="J837" t="s">
        <v>35</v>
      </c>
      <c r="K837" t="s">
        <v>21</v>
      </c>
      <c r="L837" t="s">
        <v>29</v>
      </c>
      <c r="M837" t="s">
        <v>23</v>
      </c>
      <c r="N837">
        <v>0</v>
      </c>
      <c r="O837">
        <v>1</v>
      </c>
      <c r="P837" s="8">
        <f>INT(Delivery_data[[#This Row],[Order Timestamp]])</f>
        <v>45174</v>
      </c>
      <c r="Q837">
        <f ca="1">IF(Delivery_data[[#This Row],[Order Status]]="In Progress", TODAY()-Delivery_data[[#This Row],[Order Date]], "")</f>
        <v>809</v>
      </c>
      <c r="R837">
        <f>IF(Delivery_data[[#This Row],[On Time]]=1,0,1)</f>
        <v>1</v>
      </c>
    </row>
    <row r="838" spans="1:18" x14ac:dyDescent="0.35">
      <c r="A838">
        <v>1071</v>
      </c>
      <c r="B838" t="s">
        <v>962</v>
      </c>
      <c r="C838" s="1">
        <v>45175.599305555559</v>
      </c>
      <c r="D838" t="s">
        <v>16</v>
      </c>
      <c r="E838" t="s">
        <v>115</v>
      </c>
      <c r="F838" t="s">
        <v>646</v>
      </c>
      <c r="G838" t="s">
        <v>463</v>
      </c>
      <c r="H838">
        <v>188</v>
      </c>
      <c r="I838">
        <v>21</v>
      </c>
      <c r="J838" t="s">
        <v>27</v>
      </c>
      <c r="K838" t="s">
        <v>21</v>
      </c>
      <c r="L838" t="s">
        <v>29</v>
      </c>
      <c r="M838" t="s">
        <v>23</v>
      </c>
      <c r="N838">
        <v>0</v>
      </c>
      <c r="O838">
        <v>0</v>
      </c>
      <c r="P838" s="8">
        <f>INT(Delivery_data[[#This Row],[Order Timestamp]])</f>
        <v>45175</v>
      </c>
      <c r="Q838">
        <f ca="1">IF(Delivery_data[[#This Row],[Order Status]]="In Progress", TODAY()-Delivery_data[[#This Row],[Order Date]], "")</f>
        <v>808</v>
      </c>
      <c r="R838">
        <f>IF(Delivery_data[[#This Row],[On Time]]=1,0,1)</f>
        <v>1</v>
      </c>
    </row>
    <row r="839" spans="1:18" x14ac:dyDescent="0.35">
      <c r="A839">
        <v>1084</v>
      </c>
      <c r="B839" t="s">
        <v>963</v>
      </c>
      <c r="C839" s="1">
        <v>45173.356249999997</v>
      </c>
      <c r="D839" t="s">
        <v>16</v>
      </c>
      <c r="E839" t="s">
        <v>64</v>
      </c>
      <c r="F839" t="s">
        <v>646</v>
      </c>
      <c r="G839" t="s">
        <v>557</v>
      </c>
      <c r="H839">
        <v>179</v>
      </c>
      <c r="I839">
        <v>23</v>
      </c>
      <c r="J839" t="s">
        <v>20</v>
      </c>
      <c r="K839" t="s">
        <v>21</v>
      </c>
      <c r="L839" t="s">
        <v>29</v>
      </c>
      <c r="M839" t="s">
        <v>30</v>
      </c>
      <c r="N839">
        <v>0</v>
      </c>
      <c r="O839">
        <v>0</v>
      </c>
      <c r="P839" s="8">
        <f>INT(Delivery_data[[#This Row],[Order Timestamp]])</f>
        <v>45173</v>
      </c>
      <c r="Q839">
        <f ca="1">IF(Delivery_data[[#This Row],[Order Status]]="In Progress", TODAY()-Delivery_data[[#This Row],[Order Date]], "")</f>
        <v>810</v>
      </c>
      <c r="R839">
        <f>IF(Delivery_data[[#This Row],[On Time]]=1,0,1)</f>
        <v>1</v>
      </c>
    </row>
    <row r="840" spans="1:18" x14ac:dyDescent="0.35">
      <c r="A840">
        <v>1098</v>
      </c>
      <c r="B840" t="s">
        <v>964</v>
      </c>
      <c r="C840" s="1">
        <v>45172.425000000003</v>
      </c>
      <c r="D840" t="s">
        <v>16</v>
      </c>
      <c r="E840" t="s">
        <v>325</v>
      </c>
      <c r="F840" t="s">
        <v>646</v>
      </c>
      <c r="G840" t="s">
        <v>557</v>
      </c>
      <c r="H840">
        <v>194</v>
      </c>
      <c r="I840">
        <v>22</v>
      </c>
      <c r="J840" t="s">
        <v>35</v>
      </c>
      <c r="K840" t="s">
        <v>33</v>
      </c>
      <c r="L840" t="s">
        <v>29</v>
      </c>
      <c r="M840" t="s">
        <v>23</v>
      </c>
      <c r="N840">
        <v>0</v>
      </c>
      <c r="O840">
        <v>1</v>
      </c>
      <c r="P840" s="8">
        <f>INT(Delivery_data[[#This Row],[Order Timestamp]])</f>
        <v>45172</v>
      </c>
      <c r="Q840">
        <f ca="1">IF(Delivery_data[[#This Row],[Order Status]]="In Progress", TODAY()-Delivery_data[[#This Row],[Order Date]], "")</f>
        <v>811</v>
      </c>
      <c r="R840">
        <f>IF(Delivery_data[[#This Row],[On Time]]=1,0,1)</f>
        <v>1</v>
      </c>
    </row>
    <row r="841" spans="1:18" x14ac:dyDescent="0.35">
      <c r="A841">
        <v>1111</v>
      </c>
      <c r="B841" t="s">
        <v>965</v>
      </c>
      <c r="C841" s="1">
        <v>45176.630555555559</v>
      </c>
      <c r="D841" t="s">
        <v>16</v>
      </c>
      <c r="E841" t="s">
        <v>227</v>
      </c>
      <c r="F841" t="s">
        <v>646</v>
      </c>
      <c r="G841" t="s">
        <v>233</v>
      </c>
      <c r="H841">
        <v>130</v>
      </c>
      <c r="I841">
        <v>2</v>
      </c>
      <c r="J841" t="s">
        <v>27</v>
      </c>
      <c r="K841" t="s">
        <v>38</v>
      </c>
      <c r="L841" t="s">
        <v>29</v>
      </c>
      <c r="M841" t="s">
        <v>39</v>
      </c>
      <c r="N841">
        <v>0</v>
      </c>
      <c r="O841">
        <v>0</v>
      </c>
      <c r="P841" s="8">
        <f>INT(Delivery_data[[#This Row],[Order Timestamp]])</f>
        <v>45176</v>
      </c>
      <c r="Q841">
        <f ca="1">IF(Delivery_data[[#This Row],[Order Status]]="In Progress", TODAY()-Delivery_data[[#This Row],[Order Date]], "")</f>
        <v>807</v>
      </c>
      <c r="R841">
        <f>IF(Delivery_data[[#This Row],[On Time]]=1,0,1)</f>
        <v>1</v>
      </c>
    </row>
    <row r="842" spans="1:18" x14ac:dyDescent="0.35">
      <c r="A842">
        <v>1115</v>
      </c>
      <c r="B842" t="s">
        <v>966</v>
      </c>
      <c r="C842" s="1">
        <v>45173.622916666667</v>
      </c>
      <c r="D842" t="s">
        <v>16</v>
      </c>
      <c r="E842" t="s">
        <v>62</v>
      </c>
      <c r="F842" t="s">
        <v>646</v>
      </c>
      <c r="G842" t="s">
        <v>557</v>
      </c>
      <c r="H842">
        <v>155</v>
      </c>
      <c r="I842">
        <v>8</v>
      </c>
      <c r="J842" t="s">
        <v>27</v>
      </c>
      <c r="K842" t="s">
        <v>21</v>
      </c>
      <c r="L842" t="s">
        <v>29</v>
      </c>
      <c r="M842" t="s">
        <v>39</v>
      </c>
      <c r="N842">
        <v>0</v>
      </c>
      <c r="O842">
        <v>0</v>
      </c>
      <c r="P842" s="8">
        <f>INT(Delivery_data[[#This Row],[Order Timestamp]])</f>
        <v>45173</v>
      </c>
      <c r="Q842">
        <f ca="1">IF(Delivery_data[[#This Row],[Order Status]]="In Progress", TODAY()-Delivery_data[[#This Row],[Order Date]], "")</f>
        <v>810</v>
      </c>
      <c r="R842">
        <f>IF(Delivery_data[[#This Row],[On Time]]=1,0,1)</f>
        <v>1</v>
      </c>
    </row>
    <row r="843" spans="1:18" x14ac:dyDescent="0.35">
      <c r="A843">
        <v>1126</v>
      </c>
      <c r="B843" t="s">
        <v>967</v>
      </c>
      <c r="C843" s="1">
        <v>45171.570833333331</v>
      </c>
      <c r="D843" t="s">
        <v>16</v>
      </c>
      <c r="E843" t="s">
        <v>102</v>
      </c>
      <c r="F843" t="s">
        <v>646</v>
      </c>
      <c r="G843" t="s">
        <v>362</v>
      </c>
      <c r="H843">
        <v>111</v>
      </c>
      <c r="I843">
        <v>27</v>
      </c>
      <c r="J843" t="s">
        <v>27</v>
      </c>
      <c r="K843" t="s">
        <v>33</v>
      </c>
      <c r="L843" t="s">
        <v>29</v>
      </c>
      <c r="M843" t="s">
        <v>30</v>
      </c>
      <c r="N843">
        <v>0</v>
      </c>
      <c r="O843">
        <v>0</v>
      </c>
      <c r="P843" s="8">
        <f>INT(Delivery_data[[#This Row],[Order Timestamp]])</f>
        <v>45171</v>
      </c>
      <c r="Q843">
        <f ca="1">IF(Delivery_data[[#This Row],[Order Status]]="In Progress", TODAY()-Delivery_data[[#This Row],[Order Date]], "")</f>
        <v>812</v>
      </c>
      <c r="R843">
        <f>IF(Delivery_data[[#This Row],[On Time]]=1,0,1)</f>
        <v>1</v>
      </c>
    </row>
    <row r="844" spans="1:18" x14ac:dyDescent="0.35">
      <c r="A844">
        <v>1130</v>
      </c>
      <c r="B844" t="s">
        <v>968</v>
      </c>
      <c r="C844" s="1">
        <v>45173.493055555555</v>
      </c>
      <c r="D844" t="s">
        <v>25</v>
      </c>
      <c r="E844" t="s">
        <v>284</v>
      </c>
      <c r="F844" t="s">
        <v>646</v>
      </c>
      <c r="G844" t="s">
        <v>463</v>
      </c>
      <c r="H844">
        <v>93</v>
      </c>
      <c r="I844">
        <v>20</v>
      </c>
      <c r="J844" t="s">
        <v>27</v>
      </c>
      <c r="K844" t="s">
        <v>28</v>
      </c>
      <c r="L844" t="s">
        <v>29</v>
      </c>
      <c r="M844" t="s">
        <v>30</v>
      </c>
      <c r="N844">
        <v>0</v>
      </c>
      <c r="O844">
        <v>0</v>
      </c>
      <c r="P844" s="8">
        <f>INT(Delivery_data[[#This Row],[Order Timestamp]])</f>
        <v>45173</v>
      </c>
      <c r="Q844" t="str">
        <f ca="1">IF(Delivery_data[[#This Row],[Order Status]]="In Progress", TODAY()-Delivery_data[[#This Row],[Order Date]], "")</f>
        <v/>
      </c>
      <c r="R844">
        <f>IF(Delivery_data[[#This Row],[On Time]]=1,0,1)</f>
        <v>1</v>
      </c>
    </row>
    <row r="845" spans="1:18" x14ac:dyDescent="0.35">
      <c r="A845">
        <v>1132</v>
      </c>
      <c r="B845" t="s">
        <v>969</v>
      </c>
      <c r="C845" s="1">
        <v>45171.518055555556</v>
      </c>
      <c r="D845" t="s">
        <v>25</v>
      </c>
      <c r="E845" t="s">
        <v>245</v>
      </c>
      <c r="F845" t="s">
        <v>646</v>
      </c>
      <c r="G845" t="s">
        <v>19</v>
      </c>
      <c r="H845">
        <v>69</v>
      </c>
      <c r="I845">
        <v>23</v>
      </c>
      <c r="J845" t="s">
        <v>20</v>
      </c>
      <c r="K845" t="s">
        <v>38</v>
      </c>
      <c r="L845" t="s">
        <v>29</v>
      </c>
      <c r="M845" t="s">
        <v>30</v>
      </c>
      <c r="N845">
        <v>0</v>
      </c>
      <c r="O845">
        <v>0</v>
      </c>
      <c r="P845" s="8">
        <f>INT(Delivery_data[[#This Row],[Order Timestamp]])</f>
        <v>45171</v>
      </c>
      <c r="Q845" t="str">
        <f ca="1">IF(Delivery_data[[#This Row],[Order Status]]="In Progress", TODAY()-Delivery_data[[#This Row],[Order Date]], "")</f>
        <v/>
      </c>
      <c r="R845">
        <f>IF(Delivery_data[[#This Row],[On Time]]=1,0,1)</f>
        <v>1</v>
      </c>
    </row>
    <row r="846" spans="1:18" x14ac:dyDescent="0.35">
      <c r="A846">
        <v>1141</v>
      </c>
      <c r="B846" t="s">
        <v>970</v>
      </c>
      <c r="C846" s="1">
        <v>45171.436111111114</v>
      </c>
      <c r="D846" t="s">
        <v>25</v>
      </c>
      <c r="E846" t="s">
        <v>559</v>
      </c>
      <c r="F846" t="s">
        <v>646</v>
      </c>
      <c r="G846" t="s">
        <v>19</v>
      </c>
      <c r="H846">
        <v>126</v>
      </c>
      <c r="I846">
        <v>19</v>
      </c>
      <c r="J846" t="s">
        <v>20</v>
      </c>
      <c r="K846" t="s">
        <v>38</v>
      </c>
      <c r="L846" t="s">
        <v>29</v>
      </c>
      <c r="M846" t="s">
        <v>30</v>
      </c>
      <c r="N846">
        <v>0</v>
      </c>
      <c r="O846">
        <v>0</v>
      </c>
      <c r="P846" s="8">
        <f>INT(Delivery_data[[#This Row],[Order Timestamp]])</f>
        <v>45171</v>
      </c>
      <c r="Q846" t="str">
        <f ca="1">IF(Delivery_data[[#This Row],[Order Status]]="In Progress", TODAY()-Delivery_data[[#This Row],[Order Date]], "")</f>
        <v/>
      </c>
      <c r="R846">
        <f>IF(Delivery_data[[#This Row],[On Time]]=1,0,1)</f>
        <v>1</v>
      </c>
    </row>
    <row r="847" spans="1:18" x14ac:dyDescent="0.35">
      <c r="A847">
        <v>1144</v>
      </c>
      <c r="B847" t="s">
        <v>971</v>
      </c>
      <c r="C847" s="1">
        <v>45177.706944444442</v>
      </c>
      <c r="D847" t="s">
        <v>25</v>
      </c>
      <c r="E847" t="s">
        <v>94</v>
      </c>
      <c r="F847" t="s">
        <v>646</v>
      </c>
      <c r="G847" t="s">
        <v>362</v>
      </c>
      <c r="H847">
        <v>215</v>
      </c>
      <c r="I847">
        <v>24</v>
      </c>
      <c r="J847" t="s">
        <v>27</v>
      </c>
      <c r="K847" t="s">
        <v>28</v>
      </c>
      <c r="L847" t="s">
        <v>29</v>
      </c>
      <c r="M847" t="s">
        <v>30</v>
      </c>
      <c r="N847">
        <v>0</v>
      </c>
      <c r="O847">
        <v>0</v>
      </c>
      <c r="P847" s="8">
        <f>INT(Delivery_data[[#This Row],[Order Timestamp]])</f>
        <v>45177</v>
      </c>
      <c r="Q847" t="str">
        <f ca="1">IF(Delivery_data[[#This Row],[Order Status]]="In Progress", TODAY()-Delivery_data[[#This Row],[Order Date]], "")</f>
        <v/>
      </c>
      <c r="R847">
        <f>IF(Delivery_data[[#This Row],[On Time]]=1,0,1)</f>
        <v>1</v>
      </c>
    </row>
    <row r="848" spans="1:18" x14ac:dyDescent="0.35">
      <c r="A848">
        <v>1149</v>
      </c>
      <c r="B848" t="s">
        <v>972</v>
      </c>
      <c r="C848" s="1">
        <v>45170.615277777775</v>
      </c>
      <c r="D848" t="s">
        <v>16</v>
      </c>
      <c r="E848" t="s">
        <v>666</v>
      </c>
      <c r="F848" t="s">
        <v>646</v>
      </c>
      <c r="G848" t="s">
        <v>233</v>
      </c>
      <c r="H848">
        <v>64</v>
      </c>
      <c r="I848">
        <v>25</v>
      </c>
      <c r="J848" t="s">
        <v>35</v>
      </c>
      <c r="K848" t="s">
        <v>21</v>
      </c>
      <c r="L848" t="s">
        <v>29</v>
      </c>
      <c r="M848" t="s">
        <v>23</v>
      </c>
      <c r="N848">
        <v>0</v>
      </c>
      <c r="O848">
        <v>1</v>
      </c>
      <c r="P848" s="8">
        <f>INT(Delivery_data[[#This Row],[Order Timestamp]])</f>
        <v>45170</v>
      </c>
      <c r="Q848">
        <f ca="1">IF(Delivery_data[[#This Row],[Order Status]]="In Progress", TODAY()-Delivery_data[[#This Row],[Order Date]], "")</f>
        <v>813</v>
      </c>
      <c r="R848">
        <f>IF(Delivery_data[[#This Row],[On Time]]=1,0,1)</f>
        <v>1</v>
      </c>
    </row>
    <row r="849" spans="1:18" x14ac:dyDescent="0.35">
      <c r="A849">
        <v>1154</v>
      </c>
      <c r="B849" t="s">
        <v>973</v>
      </c>
      <c r="C849" s="1">
        <v>45173.571527777778</v>
      </c>
      <c r="D849" t="s">
        <v>16</v>
      </c>
      <c r="E849" t="s">
        <v>267</v>
      </c>
      <c r="F849" t="s">
        <v>646</v>
      </c>
      <c r="G849" t="s">
        <v>233</v>
      </c>
      <c r="H849">
        <v>215</v>
      </c>
      <c r="I849">
        <v>12</v>
      </c>
      <c r="J849" t="s">
        <v>27</v>
      </c>
      <c r="K849" t="s">
        <v>28</v>
      </c>
      <c r="L849" t="s">
        <v>29</v>
      </c>
      <c r="M849" t="s">
        <v>30</v>
      </c>
      <c r="N849">
        <v>0</v>
      </c>
      <c r="O849">
        <v>0</v>
      </c>
      <c r="P849" s="8">
        <f>INT(Delivery_data[[#This Row],[Order Timestamp]])</f>
        <v>45173</v>
      </c>
      <c r="Q849">
        <f ca="1">IF(Delivery_data[[#This Row],[Order Status]]="In Progress", TODAY()-Delivery_data[[#This Row],[Order Date]], "")</f>
        <v>810</v>
      </c>
      <c r="R849">
        <f>IF(Delivery_data[[#This Row],[On Time]]=1,0,1)</f>
        <v>1</v>
      </c>
    </row>
    <row r="850" spans="1:18" x14ac:dyDescent="0.35">
      <c r="A850">
        <v>1155</v>
      </c>
      <c r="B850" t="s">
        <v>974</v>
      </c>
      <c r="C850" s="1">
        <v>45175.570833333331</v>
      </c>
      <c r="D850" t="s">
        <v>16</v>
      </c>
      <c r="E850" t="s">
        <v>216</v>
      </c>
      <c r="F850" t="s">
        <v>646</v>
      </c>
      <c r="G850" t="s">
        <v>557</v>
      </c>
      <c r="H850">
        <v>165</v>
      </c>
      <c r="I850">
        <v>15</v>
      </c>
      <c r="J850" t="s">
        <v>27</v>
      </c>
      <c r="K850" t="s">
        <v>51</v>
      </c>
      <c r="L850" t="s">
        <v>29</v>
      </c>
      <c r="M850" t="s">
        <v>39</v>
      </c>
      <c r="N850">
        <v>0</v>
      </c>
      <c r="O850">
        <v>0</v>
      </c>
      <c r="P850" s="8">
        <f>INT(Delivery_data[[#This Row],[Order Timestamp]])</f>
        <v>45175</v>
      </c>
      <c r="Q850">
        <f ca="1">IF(Delivery_data[[#This Row],[Order Status]]="In Progress", TODAY()-Delivery_data[[#This Row],[Order Date]], "")</f>
        <v>808</v>
      </c>
      <c r="R850">
        <f>IF(Delivery_data[[#This Row],[On Time]]=1,0,1)</f>
        <v>1</v>
      </c>
    </row>
    <row r="851" spans="1:18" x14ac:dyDescent="0.35">
      <c r="A851">
        <v>1159</v>
      </c>
      <c r="B851" t="s">
        <v>975</v>
      </c>
      <c r="C851" s="1">
        <v>45176.510416666664</v>
      </c>
      <c r="D851" t="s">
        <v>25</v>
      </c>
      <c r="E851" t="s">
        <v>184</v>
      </c>
      <c r="F851" t="s">
        <v>646</v>
      </c>
      <c r="G851" t="s">
        <v>233</v>
      </c>
      <c r="H851">
        <v>197</v>
      </c>
      <c r="I851">
        <v>22</v>
      </c>
      <c r="J851" t="s">
        <v>20</v>
      </c>
      <c r="K851" t="s">
        <v>51</v>
      </c>
      <c r="L851" t="s">
        <v>29</v>
      </c>
      <c r="M851" t="s">
        <v>30</v>
      </c>
      <c r="N851">
        <v>0</v>
      </c>
      <c r="O851">
        <v>0</v>
      </c>
      <c r="P851" s="8">
        <f>INT(Delivery_data[[#This Row],[Order Timestamp]])</f>
        <v>45176</v>
      </c>
      <c r="Q851" t="str">
        <f ca="1">IF(Delivery_data[[#This Row],[Order Status]]="In Progress", TODAY()-Delivery_data[[#This Row],[Order Date]], "")</f>
        <v/>
      </c>
      <c r="R851">
        <f>IF(Delivery_data[[#This Row],[On Time]]=1,0,1)</f>
        <v>1</v>
      </c>
    </row>
    <row r="852" spans="1:18" x14ac:dyDescent="0.35">
      <c r="A852">
        <v>1168</v>
      </c>
      <c r="B852" t="s">
        <v>976</v>
      </c>
      <c r="C852" s="1">
        <v>45170.675000000003</v>
      </c>
      <c r="D852" t="s">
        <v>25</v>
      </c>
      <c r="E852" t="s">
        <v>260</v>
      </c>
      <c r="F852" t="s">
        <v>646</v>
      </c>
      <c r="G852" t="s">
        <v>463</v>
      </c>
      <c r="H852">
        <v>81</v>
      </c>
      <c r="I852">
        <v>15</v>
      </c>
      <c r="J852" t="s">
        <v>35</v>
      </c>
      <c r="K852" t="s">
        <v>21</v>
      </c>
      <c r="L852" t="s">
        <v>29</v>
      </c>
      <c r="M852" t="s">
        <v>39</v>
      </c>
      <c r="N852">
        <v>0</v>
      </c>
      <c r="O852">
        <v>1</v>
      </c>
      <c r="P852" s="8">
        <f>INT(Delivery_data[[#This Row],[Order Timestamp]])</f>
        <v>45170</v>
      </c>
      <c r="Q852" t="str">
        <f ca="1">IF(Delivery_data[[#This Row],[Order Status]]="In Progress", TODAY()-Delivery_data[[#This Row],[Order Date]], "")</f>
        <v/>
      </c>
      <c r="R852">
        <f>IF(Delivery_data[[#This Row],[On Time]]=1,0,1)</f>
        <v>1</v>
      </c>
    </row>
    <row r="853" spans="1:18" x14ac:dyDescent="0.35">
      <c r="A853">
        <v>1175</v>
      </c>
      <c r="B853" t="s">
        <v>977</v>
      </c>
      <c r="C853" s="1">
        <v>45172.384027777778</v>
      </c>
      <c r="D853" t="s">
        <v>16</v>
      </c>
      <c r="E853" t="s">
        <v>314</v>
      </c>
      <c r="F853" t="s">
        <v>646</v>
      </c>
      <c r="G853" t="s">
        <v>463</v>
      </c>
      <c r="H853">
        <v>135</v>
      </c>
      <c r="I853">
        <v>16</v>
      </c>
      <c r="J853" t="s">
        <v>27</v>
      </c>
      <c r="K853" t="s">
        <v>21</v>
      </c>
      <c r="L853" t="s">
        <v>29</v>
      </c>
      <c r="M853" t="s">
        <v>39</v>
      </c>
      <c r="N853">
        <v>0</v>
      </c>
      <c r="O853">
        <v>0</v>
      </c>
      <c r="P853" s="8">
        <f>INT(Delivery_data[[#This Row],[Order Timestamp]])</f>
        <v>45172</v>
      </c>
      <c r="Q853">
        <f ca="1">IF(Delivery_data[[#This Row],[Order Status]]="In Progress", TODAY()-Delivery_data[[#This Row],[Order Date]], "")</f>
        <v>811</v>
      </c>
      <c r="R853">
        <f>IF(Delivery_data[[#This Row],[On Time]]=1,0,1)</f>
        <v>1</v>
      </c>
    </row>
    <row r="854" spans="1:18" x14ac:dyDescent="0.35">
      <c r="A854">
        <v>1178</v>
      </c>
      <c r="B854" t="s">
        <v>978</v>
      </c>
      <c r="C854" s="1">
        <v>45171.338194444441</v>
      </c>
      <c r="D854" t="s">
        <v>16</v>
      </c>
      <c r="E854" t="s">
        <v>74</v>
      </c>
      <c r="F854" t="s">
        <v>646</v>
      </c>
      <c r="G854" t="s">
        <v>233</v>
      </c>
      <c r="H854">
        <v>204</v>
      </c>
      <c r="I854">
        <v>20</v>
      </c>
      <c r="J854" t="s">
        <v>20</v>
      </c>
      <c r="K854" t="s">
        <v>33</v>
      </c>
      <c r="L854" t="s">
        <v>29</v>
      </c>
      <c r="M854" t="s">
        <v>23</v>
      </c>
      <c r="N854">
        <v>0</v>
      </c>
      <c r="O854">
        <v>0</v>
      </c>
      <c r="P854" s="8">
        <f>INT(Delivery_data[[#This Row],[Order Timestamp]])</f>
        <v>45171</v>
      </c>
      <c r="Q854">
        <f ca="1">IF(Delivery_data[[#This Row],[Order Status]]="In Progress", TODAY()-Delivery_data[[#This Row],[Order Date]], "")</f>
        <v>812</v>
      </c>
      <c r="R854">
        <f>IF(Delivery_data[[#This Row],[On Time]]=1,0,1)</f>
        <v>1</v>
      </c>
    </row>
    <row r="855" spans="1:18" x14ac:dyDescent="0.35">
      <c r="A855">
        <v>1183</v>
      </c>
      <c r="B855" t="s">
        <v>979</v>
      </c>
      <c r="C855" s="1">
        <v>45177.570833333331</v>
      </c>
      <c r="D855" t="s">
        <v>25</v>
      </c>
      <c r="E855" t="s">
        <v>175</v>
      </c>
      <c r="F855" t="s">
        <v>646</v>
      </c>
      <c r="G855" t="s">
        <v>362</v>
      </c>
      <c r="H855">
        <v>203</v>
      </c>
      <c r="I855">
        <v>3</v>
      </c>
      <c r="J855" t="s">
        <v>27</v>
      </c>
      <c r="K855" t="s">
        <v>51</v>
      </c>
      <c r="L855" t="s">
        <v>29</v>
      </c>
      <c r="M855" t="s">
        <v>30</v>
      </c>
      <c r="N855">
        <v>0</v>
      </c>
      <c r="O855">
        <v>0</v>
      </c>
      <c r="P855" s="8">
        <f>INT(Delivery_data[[#This Row],[Order Timestamp]])</f>
        <v>45177</v>
      </c>
      <c r="Q855" t="str">
        <f ca="1">IF(Delivery_data[[#This Row],[Order Status]]="In Progress", TODAY()-Delivery_data[[#This Row],[Order Date]], "")</f>
        <v/>
      </c>
      <c r="R855">
        <f>IF(Delivery_data[[#This Row],[On Time]]=1,0,1)</f>
        <v>1</v>
      </c>
    </row>
    <row r="856" spans="1:18" x14ac:dyDescent="0.35">
      <c r="A856">
        <v>1187</v>
      </c>
      <c r="B856" t="s">
        <v>980</v>
      </c>
      <c r="C856" s="1">
        <v>45170.481944444444</v>
      </c>
      <c r="D856" t="s">
        <v>16</v>
      </c>
      <c r="E856" t="s">
        <v>64</v>
      </c>
      <c r="F856" t="s">
        <v>646</v>
      </c>
      <c r="G856" t="s">
        <v>19</v>
      </c>
      <c r="H856">
        <v>219</v>
      </c>
      <c r="I856">
        <v>25</v>
      </c>
      <c r="J856" t="s">
        <v>35</v>
      </c>
      <c r="K856" t="s">
        <v>33</v>
      </c>
      <c r="L856" t="s">
        <v>29</v>
      </c>
      <c r="M856" t="s">
        <v>39</v>
      </c>
      <c r="N856">
        <v>0</v>
      </c>
      <c r="O856">
        <v>1</v>
      </c>
      <c r="P856" s="8">
        <f>INT(Delivery_data[[#This Row],[Order Timestamp]])</f>
        <v>45170</v>
      </c>
      <c r="Q856">
        <f ca="1">IF(Delivery_data[[#This Row],[Order Status]]="In Progress", TODAY()-Delivery_data[[#This Row],[Order Date]], "")</f>
        <v>813</v>
      </c>
      <c r="R856">
        <f>IF(Delivery_data[[#This Row],[On Time]]=1,0,1)</f>
        <v>1</v>
      </c>
    </row>
    <row r="857" spans="1:18" x14ac:dyDescent="0.35">
      <c r="A857">
        <v>1193</v>
      </c>
      <c r="B857" t="s">
        <v>981</v>
      </c>
      <c r="C857" s="1">
        <v>45175.672222222223</v>
      </c>
      <c r="D857" t="s">
        <v>25</v>
      </c>
      <c r="E857" t="s">
        <v>68</v>
      </c>
      <c r="F857" t="s">
        <v>646</v>
      </c>
      <c r="G857" t="s">
        <v>463</v>
      </c>
      <c r="H857">
        <v>233</v>
      </c>
      <c r="I857">
        <v>5</v>
      </c>
      <c r="J857" t="s">
        <v>20</v>
      </c>
      <c r="K857" t="s">
        <v>33</v>
      </c>
      <c r="L857" t="s">
        <v>29</v>
      </c>
      <c r="M857" t="s">
        <v>30</v>
      </c>
      <c r="N857">
        <v>0</v>
      </c>
      <c r="O857">
        <v>0</v>
      </c>
      <c r="P857" s="8">
        <f>INT(Delivery_data[[#This Row],[Order Timestamp]])</f>
        <v>45175</v>
      </c>
      <c r="Q857" t="str">
        <f ca="1">IF(Delivery_data[[#This Row],[Order Status]]="In Progress", TODAY()-Delivery_data[[#This Row],[Order Date]], "")</f>
        <v/>
      </c>
      <c r="R857">
        <f>IF(Delivery_data[[#This Row],[On Time]]=1,0,1)</f>
        <v>1</v>
      </c>
    </row>
    <row r="858" spans="1:18" x14ac:dyDescent="0.35">
      <c r="A858">
        <v>1213</v>
      </c>
      <c r="B858" t="s">
        <v>982</v>
      </c>
      <c r="C858" s="1">
        <v>45177.634722222225</v>
      </c>
      <c r="D858" t="s">
        <v>16</v>
      </c>
      <c r="E858" t="s">
        <v>26</v>
      </c>
      <c r="F858" t="s">
        <v>646</v>
      </c>
      <c r="G858" t="s">
        <v>557</v>
      </c>
      <c r="H858">
        <v>129</v>
      </c>
      <c r="I858">
        <v>5</v>
      </c>
      <c r="J858" t="s">
        <v>35</v>
      </c>
      <c r="K858" t="s">
        <v>28</v>
      </c>
      <c r="L858" t="s">
        <v>29</v>
      </c>
      <c r="M858" t="s">
        <v>23</v>
      </c>
      <c r="N858">
        <v>0</v>
      </c>
      <c r="O858">
        <v>1</v>
      </c>
      <c r="P858" s="8">
        <f>INT(Delivery_data[[#This Row],[Order Timestamp]])</f>
        <v>45177</v>
      </c>
      <c r="Q858">
        <f ca="1">IF(Delivery_data[[#This Row],[Order Status]]="In Progress", TODAY()-Delivery_data[[#This Row],[Order Date]], "")</f>
        <v>806</v>
      </c>
      <c r="R858">
        <f>IF(Delivery_data[[#This Row],[On Time]]=1,0,1)</f>
        <v>1</v>
      </c>
    </row>
    <row r="859" spans="1:18" x14ac:dyDescent="0.35">
      <c r="A859">
        <v>1215</v>
      </c>
      <c r="B859" t="s">
        <v>983</v>
      </c>
      <c r="C859" s="1">
        <v>45171.352777777778</v>
      </c>
      <c r="D859" t="s">
        <v>25</v>
      </c>
      <c r="E859" t="s">
        <v>158</v>
      </c>
      <c r="F859" t="s">
        <v>646</v>
      </c>
      <c r="G859" t="s">
        <v>233</v>
      </c>
      <c r="H859">
        <v>162</v>
      </c>
      <c r="I859">
        <v>25</v>
      </c>
      <c r="J859" t="s">
        <v>35</v>
      </c>
      <c r="K859" t="s">
        <v>51</v>
      </c>
      <c r="L859" t="s">
        <v>29</v>
      </c>
      <c r="M859" t="s">
        <v>23</v>
      </c>
      <c r="N859">
        <v>0</v>
      </c>
      <c r="O859">
        <v>1</v>
      </c>
      <c r="P859" s="8">
        <f>INT(Delivery_data[[#This Row],[Order Timestamp]])</f>
        <v>45171</v>
      </c>
      <c r="Q859" t="str">
        <f ca="1">IF(Delivery_data[[#This Row],[Order Status]]="In Progress", TODAY()-Delivery_data[[#This Row],[Order Date]], "")</f>
        <v/>
      </c>
      <c r="R859">
        <f>IF(Delivery_data[[#This Row],[On Time]]=1,0,1)</f>
        <v>1</v>
      </c>
    </row>
    <row r="860" spans="1:18" x14ac:dyDescent="0.35">
      <c r="A860">
        <v>1248</v>
      </c>
      <c r="B860" t="s">
        <v>984</v>
      </c>
      <c r="C860" s="1">
        <v>45173.353472222225</v>
      </c>
      <c r="D860" t="s">
        <v>16</v>
      </c>
      <c r="E860" t="s">
        <v>178</v>
      </c>
      <c r="F860" t="s">
        <v>646</v>
      </c>
      <c r="G860" t="s">
        <v>557</v>
      </c>
      <c r="H860">
        <v>175</v>
      </c>
      <c r="I860">
        <v>20</v>
      </c>
      <c r="J860" t="s">
        <v>20</v>
      </c>
      <c r="K860" t="s">
        <v>33</v>
      </c>
      <c r="L860" t="s">
        <v>29</v>
      </c>
      <c r="M860" t="s">
        <v>23</v>
      </c>
      <c r="N860">
        <v>0</v>
      </c>
      <c r="O860">
        <v>0</v>
      </c>
      <c r="P860" s="8">
        <f>INT(Delivery_data[[#This Row],[Order Timestamp]])</f>
        <v>45173</v>
      </c>
      <c r="Q860">
        <f ca="1">IF(Delivery_data[[#This Row],[Order Status]]="In Progress", TODAY()-Delivery_data[[#This Row],[Order Date]], "")</f>
        <v>810</v>
      </c>
      <c r="R860">
        <f>IF(Delivery_data[[#This Row],[On Time]]=1,0,1)</f>
        <v>1</v>
      </c>
    </row>
    <row r="861" spans="1:18" x14ac:dyDescent="0.35">
      <c r="A861">
        <v>1266</v>
      </c>
      <c r="B861" t="s">
        <v>985</v>
      </c>
      <c r="C861" s="1">
        <v>45176.345138888886</v>
      </c>
      <c r="D861" t="s">
        <v>16</v>
      </c>
      <c r="E861" t="s">
        <v>139</v>
      </c>
      <c r="F861" t="s">
        <v>646</v>
      </c>
      <c r="G861" t="s">
        <v>463</v>
      </c>
      <c r="H861">
        <v>225</v>
      </c>
      <c r="I861">
        <v>4</v>
      </c>
      <c r="J861" t="s">
        <v>20</v>
      </c>
      <c r="K861" t="s">
        <v>21</v>
      </c>
      <c r="L861" t="s">
        <v>29</v>
      </c>
      <c r="M861" t="s">
        <v>39</v>
      </c>
      <c r="N861">
        <v>0</v>
      </c>
      <c r="O861">
        <v>0</v>
      </c>
      <c r="P861" s="8">
        <f>INT(Delivery_data[[#This Row],[Order Timestamp]])</f>
        <v>45176</v>
      </c>
      <c r="Q861">
        <f ca="1">IF(Delivery_data[[#This Row],[Order Status]]="In Progress", TODAY()-Delivery_data[[#This Row],[Order Date]], "")</f>
        <v>807</v>
      </c>
      <c r="R861">
        <f>IF(Delivery_data[[#This Row],[On Time]]=1,0,1)</f>
        <v>1</v>
      </c>
    </row>
    <row r="862" spans="1:18" x14ac:dyDescent="0.35">
      <c r="A862">
        <v>1277</v>
      </c>
      <c r="B862" t="s">
        <v>986</v>
      </c>
      <c r="C862" s="1">
        <v>45170.344444444447</v>
      </c>
      <c r="D862" t="s">
        <v>25</v>
      </c>
      <c r="E862" t="s">
        <v>225</v>
      </c>
      <c r="F862" t="s">
        <v>646</v>
      </c>
      <c r="G862" t="s">
        <v>557</v>
      </c>
      <c r="H862">
        <v>149</v>
      </c>
      <c r="I862">
        <v>26</v>
      </c>
      <c r="J862" t="s">
        <v>27</v>
      </c>
      <c r="K862" t="s">
        <v>38</v>
      </c>
      <c r="L862" t="s">
        <v>29</v>
      </c>
      <c r="M862" t="s">
        <v>23</v>
      </c>
      <c r="N862">
        <v>0</v>
      </c>
      <c r="O862">
        <v>0</v>
      </c>
      <c r="P862" s="8">
        <f>INT(Delivery_data[[#This Row],[Order Timestamp]])</f>
        <v>45170</v>
      </c>
      <c r="Q862" t="str">
        <f ca="1">IF(Delivery_data[[#This Row],[Order Status]]="In Progress", TODAY()-Delivery_data[[#This Row],[Order Date]], "")</f>
        <v/>
      </c>
      <c r="R862">
        <f>IF(Delivery_data[[#This Row],[On Time]]=1,0,1)</f>
        <v>1</v>
      </c>
    </row>
    <row r="863" spans="1:18" x14ac:dyDescent="0.35">
      <c r="A863">
        <v>1282</v>
      </c>
      <c r="B863" t="s">
        <v>987</v>
      </c>
      <c r="C863" s="1">
        <v>45176.411111111112</v>
      </c>
      <c r="D863" t="s">
        <v>16</v>
      </c>
      <c r="E863" t="s">
        <v>48</v>
      </c>
      <c r="F863" t="s">
        <v>646</v>
      </c>
      <c r="G863" t="s">
        <v>233</v>
      </c>
      <c r="H863">
        <v>102</v>
      </c>
      <c r="I863">
        <v>3</v>
      </c>
      <c r="J863" t="s">
        <v>20</v>
      </c>
      <c r="K863" t="s">
        <v>38</v>
      </c>
      <c r="L863" t="s">
        <v>29</v>
      </c>
      <c r="M863" t="s">
        <v>30</v>
      </c>
      <c r="N863">
        <v>0</v>
      </c>
      <c r="O863">
        <v>0</v>
      </c>
      <c r="P863" s="8">
        <f>INT(Delivery_data[[#This Row],[Order Timestamp]])</f>
        <v>45176</v>
      </c>
      <c r="Q863">
        <f ca="1">IF(Delivery_data[[#This Row],[Order Status]]="In Progress", TODAY()-Delivery_data[[#This Row],[Order Date]], "")</f>
        <v>807</v>
      </c>
      <c r="R863">
        <f>IF(Delivery_data[[#This Row],[On Time]]=1,0,1)</f>
        <v>1</v>
      </c>
    </row>
    <row r="864" spans="1:18" x14ac:dyDescent="0.35">
      <c r="A864">
        <v>1312</v>
      </c>
      <c r="B864" t="s">
        <v>988</v>
      </c>
      <c r="C864" s="1">
        <v>45170.665972222225</v>
      </c>
      <c r="D864" t="s">
        <v>16</v>
      </c>
      <c r="E864" t="s">
        <v>32</v>
      </c>
      <c r="F864" t="s">
        <v>646</v>
      </c>
      <c r="G864" t="s">
        <v>233</v>
      </c>
      <c r="H864">
        <v>69</v>
      </c>
      <c r="I864">
        <v>20</v>
      </c>
      <c r="J864" t="s">
        <v>27</v>
      </c>
      <c r="K864" t="s">
        <v>51</v>
      </c>
      <c r="L864" t="s">
        <v>29</v>
      </c>
      <c r="M864" t="s">
        <v>30</v>
      </c>
      <c r="N864">
        <v>0</v>
      </c>
      <c r="O864">
        <v>0</v>
      </c>
      <c r="P864" s="8">
        <f>INT(Delivery_data[[#This Row],[Order Timestamp]])</f>
        <v>45170</v>
      </c>
      <c r="Q864">
        <f ca="1">IF(Delivery_data[[#This Row],[Order Status]]="In Progress", TODAY()-Delivery_data[[#This Row],[Order Date]], "")</f>
        <v>813</v>
      </c>
      <c r="R864">
        <f>IF(Delivery_data[[#This Row],[On Time]]=1,0,1)</f>
        <v>1</v>
      </c>
    </row>
    <row r="865" spans="1:18" x14ac:dyDescent="0.35">
      <c r="A865">
        <v>1316</v>
      </c>
      <c r="B865" t="s">
        <v>506</v>
      </c>
      <c r="C865" s="1">
        <v>45171.654166666667</v>
      </c>
      <c r="D865" t="s">
        <v>25</v>
      </c>
      <c r="E865" t="s">
        <v>108</v>
      </c>
      <c r="F865" t="s">
        <v>646</v>
      </c>
      <c r="G865" t="s">
        <v>233</v>
      </c>
      <c r="H865">
        <v>193</v>
      </c>
      <c r="I865">
        <v>3</v>
      </c>
      <c r="J865" t="s">
        <v>20</v>
      </c>
      <c r="K865" t="s">
        <v>21</v>
      </c>
      <c r="L865" t="s">
        <v>29</v>
      </c>
      <c r="M865" t="s">
        <v>30</v>
      </c>
      <c r="N865">
        <v>0</v>
      </c>
      <c r="O865">
        <v>0</v>
      </c>
      <c r="P865" s="8">
        <f>INT(Delivery_data[[#This Row],[Order Timestamp]])</f>
        <v>45171</v>
      </c>
      <c r="Q865" t="str">
        <f ca="1">IF(Delivery_data[[#This Row],[Order Status]]="In Progress", TODAY()-Delivery_data[[#This Row],[Order Date]], "")</f>
        <v/>
      </c>
      <c r="R865">
        <f>IF(Delivery_data[[#This Row],[On Time]]=1,0,1)</f>
        <v>1</v>
      </c>
    </row>
    <row r="866" spans="1:18" x14ac:dyDescent="0.35">
      <c r="A866">
        <v>1317</v>
      </c>
      <c r="B866" t="s">
        <v>989</v>
      </c>
      <c r="C866" s="1">
        <v>45173.453472222223</v>
      </c>
      <c r="D866" t="s">
        <v>16</v>
      </c>
      <c r="E866" t="s">
        <v>222</v>
      </c>
      <c r="F866" t="s">
        <v>646</v>
      </c>
      <c r="G866" t="s">
        <v>362</v>
      </c>
      <c r="H866">
        <v>176</v>
      </c>
      <c r="I866">
        <v>27</v>
      </c>
      <c r="J866" t="s">
        <v>27</v>
      </c>
      <c r="K866" t="s">
        <v>33</v>
      </c>
      <c r="L866" t="s">
        <v>29</v>
      </c>
      <c r="M866" t="s">
        <v>39</v>
      </c>
      <c r="N866">
        <v>0</v>
      </c>
      <c r="O866">
        <v>0</v>
      </c>
      <c r="P866" s="8">
        <f>INT(Delivery_data[[#This Row],[Order Timestamp]])</f>
        <v>45173</v>
      </c>
      <c r="Q866">
        <f ca="1">IF(Delivery_data[[#This Row],[Order Status]]="In Progress", TODAY()-Delivery_data[[#This Row],[Order Date]], "")</f>
        <v>810</v>
      </c>
      <c r="R866">
        <f>IF(Delivery_data[[#This Row],[On Time]]=1,0,1)</f>
        <v>1</v>
      </c>
    </row>
    <row r="867" spans="1:18" x14ac:dyDescent="0.35">
      <c r="A867">
        <v>1319</v>
      </c>
      <c r="B867" t="s">
        <v>990</v>
      </c>
      <c r="C867" s="1">
        <v>45176.526388888888</v>
      </c>
      <c r="D867" t="s">
        <v>25</v>
      </c>
      <c r="E867" t="s">
        <v>271</v>
      </c>
      <c r="F867" t="s">
        <v>646</v>
      </c>
      <c r="G867" t="s">
        <v>233</v>
      </c>
      <c r="H867">
        <v>197</v>
      </c>
      <c r="I867">
        <v>25</v>
      </c>
      <c r="J867" t="s">
        <v>35</v>
      </c>
      <c r="K867" t="s">
        <v>38</v>
      </c>
      <c r="L867" t="s">
        <v>29</v>
      </c>
      <c r="M867" t="s">
        <v>30</v>
      </c>
      <c r="N867">
        <v>0</v>
      </c>
      <c r="O867">
        <v>1</v>
      </c>
      <c r="P867" s="8">
        <f>INT(Delivery_data[[#This Row],[Order Timestamp]])</f>
        <v>45176</v>
      </c>
      <c r="Q867" t="str">
        <f ca="1">IF(Delivery_data[[#This Row],[Order Status]]="In Progress", TODAY()-Delivery_data[[#This Row],[Order Date]], "")</f>
        <v/>
      </c>
      <c r="R867">
        <f>IF(Delivery_data[[#This Row],[On Time]]=1,0,1)</f>
        <v>1</v>
      </c>
    </row>
    <row r="868" spans="1:18" x14ac:dyDescent="0.35">
      <c r="A868">
        <v>1322</v>
      </c>
      <c r="B868" t="s">
        <v>991</v>
      </c>
      <c r="C868" s="1">
        <v>45172.534722222219</v>
      </c>
      <c r="D868" t="s">
        <v>25</v>
      </c>
      <c r="E868" t="s">
        <v>70</v>
      </c>
      <c r="F868" t="s">
        <v>646</v>
      </c>
      <c r="G868" t="s">
        <v>19</v>
      </c>
      <c r="H868">
        <v>76</v>
      </c>
      <c r="I868">
        <v>26</v>
      </c>
      <c r="J868" t="s">
        <v>35</v>
      </c>
      <c r="K868" t="s">
        <v>33</v>
      </c>
      <c r="L868" t="s">
        <v>29</v>
      </c>
      <c r="M868" t="s">
        <v>39</v>
      </c>
      <c r="N868">
        <v>0</v>
      </c>
      <c r="O868">
        <v>1</v>
      </c>
      <c r="P868" s="8">
        <f>INT(Delivery_data[[#This Row],[Order Timestamp]])</f>
        <v>45172</v>
      </c>
      <c r="Q868" t="str">
        <f ca="1">IF(Delivery_data[[#This Row],[Order Status]]="In Progress", TODAY()-Delivery_data[[#This Row],[Order Date]], "")</f>
        <v/>
      </c>
      <c r="R868">
        <f>IF(Delivery_data[[#This Row],[On Time]]=1,0,1)</f>
        <v>1</v>
      </c>
    </row>
    <row r="869" spans="1:18" x14ac:dyDescent="0.35">
      <c r="A869">
        <v>1332</v>
      </c>
      <c r="B869" t="s">
        <v>992</v>
      </c>
      <c r="C869" s="1">
        <v>45174.438194444447</v>
      </c>
      <c r="D869" t="s">
        <v>16</v>
      </c>
      <c r="E869" t="s">
        <v>195</v>
      </c>
      <c r="F869" t="s">
        <v>646</v>
      </c>
      <c r="G869" t="s">
        <v>362</v>
      </c>
      <c r="H869">
        <v>90</v>
      </c>
      <c r="I869">
        <v>9</v>
      </c>
      <c r="J869" t="s">
        <v>35</v>
      </c>
      <c r="K869" t="s">
        <v>21</v>
      </c>
      <c r="L869" t="s">
        <v>29</v>
      </c>
      <c r="M869" t="s">
        <v>23</v>
      </c>
      <c r="N869">
        <v>0</v>
      </c>
      <c r="O869">
        <v>1</v>
      </c>
      <c r="P869" s="8">
        <f>INT(Delivery_data[[#This Row],[Order Timestamp]])</f>
        <v>45174</v>
      </c>
      <c r="Q869">
        <f ca="1">IF(Delivery_data[[#This Row],[Order Status]]="In Progress", TODAY()-Delivery_data[[#This Row],[Order Date]], "")</f>
        <v>809</v>
      </c>
      <c r="R869">
        <f>IF(Delivery_data[[#This Row],[On Time]]=1,0,1)</f>
        <v>1</v>
      </c>
    </row>
    <row r="870" spans="1:18" x14ac:dyDescent="0.35">
      <c r="A870">
        <v>1339</v>
      </c>
      <c r="B870" t="s">
        <v>993</v>
      </c>
      <c r="C870" s="1">
        <v>45173.606944444444</v>
      </c>
      <c r="D870" t="s">
        <v>25</v>
      </c>
      <c r="E870" t="s">
        <v>248</v>
      </c>
      <c r="F870" t="s">
        <v>646</v>
      </c>
      <c r="G870" t="s">
        <v>463</v>
      </c>
      <c r="H870">
        <v>149</v>
      </c>
      <c r="I870">
        <v>7</v>
      </c>
      <c r="J870" t="s">
        <v>27</v>
      </c>
      <c r="K870" t="s">
        <v>38</v>
      </c>
      <c r="L870" t="s">
        <v>29</v>
      </c>
      <c r="M870" t="s">
        <v>23</v>
      </c>
      <c r="N870">
        <v>0</v>
      </c>
      <c r="O870">
        <v>0</v>
      </c>
      <c r="P870" s="8">
        <f>INT(Delivery_data[[#This Row],[Order Timestamp]])</f>
        <v>45173</v>
      </c>
      <c r="Q870" t="str">
        <f ca="1">IF(Delivery_data[[#This Row],[Order Status]]="In Progress", TODAY()-Delivery_data[[#This Row],[Order Date]], "")</f>
        <v/>
      </c>
      <c r="R870">
        <f>IF(Delivery_data[[#This Row],[On Time]]=1,0,1)</f>
        <v>1</v>
      </c>
    </row>
    <row r="871" spans="1:18" x14ac:dyDescent="0.35">
      <c r="A871">
        <v>1345</v>
      </c>
      <c r="B871" t="s">
        <v>994</v>
      </c>
      <c r="C871" s="1">
        <v>45172.39166666667</v>
      </c>
      <c r="D871" t="s">
        <v>16</v>
      </c>
      <c r="E871" t="s">
        <v>346</v>
      </c>
      <c r="F871" t="s">
        <v>646</v>
      </c>
      <c r="G871" t="s">
        <v>233</v>
      </c>
      <c r="H871">
        <v>203</v>
      </c>
      <c r="I871">
        <v>1</v>
      </c>
      <c r="J871" t="s">
        <v>27</v>
      </c>
      <c r="K871" t="s">
        <v>33</v>
      </c>
      <c r="L871" t="s">
        <v>29</v>
      </c>
      <c r="M871" t="s">
        <v>23</v>
      </c>
      <c r="N871">
        <v>0</v>
      </c>
      <c r="O871">
        <v>0</v>
      </c>
      <c r="P871" s="8">
        <f>INT(Delivery_data[[#This Row],[Order Timestamp]])</f>
        <v>45172</v>
      </c>
      <c r="Q871">
        <f ca="1">IF(Delivery_data[[#This Row],[Order Status]]="In Progress", TODAY()-Delivery_data[[#This Row],[Order Date]], "")</f>
        <v>811</v>
      </c>
      <c r="R871">
        <f>IF(Delivery_data[[#This Row],[On Time]]=1,0,1)</f>
        <v>1</v>
      </c>
    </row>
    <row r="872" spans="1:18" x14ac:dyDescent="0.35">
      <c r="A872">
        <v>1356</v>
      </c>
      <c r="B872" t="s">
        <v>995</v>
      </c>
      <c r="C872" s="1">
        <v>45174.378472222219</v>
      </c>
      <c r="D872" t="s">
        <v>16</v>
      </c>
      <c r="E872" t="s">
        <v>666</v>
      </c>
      <c r="F872" t="s">
        <v>646</v>
      </c>
      <c r="G872" t="s">
        <v>463</v>
      </c>
      <c r="H872">
        <v>81</v>
      </c>
      <c r="I872">
        <v>3</v>
      </c>
      <c r="J872" t="s">
        <v>27</v>
      </c>
      <c r="K872" t="s">
        <v>28</v>
      </c>
      <c r="L872" t="s">
        <v>29</v>
      </c>
      <c r="M872" t="s">
        <v>30</v>
      </c>
      <c r="N872">
        <v>0</v>
      </c>
      <c r="O872">
        <v>0</v>
      </c>
      <c r="P872" s="8">
        <f>INT(Delivery_data[[#This Row],[Order Timestamp]])</f>
        <v>45174</v>
      </c>
      <c r="Q872">
        <f ca="1">IF(Delivery_data[[#This Row],[Order Status]]="In Progress", TODAY()-Delivery_data[[#This Row],[Order Date]], "")</f>
        <v>809</v>
      </c>
      <c r="R872">
        <f>IF(Delivery_data[[#This Row],[On Time]]=1,0,1)</f>
        <v>1</v>
      </c>
    </row>
    <row r="873" spans="1:18" x14ac:dyDescent="0.35">
      <c r="A873">
        <v>1359</v>
      </c>
      <c r="B873" t="s">
        <v>996</v>
      </c>
      <c r="C873" s="1">
        <v>45176.489583333336</v>
      </c>
      <c r="D873" t="s">
        <v>25</v>
      </c>
      <c r="E873" t="s">
        <v>80</v>
      </c>
      <c r="F873" t="s">
        <v>646</v>
      </c>
      <c r="G873" t="s">
        <v>362</v>
      </c>
      <c r="H873">
        <v>164</v>
      </c>
      <c r="I873">
        <v>1</v>
      </c>
      <c r="J873" t="s">
        <v>35</v>
      </c>
      <c r="K873" t="s">
        <v>51</v>
      </c>
      <c r="L873" t="s">
        <v>29</v>
      </c>
      <c r="M873" t="s">
        <v>39</v>
      </c>
      <c r="N873">
        <v>0</v>
      </c>
      <c r="O873">
        <v>1</v>
      </c>
      <c r="P873" s="8">
        <f>INT(Delivery_data[[#This Row],[Order Timestamp]])</f>
        <v>45176</v>
      </c>
      <c r="Q873" t="str">
        <f ca="1">IF(Delivery_data[[#This Row],[Order Status]]="In Progress", TODAY()-Delivery_data[[#This Row],[Order Date]], "")</f>
        <v/>
      </c>
      <c r="R873">
        <f>IF(Delivery_data[[#This Row],[On Time]]=1,0,1)</f>
        <v>1</v>
      </c>
    </row>
    <row r="874" spans="1:18" x14ac:dyDescent="0.35">
      <c r="A874">
        <v>1368</v>
      </c>
      <c r="B874" t="s">
        <v>997</v>
      </c>
      <c r="C874" s="1">
        <v>45171.504861111112</v>
      </c>
      <c r="D874" t="s">
        <v>25</v>
      </c>
      <c r="E874" t="s">
        <v>152</v>
      </c>
      <c r="F874" t="s">
        <v>646</v>
      </c>
      <c r="G874" t="s">
        <v>19</v>
      </c>
      <c r="H874">
        <v>101</v>
      </c>
      <c r="I874">
        <v>25</v>
      </c>
      <c r="J874" t="s">
        <v>27</v>
      </c>
      <c r="K874" t="s">
        <v>28</v>
      </c>
      <c r="L874" t="s">
        <v>29</v>
      </c>
      <c r="M874" t="s">
        <v>39</v>
      </c>
      <c r="N874">
        <v>0</v>
      </c>
      <c r="O874">
        <v>0</v>
      </c>
      <c r="P874" s="8">
        <f>INT(Delivery_data[[#This Row],[Order Timestamp]])</f>
        <v>45171</v>
      </c>
      <c r="Q874" t="str">
        <f ca="1">IF(Delivery_data[[#This Row],[Order Status]]="In Progress", TODAY()-Delivery_data[[#This Row],[Order Date]], "")</f>
        <v/>
      </c>
      <c r="R874">
        <f>IF(Delivery_data[[#This Row],[On Time]]=1,0,1)</f>
        <v>1</v>
      </c>
    </row>
    <row r="875" spans="1:18" x14ac:dyDescent="0.35">
      <c r="A875">
        <v>1372</v>
      </c>
      <c r="B875" t="s">
        <v>998</v>
      </c>
      <c r="C875" s="1">
        <v>45171.620833333334</v>
      </c>
      <c r="D875" t="s">
        <v>25</v>
      </c>
      <c r="E875" t="s">
        <v>46</v>
      </c>
      <c r="F875" t="s">
        <v>646</v>
      </c>
      <c r="G875" t="s">
        <v>362</v>
      </c>
      <c r="H875">
        <v>188</v>
      </c>
      <c r="I875">
        <v>15</v>
      </c>
      <c r="J875" t="s">
        <v>35</v>
      </c>
      <c r="K875" t="s">
        <v>33</v>
      </c>
      <c r="L875" t="s">
        <v>29</v>
      </c>
      <c r="M875" t="s">
        <v>30</v>
      </c>
      <c r="N875">
        <v>0</v>
      </c>
      <c r="O875">
        <v>1</v>
      </c>
      <c r="P875" s="8">
        <f>INT(Delivery_data[[#This Row],[Order Timestamp]])</f>
        <v>45171</v>
      </c>
      <c r="Q875" t="str">
        <f ca="1">IF(Delivery_data[[#This Row],[Order Status]]="In Progress", TODAY()-Delivery_data[[#This Row],[Order Date]], "")</f>
        <v/>
      </c>
      <c r="R875">
        <f>IF(Delivery_data[[#This Row],[On Time]]=1,0,1)</f>
        <v>1</v>
      </c>
    </row>
    <row r="876" spans="1:18" x14ac:dyDescent="0.35">
      <c r="A876">
        <v>1378</v>
      </c>
      <c r="B876" t="s">
        <v>999</v>
      </c>
      <c r="C876" s="1">
        <v>45171.386805555558</v>
      </c>
      <c r="D876" t="s">
        <v>25</v>
      </c>
      <c r="E876" t="s">
        <v>17</v>
      </c>
      <c r="F876" t="s">
        <v>646</v>
      </c>
      <c r="G876" t="s">
        <v>463</v>
      </c>
      <c r="H876">
        <v>134</v>
      </c>
      <c r="I876">
        <v>16</v>
      </c>
      <c r="J876" t="s">
        <v>35</v>
      </c>
      <c r="K876" t="s">
        <v>28</v>
      </c>
      <c r="L876" t="s">
        <v>29</v>
      </c>
      <c r="M876" t="s">
        <v>30</v>
      </c>
      <c r="N876">
        <v>0</v>
      </c>
      <c r="O876">
        <v>1</v>
      </c>
      <c r="P876" s="8">
        <f>INT(Delivery_data[[#This Row],[Order Timestamp]])</f>
        <v>45171</v>
      </c>
      <c r="Q876" t="str">
        <f ca="1">IF(Delivery_data[[#This Row],[Order Status]]="In Progress", TODAY()-Delivery_data[[#This Row],[Order Date]], "")</f>
        <v/>
      </c>
      <c r="R876">
        <f>IF(Delivery_data[[#This Row],[On Time]]=1,0,1)</f>
        <v>1</v>
      </c>
    </row>
    <row r="877" spans="1:18" x14ac:dyDescent="0.35">
      <c r="A877">
        <v>1380</v>
      </c>
      <c r="B877" t="s">
        <v>1000</v>
      </c>
      <c r="C877" s="1">
        <v>45171.70416666667</v>
      </c>
      <c r="D877" t="s">
        <v>16</v>
      </c>
      <c r="E877" t="s">
        <v>117</v>
      </c>
      <c r="F877" t="s">
        <v>646</v>
      </c>
      <c r="G877" t="s">
        <v>19</v>
      </c>
      <c r="H877">
        <v>162</v>
      </c>
      <c r="I877">
        <v>28</v>
      </c>
      <c r="J877" t="s">
        <v>20</v>
      </c>
      <c r="K877" t="s">
        <v>28</v>
      </c>
      <c r="L877" t="s">
        <v>29</v>
      </c>
      <c r="M877" t="s">
        <v>30</v>
      </c>
      <c r="N877">
        <v>0</v>
      </c>
      <c r="O877">
        <v>0</v>
      </c>
      <c r="P877" s="8">
        <f>INT(Delivery_data[[#This Row],[Order Timestamp]])</f>
        <v>45171</v>
      </c>
      <c r="Q877">
        <f ca="1">IF(Delivery_data[[#This Row],[Order Status]]="In Progress", TODAY()-Delivery_data[[#This Row],[Order Date]], "")</f>
        <v>812</v>
      </c>
      <c r="R877">
        <f>IF(Delivery_data[[#This Row],[On Time]]=1,0,1)</f>
        <v>1</v>
      </c>
    </row>
    <row r="878" spans="1:18" x14ac:dyDescent="0.35">
      <c r="A878">
        <v>1404</v>
      </c>
      <c r="B878" t="s">
        <v>1001</v>
      </c>
      <c r="C878" s="1">
        <v>45174.418749999997</v>
      </c>
      <c r="D878" t="s">
        <v>16</v>
      </c>
      <c r="E878" t="s">
        <v>134</v>
      </c>
      <c r="F878" t="s">
        <v>646</v>
      </c>
      <c r="G878" t="s">
        <v>19</v>
      </c>
      <c r="H878">
        <v>203</v>
      </c>
      <c r="I878">
        <v>7</v>
      </c>
      <c r="J878" t="s">
        <v>27</v>
      </c>
      <c r="K878" t="s">
        <v>21</v>
      </c>
      <c r="L878" t="s">
        <v>29</v>
      </c>
      <c r="M878" t="s">
        <v>39</v>
      </c>
      <c r="N878">
        <v>0</v>
      </c>
      <c r="O878">
        <v>0</v>
      </c>
      <c r="P878" s="8">
        <f>INT(Delivery_data[[#This Row],[Order Timestamp]])</f>
        <v>45174</v>
      </c>
      <c r="Q878">
        <f ca="1">IF(Delivery_data[[#This Row],[Order Status]]="In Progress", TODAY()-Delivery_data[[#This Row],[Order Date]], "")</f>
        <v>809</v>
      </c>
      <c r="R878">
        <f>IF(Delivery_data[[#This Row],[On Time]]=1,0,1)</f>
        <v>1</v>
      </c>
    </row>
    <row r="879" spans="1:18" x14ac:dyDescent="0.35">
      <c r="A879">
        <v>1436</v>
      </c>
      <c r="B879" t="s">
        <v>1002</v>
      </c>
      <c r="C879" s="1">
        <v>45170.333333333336</v>
      </c>
      <c r="D879" t="s">
        <v>25</v>
      </c>
      <c r="E879" t="s">
        <v>195</v>
      </c>
      <c r="F879" t="s">
        <v>646</v>
      </c>
      <c r="G879" t="s">
        <v>463</v>
      </c>
      <c r="H879">
        <v>212</v>
      </c>
      <c r="I879">
        <v>20</v>
      </c>
      <c r="J879" t="s">
        <v>20</v>
      </c>
      <c r="K879" t="s">
        <v>28</v>
      </c>
      <c r="L879" t="s">
        <v>29</v>
      </c>
      <c r="M879" t="s">
        <v>39</v>
      </c>
      <c r="N879">
        <v>0</v>
      </c>
      <c r="O879">
        <v>0</v>
      </c>
      <c r="P879" s="8">
        <f>INT(Delivery_data[[#This Row],[Order Timestamp]])</f>
        <v>45170</v>
      </c>
      <c r="Q879" t="str">
        <f ca="1">IF(Delivery_data[[#This Row],[Order Status]]="In Progress", TODAY()-Delivery_data[[#This Row],[Order Date]], "")</f>
        <v/>
      </c>
      <c r="R879">
        <f>IF(Delivery_data[[#This Row],[On Time]]=1,0,1)</f>
        <v>1</v>
      </c>
    </row>
    <row r="880" spans="1:18" x14ac:dyDescent="0.35">
      <c r="A880">
        <v>1440</v>
      </c>
      <c r="B880" t="s">
        <v>1003</v>
      </c>
      <c r="C880" s="1">
        <v>45175.382638888892</v>
      </c>
      <c r="D880" t="s">
        <v>25</v>
      </c>
      <c r="E880" t="s">
        <v>72</v>
      </c>
      <c r="F880" t="s">
        <v>646</v>
      </c>
      <c r="G880" t="s">
        <v>362</v>
      </c>
      <c r="H880">
        <v>107</v>
      </c>
      <c r="I880">
        <v>9</v>
      </c>
      <c r="J880" t="s">
        <v>20</v>
      </c>
      <c r="K880" t="s">
        <v>33</v>
      </c>
      <c r="L880" t="s">
        <v>29</v>
      </c>
      <c r="M880" t="s">
        <v>30</v>
      </c>
      <c r="N880">
        <v>0</v>
      </c>
      <c r="O880">
        <v>0</v>
      </c>
      <c r="P880" s="8">
        <f>INT(Delivery_data[[#This Row],[Order Timestamp]])</f>
        <v>45175</v>
      </c>
      <c r="Q880" t="str">
        <f ca="1">IF(Delivery_data[[#This Row],[Order Status]]="In Progress", TODAY()-Delivery_data[[#This Row],[Order Date]], "")</f>
        <v/>
      </c>
      <c r="R880">
        <f>IF(Delivery_data[[#This Row],[On Time]]=1,0,1)</f>
        <v>1</v>
      </c>
    </row>
    <row r="881" spans="1:18" x14ac:dyDescent="0.35">
      <c r="A881">
        <v>1447</v>
      </c>
      <c r="B881" t="s">
        <v>1004</v>
      </c>
      <c r="C881" s="1">
        <v>45173.677777777775</v>
      </c>
      <c r="D881" t="s">
        <v>16</v>
      </c>
      <c r="E881" t="s">
        <v>204</v>
      </c>
      <c r="F881" t="s">
        <v>646</v>
      </c>
      <c r="G881" t="s">
        <v>19</v>
      </c>
      <c r="H881">
        <v>170</v>
      </c>
      <c r="I881">
        <v>13</v>
      </c>
      <c r="J881" t="s">
        <v>27</v>
      </c>
      <c r="K881" t="s">
        <v>28</v>
      </c>
      <c r="L881" t="s">
        <v>29</v>
      </c>
      <c r="M881" t="s">
        <v>39</v>
      </c>
      <c r="N881">
        <v>0</v>
      </c>
      <c r="O881">
        <v>0</v>
      </c>
      <c r="P881" s="8">
        <f>INT(Delivery_data[[#This Row],[Order Timestamp]])</f>
        <v>45173</v>
      </c>
      <c r="Q881">
        <f ca="1">IF(Delivery_data[[#This Row],[Order Status]]="In Progress", TODAY()-Delivery_data[[#This Row],[Order Date]], "")</f>
        <v>810</v>
      </c>
      <c r="R881">
        <f>IF(Delivery_data[[#This Row],[On Time]]=1,0,1)</f>
        <v>1</v>
      </c>
    </row>
    <row r="882" spans="1:18" x14ac:dyDescent="0.35">
      <c r="A882">
        <v>1460</v>
      </c>
      <c r="B882" t="s">
        <v>1005</v>
      </c>
      <c r="C882" s="1">
        <v>45172.574305555558</v>
      </c>
      <c r="D882" t="s">
        <v>25</v>
      </c>
      <c r="E882" t="s">
        <v>53</v>
      </c>
      <c r="F882" t="s">
        <v>646</v>
      </c>
      <c r="G882" t="s">
        <v>557</v>
      </c>
      <c r="H882">
        <v>60</v>
      </c>
      <c r="I882">
        <v>21</v>
      </c>
      <c r="J882" t="s">
        <v>20</v>
      </c>
      <c r="K882" t="s">
        <v>21</v>
      </c>
      <c r="L882" t="s">
        <v>29</v>
      </c>
      <c r="M882" t="s">
        <v>23</v>
      </c>
      <c r="N882">
        <v>0</v>
      </c>
      <c r="O882">
        <v>0</v>
      </c>
      <c r="P882" s="8">
        <f>INT(Delivery_data[[#This Row],[Order Timestamp]])</f>
        <v>45172</v>
      </c>
      <c r="Q882" t="str">
        <f ca="1">IF(Delivery_data[[#This Row],[Order Status]]="In Progress", TODAY()-Delivery_data[[#This Row],[Order Date]], "")</f>
        <v/>
      </c>
      <c r="R882">
        <f>IF(Delivery_data[[#This Row],[On Time]]=1,0,1)</f>
        <v>1</v>
      </c>
    </row>
    <row r="883" spans="1:18" x14ac:dyDescent="0.35">
      <c r="A883">
        <v>1468</v>
      </c>
      <c r="B883" t="s">
        <v>1006</v>
      </c>
      <c r="C883" s="1">
        <v>45172.438194444447</v>
      </c>
      <c r="D883" t="s">
        <v>16</v>
      </c>
      <c r="E883" t="s">
        <v>134</v>
      </c>
      <c r="F883" t="s">
        <v>646</v>
      </c>
      <c r="G883" t="s">
        <v>557</v>
      </c>
      <c r="H883">
        <v>78</v>
      </c>
      <c r="I883">
        <v>15</v>
      </c>
      <c r="J883" t="s">
        <v>35</v>
      </c>
      <c r="K883" t="s">
        <v>38</v>
      </c>
      <c r="L883" t="s">
        <v>29</v>
      </c>
      <c r="M883" t="s">
        <v>39</v>
      </c>
      <c r="N883">
        <v>0</v>
      </c>
      <c r="O883">
        <v>1</v>
      </c>
      <c r="P883" s="8">
        <f>INT(Delivery_data[[#This Row],[Order Timestamp]])</f>
        <v>45172</v>
      </c>
      <c r="Q883">
        <f ca="1">IF(Delivery_data[[#This Row],[Order Status]]="In Progress", TODAY()-Delivery_data[[#This Row],[Order Date]], "")</f>
        <v>811</v>
      </c>
      <c r="R883">
        <f>IF(Delivery_data[[#This Row],[On Time]]=1,0,1)</f>
        <v>1</v>
      </c>
    </row>
    <row r="884" spans="1:18" x14ac:dyDescent="0.35">
      <c r="A884">
        <v>1477</v>
      </c>
      <c r="B884" t="s">
        <v>1007</v>
      </c>
      <c r="C884" s="1">
        <v>45173.527083333334</v>
      </c>
      <c r="D884" t="s">
        <v>16</v>
      </c>
      <c r="E884" t="s">
        <v>72</v>
      </c>
      <c r="F884" t="s">
        <v>646</v>
      </c>
      <c r="G884" t="s">
        <v>362</v>
      </c>
      <c r="H884">
        <v>178</v>
      </c>
      <c r="I884">
        <v>25</v>
      </c>
      <c r="J884" t="s">
        <v>20</v>
      </c>
      <c r="K884" t="s">
        <v>38</v>
      </c>
      <c r="L884" t="s">
        <v>29</v>
      </c>
      <c r="M884" t="s">
        <v>39</v>
      </c>
      <c r="N884">
        <v>0</v>
      </c>
      <c r="O884">
        <v>0</v>
      </c>
      <c r="P884" s="8">
        <f>INT(Delivery_data[[#This Row],[Order Timestamp]])</f>
        <v>45173</v>
      </c>
      <c r="Q884">
        <f ca="1">IF(Delivery_data[[#This Row],[Order Status]]="In Progress", TODAY()-Delivery_data[[#This Row],[Order Date]], "")</f>
        <v>810</v>
      </c>
      <c r="R884">
        <f>IF(Delivery_data[[#This Row],[On Time]]=1,0,1)</f>
        <v>1</v>
      </c>
    </row>
    <row r="885" spans="1:18" x14ac:dyDescent="0.35">
      <c r="A885">
        <v>1484</v>
      </c>
      <c r="B885" t="s">
        <v>1008</v>
      </c>
      <c r="C885" s="1">
        <v>45174.511111111111</v>
      </c>
      <c r="D885" t="s">
        <v>16</v>
      </c>
      <c r="E885" t="s">
        <v>195</v>
      </c>
      <c r="F885" t="s">
        <v>646</v>
      </c>
      <c r="G885" t="s">
        <v>557</v>
      </c>
      <c r="H885">
        <v>89</v>
      </c>
      <c r="I885">
        <v>28</v>
      </c>
      <c r="J885" t="s">
        <v>20</v>
      </c>
      <c r="K885" t="s">
        <v>33</v>
      </c>
      <c r="L885" t="s">
        <v>29</v>
      </c>
      <c r="M885" t="s">
        <v>30</v>
      </c>
      <c r="N885">
        <v>0</v>
      </c>
      <c r="O885">
        <v>0</v>
      </c>
      <c r="P885" s="8">
        <f>INT(Delivery_data[[#This Row],[Order Timestamp]])</f>
        <v>45174</v>
      </c>
      <c r="Q885">
        <f ca="1">IF(Delivery_data[[#This Row],[Order Status]]="In Progress", TODAY()-Delivery_data[[#This Row],[Order Date]], "")</f>
        <v>809</v>
      </c>
      <c r="R885">
        <f>IF(Delivery_data[[#This Row],[On Time]]=1,0,1)</f>
        <v>1</v>
      </c>
    </row>
    <row r="886" spans="1:18" x14ac:dyDescent="0.35">
      <c r="A886">
        <v>1485</v>
      </c>
      <c r="B886" t="s">
        <v>1009</v>
      </c>
      <c r="C886" s="1">
        <v>45174.552777777775</v>
      </c>
      <c r="D886" t="s">
        <v>25</v>
      </c>
      <c r="E886" t="s">
        <v>252</v>
      </c>
      <c r="F886" t="s">
        <v>646</v>
      </c>
      <c r="G886" t="s">
        <v>362</v>
      </c>
      <c r="H886">
        <v>183</v>
      </c>
      <c r="I886">
        <v>15</v>
      </c>
      <c r="J886" t="s">
        <v>35</v>
      </c>
      <c r="K886" t="s">
        <v>21</v>
      </c>
      <c r="L886" t="s">
        <v>29</v>
      </c>
      <c r="M886" t="s">
        <v>39</v>
      </c>
      <c r="N886">
        <v>0</v>
      </c>
      <c r="O886">
        <v>1</v>
      </c>
      <c r="P886" s="8">
        <f>INT(Delivery_data[[#This Row],[Order Timestamp]])</f>
        <v>45174</v>
      </c>
      <c r="Q886" t="str">
        <f ca="1">IF(Delivery_data[[#This Row],[Order Status]]="In Progress", TODAY()-Delivery_data[[#This Row],[Order Date]], "")</f>
        <v/>
      </c>
      <c r="R886">
        <f>IF(Delivery_data[[#This Row],[On Time]]=1,0,1)</f>
        <v>1</v>
      </c>
    </row>
    <row r="887" spans="1:18" x14ac:dyDescent="0.35">
      <c r="A887">
        <v>1490</v>
      </c>
      <c r="B887" t="s">
        <v>1010</v>
      </c>
      <c r="C887" s="1">
        <v>45175.361805555556</v>
      </c>
      <c r="D887" t="s">
        <v>25</v>
      </c>
      <c r="E887" t="s">
        <v>284</v>
      </c>
      <c r="F887" t="s">
        <v>646</v>
      </c>
      <c r="G887" t="s">
        <v>557</v>
      </c>
      <c r="H887">
        <v>190</v>
      </c>
      <c r="I887">
        <v>12</v>
      </c>
      <c r="J887" t="s">
        <v>35</v>
      </c>
      <c r="K887" t="s">
        <v>51</v>
      </c>
      <c r="L887" t="s">
        <v>29</v>
      </c>
      <c r="M887" t="s">
        <v>39</v>
      </c>
      <c r="N887">
        <v>0</v>
      </c>
      <c r="O887">
        <v>1</v>
      </c>
      <c r="P887" s="8">
        <f>INT(Delivery_data[[#This Row],[Order Timestamp]])</f>
        <v>45175</v>
      </c>
      <c r="Q887" t="str">
        <f ca="1">IF(Delivery_data[[#This Row],[Order Status]]="In Progress", TODAY()-Delivery_data[[#This Row],[Order Date]], "")</f>
        <v/>
      </c>
      <c r="R887">
        <f>IF(Delivery_data[[#This Row],[On Time]]=1,0,1)</f>
        <v>1</v>
      </c>
    </row>
    <row r="888" spans="1:18" x14ac:dyDescent="0.35">
      <c r="A888">
        <v>1505</v>
      </c>
      <c r="B888" t="s">
        <v>1011</v>
      </c>
      <c r="C888" s="1">
        <v>45173.695138888892</v>
      </c>
      <c r="D888" t="s">
        <v>25</v>
      </c>
      <c r="E888" t="s">
        <v>91</v>
      </c>
      <c r="F888" t="s">
        <v>646</v>
      </c>
      <c r="G888" t="s">
        <v>463</v>
      </c>
      <c r="H888">
        <v>77</v>
      </c>
      <c r="I888">
        <v>5</v>
      </c>
      <c r="J888" t="s">
        <v>35</v>
      </c>
      <c r="K888" t="s">
        <v>51</v>
      </c>
      <c r="L888" t="s">
        <v>29</v>
      </c>
      <c r="M888" t="s">
        <v>30</v>
      </c>
      <c r="N888">
        <v>0</v>
      </c>
      <c r="O888">
        <v>1</v>
      </c>
      <c r="P888" s="8">
        <f>INT(Delivery_data[[#This Row],[Order Timestamp]])</f>
        <v>45173</v>
      </c>
      <c r="Q888" t="str">
        <f ca="1">IF(Delivery_data[[#This Row],[Order Status]]="In Progress", TODAY()-Delivery_data[[#This Row],[Order Date]], "")</f>
        <v/>
      </c>
      <c r="R888">
        <f>IF(Delivery_data[[#This Row],[On Time]]=1,0,1)</f>
        <v>1</v>
      </c>
    </row>
    <row r="889" spans="1:18" x14ac:dyDescent="0.35">
      <c r="A889">
        <v>1519</v>
      </c>
      <c r="B889" t="s">
        <v>1012</v>
      </c>
      <c r="C889" s="1">
        <v>45177.703472222223</v>
      </c>
      <c r="D889" t="s">
        <v>16</v>
      </c>
      <c r="E889" t="s">
        <v>245</v>
      </c>
      <c r="F889" t="s">
        <v>646</v>
      </c>
      <c r="G889" t="s">
        <v>19</v>
      </c>
      <c r="H889">
        <v>172</v>
      </c>
      <c r="I889">
        <v>27</v>
      </c>
      <c r="J889" t="s">
        <v>35</v>
      </c>
      <c r="K889" t="s">
        <v>21</v>
      </c>
      <c r="L889" t="s">
        <v>29</v>
      </c>
      <c r="M889" t="s">
        <v>23</v>
      </c>
      <c r="N889">
        <v>0</v>
      </c>
      <c r="O889">
        <v>1</v>
      </c>
      <c r="P889" s="8">
        <f>INT(Delivery_data[[#This Row],[Order Timestamp]])</f>
        <v>45177</v>
      </c>
      <c r="Q889">
        <f ca="1">IF(Delivery_data[[#This Row],[Order Status]]="In Progress", TODAY()-Delivery_data[[#This Row],[Order Date]], "")</f>
        <v>806</v>
      </c>
      <c r="R889">
        <f>IF(Delivery_data[[#This Row],[On Time]]=1,0,1)</f>
        <v>1</v>
      </c>
    </row>
    <row r="890" spans="1:18" x14ac:dyDescent="0.35">
      <c r="A890">
        <v>1523</v>
      </c>
      <c r="B890" t="s">
        <v>1013</v>
      </c>
      <c r="C890" s="1">
        <v>45170.387499999997</v>
      </c>
      <c r="D890" t="s">
        <v>16</v>
      </c>
      <c r="E890" t="s">
        <v>129</v>
      </c>
      <c r="F890" t="s">
        <v>646</v>
      </c>
      <c r="G890" t="s">
        <v>19</v>
      </c>
      <c r="H890">
        <v>100</v>
      </c>
      <c r="I890">
        <v>22</v>
      </c>
      <c r="J890" t="s">
        <v>35</v>
      </c>
      <c r="K890" t="s">
        <v>33</v>
      </c>
      <c r="L890" t="s">
        <v>29</v>
      </c>
      <c r="M890" t="s">
        <v>39</v>
      </c>
      <c r="N890">
        <v>0</v>
      </c>
      <c r="O890">
        <v>1</v>
      </c>
      <c r="P890" s="8">
        <f>INT(Delivery_data[[#This Row],[Order Timestamp]])</f>
        <v>45170</v>
      </c>
      <c r="Q890">
        <f ca="1">IF(Delivery_data[[#This Row],[Order Status]]="In Progress", TODAY()-Delivery_data[[#This Row],[Order Date]], "")</f>
        <v>813</v>
      </c>
      <c r="R890">
        <f>IF(Delivery_data[[#This Row],[On Time]]=1,0,1)</f>
        <v>1</v>
      </c>
    </row>
    <row r="891" spans="1:18" x14ac:dyDescent="0.35">
      <c r="A891">
        <v>1526</v>
      </c>
      <c r="B891" t="s">
        <v>1014</v>
      </c>
      <c r="C891" s="1">
        <v>45170.400694444441</v>
      </c>
      <c r="D891" t="s">
        <v>16</v>
      </c>
      <c r="E891" t="s">
        <v>267</v>
      </c>
      <c r="F891" t="s">
        <v>646</v>
      </c>
      <c r="G891" t="s">
        <v>463</v>
      </c>
      <c r="H891">
        <v>230</v>
      </c>
      <c r="I891">
        <v>11</v>
      </c>
      <c r="J891" t="s">
        <v>27</v>
      </c>
      <c r="K891" t="s">
        <v>28</v>
      </c>
      <c r="L891" t="s">
        <v>29</v>
      </c>
      <c r="M891" t="s">
        <v>23</v>
      </c>
      <c r="N891">
        <v>0</v>
      </c>
      <c r="O891">
        <v>0</v>
      </c>
      <c r="P891" s="8">
        <f>INT(Delivery_data[[#This Row],[Order Timestamp]])</f>
        <v>45170</v>
      </c>
      <c r="Q891">
        <f ca="1">IF(Delivery_data[[#This Row],[Order Status]]="In Progress", TODAY()-Delivery_data[[#This Row],[Order Date]], "")</f>
        <v>813</v>
      </c>
      <c r="R891">
        <f>IF(Delivery_data[[#This Row],[On Time]]=1,0,1)</f>
        <v>1</v>
      </c>
    </row>
    <row r="892" spans="1:18" x14ac:dyDescent="0.35">
      <c r="A892">
        <v>1532</v>
      </c>
      <c r="B892" t="s">
        <v>1015</v>
      </c>
      <c r="C892" s="1">
        <v>45170.490277777775</v>
      </c>
      <c r="D892" t="s">
        <v>16</v>
      </c>
      <c r="E892" t="s">
        <v>325</v>
      </c>
      <c r="F892" t="s">
        <v>646</v>
      </c>
      <c r="G892" t="s">
        <v>463</v>
      </c>
      <c r="H892">
        <v>78</v>
      </c>
      <c r="I892">
        <v>7</v>
      </c>
      <c r="J892" t="s">
        <v>35</v>
      </c>
      <c r="K892" t="s">
        <v>33</v>
      </c>
      <c r="L892" t="s">
        <v>29</v>
      </c>
      <c r="M892" t="s">
        <v>39</v>
      </c>
      <c r="N892">
        <v>0</v>
      </c>
      <c r="O892">
        <v>1</v>
      </c>
      <c r="P892" s="8">
        <f>INT(Delivery_data[[#This Row],[Order Timestamp]])</f>
        <v>45170</v>
      </c>
      <c r="Q892">
        <f ca="1">IF(Delivery_data[[#This Row],[Order Status]]="In Progress", TODAY()-Delivery_data[[#This Row],[Order Date]], "")</f>
        <v>813</v>
      </c>
      <c r="R892">
        <f>IF(Delivery_data[[#This Row],[On Time]]=1,0,1)</f>
        <v>1</v>
      </c>
    </row>
    <row r="893" spans="1:18" x14ac:dyDescent="0.35">
      <c r="A893">
        <v>1537</v>
      </c>
      <c r="B893" t="s">
        <v>1016</v>
      </c>
      <c r="C893" s="1">
        <v>45170.542361111111</v>
      </c>
      <c r="D893" t="s">
        <v>25</v>
      </c>
      <c r="E893" t="s">
        <v>284</v>
      </c>
      <c r="F893" t="s">
        <v>646</v>
      </c>
      <c r="G893" t="s">
        <v>19</v>
      </c>
      <c r="H893">
        <v>195</v>
      </c>
      <c r="I893">
        <v>23</v>
      </c>
      <c r="J893" t="s">
        <v>20</v>
      </c>
      <c r="K893" t="s">
        <v>51</v>
      </c>
      <c r="L893" t="s">
        <v>29</v>
      </c>
      <c r="M893" t="s">
        <v>23</v>
      </c>
      <c r="N893">
        <v>0</v>
      </c>
      <c r="O893">
        <v>0</v>
      </c>
      <c r="P893" s="8">
        <f>INT(Delivery_data[[#This Row],[Order Timestamp]])</f>
        <v>45170</v>
      </c>
      <c r="Q893" t="str">
        <f ca="1">IF(Delivery_data[[#This Row],[Order Status]]="In Progress", TODAY()-Delivery_data[[#This Row],[Order Date]], "")</f>
        <v/>
      </c>
      <c r="R893">
        <f>IF(Delivery_data[[#This Row],[On Time]]=1,0,1)</f>
        <v>1</v>
      </c>
    </row>
    <row r="894" spans="1:18" x14ac:dyDescent="0.35">
      <c r="A894">
        <v>1541</v>
      </c>
      <c r="B894" t="s">
        <v>1017</v>
      </c>
      <c r="C894" s="1">
        <v>45171.554861111108</v>
      </c>
      <c r="D894" t="s">
        <v>16</v>
      </c>
      <c r="E894" t="s">
        <v>320</v>
      </c>
      <c r="F894" t="s">
        <v>646</v>
      </c>
      <c r="G894" t="s">
        <v>362</v>
      </c>
      <c r="H894">
        <v>138</v>
      </c>
      <c r="I894">
        <v>3</v>
      </c>
      <c r="J894" t="s">
        <v>20</v>
      </c>
      <c r="K894" t="s">
        <v>21</v>
      </c>
      <c r="L894" t="s">
        <v>29</v>
      </c>
      <c r="M894" t="s">
        <v>39</v>
      </c>
      <c r="N894">
        <v>0</v>
      </c>
      <c r="O894">
        <v>0</v>
      </c>
      <c r="P894" s="8">
        <f>INT(Delivery_data[[#This Row],[Order Timestamp]])</f>
        <v>45171</v>
      </c>
      <c r="Q894">
        <f ca="1">IF(Delivery_data[[#This Row],[Order Status]]="In Progress", TODAY()-Delivery_data[[#This Row],[Order Date]], "")</f>
        <v>812</v>
      </c>
      <c r="R894">
        <f>IF(Delivery_data[[#This Row],[On Time]]=1,0,1)</f>
        <v>1</v>
      </c>
    </row>
    <row r="895" spans="1:18" x14ac:dyDescent="0.35">
      <c r="A895">
        <v>1544</v>
      </c>
      <c r="B895" t="s">
        <v>1018</v>
      </c>
      <c r="C895" s="1">
        <v>45171.680555555555</v>
      </c>
      <c r="D895" t="s">
        <v>25</v>
      </c>
      <c r="E895" t="s">
        <v>206</v>
      </c>
      <c r="F895" t="s">
        <v>646</v>
      </c>
      <c r="G895" t="s">
        <v>557</v>
      </c>
      <c r="H895">
        <v>179</v>
      </c>
      <c r="I895">
        <v>9</v>
      </c>
      <c r="J895" t="s">
        <v>27</v>
      </c>
      <c r="K895" t="s">
        <v>28</v>
      </c>
      <c r="L895" t="s">
        <v>29</v>
      </c>
      <c r="M895" t="s">
        <v>39</v>
      </c>
      <c r="N895">
        <v>0</v>
      </c>
      <c r="O895">
        <v>0</v>
      </c>
      <c r="P895" s="8">
        <f>INT(Delivery_data[[#This Row],[Order Timestamp]])</f>
        <v>45171</v>
      </c>
      <c r="Q895" t="str">
        <f ca="1">IF(Delivery_data[[#This Row],[Order Status]]="In Progress", TODAY()-Delivery_data[[#This Row],[Order Date]], "")</f>
        <v/>
      </c>
      <c r="R895">
        <f>IF(Delivery_data[[#This Row],[On Time]]=1,0,1)</f>
        <v>1</v>
      </c>
    </row>
    <row r="896" spans="1:18" x14ac:dyDescent="0.35">
      <c r="A896">
        <v>1550</v>
      </c>
      <c r="B896" t="s">
        <v>1019</v>
      </c>
      <c r="C896" s="1">
        <v>45176.606944444444</v>
      </c>
      <c r="D896" t="s">
        <v>25</v>
      </c>
      <c r="E896" t="s">
        <v>74</v>
      </c>
      <c r="F896" t="s">
        <v>646</v>
      </c>
      <c r="G896" t="s">
        <v>19</v>
      </c>
      <c r="H896">
        <v>72</v>
      </c>
      <c r="I896">
        <v>26</v>
      </c>
      <c r="J896" t="s">
        <v>35</v>
      </c>
      <c r="K896" t="s">
        <v>38</v>
      </c>
      <c r="L896" t="s">
        <v>29</v>
      </c>
      <c r="M896" t="s">
        <v>30</v>
      </c>
      <c r="N896">
        <v>0</v>
      </c>
      <c r="O896">
        <v>1</v>
      </c>
      <c r="P896" s="8">
        <f>INT(Delivery_data[[#This Row],[Order Timestamp]])</f>
        <v>45176</v>
      </c>
      <c r="Q896" t="str">
        <f ca="1">IF(Delivery_data[[#This Row],[Order Status]]="In Progress", TODAY()-Delivery_data[[#This Row],[Order Date]], "")</f>
        <v/>
      </c>
      <c r="R896">
        <f>IF(Delivery_data[[#This Row],[On Time]]=1,0,1)</f>
        <v>1</v>
      </c>
    </row>
    <row r="897" spans="1:18" x14ac:dyDescent="0.35">
      <c r="A897">
        <v>1553</v>
      </c>
      <c r="B897" t="s">
        <v>1020</v>
      </c>
      <c r="C897" s="1">
        <v>45171.685416666667</v>
      </c>
      <c r="D897" t="s">
        <v>25</v>
      </c>
      <c r="E897" t="s">
        <v>108</v>
      </c>
      <c r="F897" t="s">
        <v>646</v>
      </c>
      <c r="G897" t="s">
        <v>362</v>
      </c>
      <c r="H897">
        <v>187</v>
      </c>
      <c r="I897">
        <v>2</v>
      </c>
      <c r="J897" t="s">
        <v>27</v>
      </c>
      <c r="K897" t="s">
        <v>21</v>
      </c>
      <c r="L897" t="s">
        <v>29</v>
      </c>
      <c r="M897" t="s">
        <v>23</v>
      </c>
      <c r="N897">
        <v>0</v>
      </c>
      <c r="O897">
        <v>0</v>
      </c>
      <c r="P897" s="8">
        <f>INT(Delivery_data[[#This Row],[Order Timestamp]])</f>
        <v>45171</v>
      </c>
      <c r="Q897" t="str">
        <f ca="1">IF(Delivery_data[[#This Row],[Order Status]]="In Progress", TODAY()-Delivery_data[[#This Row],[Order Date]], "")</f>
        <v/>
      </c>
      <c r="R897">
        <f>IF(Delivery_data[[#This Row],[On Time]]=1,0,1)</f>
        <v>1</v>
      </c>
    </row>
    <row r="898" spans="1:18" x14ac:dyDescent="0.35">
      <c r="A898">
        <v>1566</v>
      </c>
      <c r="B898" t="s">
        <v>1021</v>
      </c>
      <c r="C898" s="1">
        <v>45177.409722222219</v>
      </c>
      <c r="D898" t="s">
        <v>16</v>
      </c>
      <c r="E898" t="s">
        <v>227</v>
      </c>
      <c r="F898" t="s">
        <v>646</v>
      </c>
      <c r="G898" t="s">
        <v>19</v>
      </c>
      <c r="H898">
        <v>75</v>
      </c>
      <c r="I898">
        <v>20</v>
      </c>
      <c r="J898" t="s">
        <v>20</v>
      </c>
      <c r="K898" t="s">
        <v>28</v>
      </c>
      <c r="L898" t="s">
        <v>29</v>
      </c>
      <c r="M898" t="s">
        <v>39</v>
      </c>
      <c r="N898">
        <v>0</v>
      </c>
      <c r="O898">
        <v>0</v>
      </c>
      <c r="P898" s="8">
        <f>INT(Delivery_data[[#This Row],[Order Timestamp]])</f>
        <v>45177</v>
      </c>
      <c r="Q898">
        <f ca="1">IF(Delivery_data[[#This Row],[Order Status]]="In Progress", TODAY()-Delivery_data[[#This Row],[Order Date]], "")</f>
        <v>806</v>
      </c>
      <c r="R898">
        <f>IF(Delivery_data[[#This Row],[On Time]]=1,0,1)</f>
        <v>1</v>
      </c>
    </row>
    <row r="899" spans="1:18" x14ac:dyDescent="0.35">
      <c r="A899">
        <v>1571</v>
      </c>
      <c r="B899" t="s">
        <v>1022</v>
      </c>
      <c r="C899" s="1">
        <v>45172.609722222223</v>
      </c>
      <c r="D899" t="s">
        <v>25</v>
      </c>
      <c r="E899" t="s">
        <v>17</v>
      </c>
      <c r="F899" t="s">
        <v>646</v>
      </c>
      <c r="G899" t="s">
        <v>19</v>
      </c>
      <c r="H899">
        <v>208</v>
      </c>
      <c r="I899">
        <v>7</v>
      </c>
      <c r="J899" t="s">
        <v>35</v>
      </c>
      <c r="K899" t="s">
        <v>33</v>
      </c>
      <c r="L899" t="s">
        <v>29</v>
      </c>
      <c r="M899" t="s">
        <v>30</v>
      </c>
      <c r="N899">
        <v>0</v>
      </c>
      <c r="O899">
        <v>1</v>
      </c>
      <c r="P899" s="8">
        <f>INT(Delivery_data[[#This Row],[Order Timestamp]])</f>
        <v>45172</v>
      </c>
      <c r="Q899" t="str">
        <f ca="1">IF(Delivery_data[[#This Row],[Order Status]]="In Progress", TODAY()-Delivery_data[[#This Row],[Order Date]], "")</f>
        <v/>
      </c>
      <c r="R899">
        <f>IF(Delivery_data[[#This Row],[On Time]]=1,0,1)</f>
        <v>1</v>
      </c>
    </row>
    <row r="900" spans="1:18" x14ac:dyDescent="0.35">
      <c r="A900">
        <v>1576</v>
      </c>
      <c r="B900" t="s">
        <v>1023</v>
      </c>
      <c r="C900" s="1">
        <v>45171.63958333333</v>
      </c>
      <c r="D900" t="s">
        <v>16</v>
      </c>
      <c r="E900" t="s">
        <v>559</v>
      </c>
      <c r="F900" t="s">
        <v>646</v>
      </c>
      <c r="G900" t="s">
        <v>233</v>
      </c>
      <c r="H900">
        <v>230</v>
      </c>
      <c r="I900">
        <v>25</v>
      </c>
      <c r="J900" t="s">
        <v>35</v>
      </c>
      <c r="K900" t="s">
        <v>21</v>
      </c>
      <c r="L900" t="s">
        <v>29</v>
      </c>
      <c r="M900" t="s">
        <v>23</v>
      </c>
      <c r="N900">
        <v>0</v>
      </c>
      <c r="O900">
        <v>1</v>
      </c>
      <c r="P900" s="8">
        <f>INT(Delivery_data[[#This Row],[Order Timestamp]])</f>
        <v>45171</v>
      </c>
      <c r="Q900">
        <f ca="1">IF(Delivery_data[[#This Row],[Order Status]]="In Progress", TODAY()-Delivery_data[[#This Row],[Order Date]], "")</f>
        <v>812</v>
      </c>
      <c r="R900">
        <f>IF(Delivery_data[[#This Row],[On Time]]=1,0,1)</f>
        <v>1</v>
      </c>
    </row>
    <row r="901" spans="1:18" x14ac:dyDescent="0.35">
      <c r="A901">
        <v>1581</v>
      </c>
      <c r="B901" t="s">
        <v>1024</v>
      </c>
      <c r="C901" s="1">
        <v>45176.347222222219</v>
      </c>
      <c r="D901" t="s">
        <v>25</v>
      </c>
      <c r="E901" t="s">
        <v>447</v>
      </c>
      <c r="F901" t="s">
        <v>646</v>
      </c>
      <c r="G901" t="s">
        <v>362</v>
      </c>
      <c r="H901">
        <v>76</v>
      </c>
      <c r="I901">
        <v>10</v>
      </c>
      <c r="J901" t="s">
        <v>35</v>
      </c>
      <c r="K901" t="s">
        <v>51</v>
      </c>
      <c r="L901" t="s">
        <v>29</v>
      </c>
      <c r="M901" t="s">
        <v>23</v>
      </c>
      <c r="N901">
        <v>0</v>
      </c>
      <c r="O901">
        <v>1</v>
      </c>
      <c r="P901" s="8">
        <f>INT(Delivery_data[[#This Row],[Order Timestamp]])</f>
        <v>45176</v>
      </c>
      <c r="Q901" t="str">
        <f ca="1">IF(Delivery_data[[#This Row],[Order Status]]="In Progress", TODAY()-Delivery_data[[#This Row],[Order Date]], "")</f>
        <v/>
      </c>
      <c r="R901">
        <f>IF(Delivery_data[[#This Row],[On Time]]=1,0,1)</f>
        <v>1</v>
      </c>
    </row>
    <row r="902" spans="1:18" x14ac:dyDescent="0.35">
      <c r="A902">
        <v>1582</v>
      </c>
      <c r="B902" t="s">
        <v>1025</v>
      </c>
      <c r="C902" s="1">
        <v>45170.672222222223</v>
      </c>
      <c r="D902" t="s">
        <v>25</v>
      </c>
      <c r="E902" t="s">
        <v>87</v>
      </c>
      <c r="F902" t="s">
        <v>646</v>
      </c>
      <c r="G902" t="s">
        <v>463</v>
      </c>
      <c r="H902">
        <v>217</v>
      </c>
      <c r="I902">
        <v>12</v>
      </c>
      <c r="J902" t="s">
        <v>20</v>
      </c>
      <c r="K902" t="s">
        <v>38</v>
      </c>
      <c r="L902" t="s">
        <v>29</v>
      </c>
      <c r="M902" t="s">
        <v>23</v>
      </c>
      <c r="N902">
        <v>0</v>
      </c>
      <c r="O902">
        <v>0</v>
      </c>
      <c r="P902" s="8">
        <f>INT(Delivery_data[[#This Row],[Order Timestamp]])</f>
        <v>45170</v>
      </c>
      <c r="Q902" t="str">
        <f ca="1">IF(Delivery_data[[#This Row],[Order Status]]="In Progress", TODAY()-Delivery_data[[#This Row],[Order Date]], "")</f>
        <v/>
      </c>
      <c r="R902">
        <f>IF(Delivery_data[[#This Row],[On Time]]=1,0,1)</f>
        <v>1</v>
      </c>
    </row>
    <row r="903" spans="1:18" x14ac:dyDescent="0.35">
      <c r="A903">
        <v>1591</v>
      </c>
      <c r="B903" t="s">
        <v>730</v>
      </c>
      <c r="C903" s="1">
        <v>45172.438888888886</v>
      </c>
      <c r="D903" t="s">
        <v>16</v>
      </c>
      <c r="E903" t="s">
        <v>559</v>
      </c>
      <c r="F903" t="s">
        <v>646</v>
      </c>
      <c r="G903" t="s">
        <v>362</v>
      </c>
      <c r="H903">
        <v>237</v>
      </c>
      <c r="I903">
        <v>8</v>
      </c>
      <c r="J903" t="s">
        <v>20</v>
      </c>
      <c r="K903" t="s">
        <v>28</v>
      </c>
      <c r="L903" t="s">
        <v>29</v>
      </c>
      <c r="M903" t="s">
        <v>23</v>
      </c>
      <c r="N903">
        <v>0</v>
      </c>
      <c r="O903">
        <v>0</v>
      </c>
      <c r="P903" s="8">
        <f>INT(Delivery_data[[#This Row],[Order Timestamp]])</f>
        <v>45172</v>
      </c>
      <c r="Q903">
        <f ca="1">IF(Delivery_data[[#This Row],[Order Status]]="In Progress", TODAY()-Delivery_data[[#This Row],[Order Date]], "")</f>
        <v>811</v>
      </c>
      <c r="R903">
        <f>IF(Delivery_data[[#This Row],[On Time]]=1,0,1)</f>
        <v>1</v>
      </c>
    </row>
    <row r="904" spans="1:18" x14ac:dyDescent="0.35">
      <c r="A904">
        <v>1595</v>
      </c>
      <c r="B904" t="s">
        <v>1026</v>
      </c>
      <c r="C904" s="1">
        <v>45174.447222222225</v>
      </c>
      <c r="D904" t="s">
        <v>25</v>
      </c>
      <c r="E904" t="s">
        <v>96</v>
      </c>
      <c r="F904" t="s">
        <v>646</v>
      </c>
      <c r="G904" t="s">
        <v>362</v>
      </c>
      <c r="H904">
        <v>135</v>
      </c>
      <c r="I904">
        <v>27</v>
      </c>
      <c r="J904" t="s">
        <v>20</v>
      </c>
      <c r="K904" t="s">
        <v>21</v>
      </c>
      <c r="L904" t="s">
        <v>29</v>
      </c>
      <c r="M904" t="s">
        <v>23</v>
      </c>
      <c r="N904">
        <v>0</v>
      </c>
      <c r="O904">
        <v>0</v>
      </c>
      <c r="P904" s="8">
        <f>INT(Delivery_data[[#This Row],[Order Timestamp]])</f>
        <v>45174</v>
      </c>
      <c r="Q904" t="str">
        <f ca="1">IF(Delivery_data[[#This Row],[Order Status]]="In Progress", TODAY()-Delivery_data[[#This Row],[Order Date]], "")</f>
        <v/>
      </c>
      <c r="R904">
        <f>IF(Delivery_data[[#This Row],[On Time]]=1,0,1)</f>
        <v>1</v>
      </c>
    </row>
    <row r="905" spans="1:18" x14ac:dyDescent="0.35">
      <c r="A905">
        <v>1596</v>
      </c>
      <c r="B905" t="s">
        <v>1027</v>
      </c>
      <c r="C905" s="1">
        <v>45171.635416666664</v>
      </c>
      <c r="D905" t="s">
        <v>16</v>
      </c>
      <c r="E905" t="s">
        <v>346</v>
      </c>
      <c r="F905" t="s">
        <v>646</v>
      </c>
      <c r="G905" t="s">
        <v>362</v>
      </c>
      <c r="H905">
        <v>198</v>
      </c>
      <c r="I905">
        <v>19</v>
      </c>
      <c r="J905" t="s">
        <v>35</v>
      </c>
      <c r="K905" t="s">
        <v>28</v>
      </c>
      <c r="L905" t="s">
        <v>29</v>
      </c>
      <c r="M905" t="s">
        <v>39</v>
      </c>
      <c r="N905">
        <v>0</v>
      </c>
      <c r="O905">
        <v>1</v>
      </c>
      <c r="P905" s="8">
        <f>INT(Delivery_data[[#This Row],[Order Timestamp]])</f>
        <v>45171</v>
      </c>
      <c r="Q905">
        <f ca="1">IF(Delivery_data[[#This Row],[Order Status]]="In Progress", TODAY()-Delivery_data[[#This Row],[Order Date]], "")</f>
        <v>812</v>
      </c>
      <c r="R905">
        <f>IF(Delivery_data[[#This Row],[On Time]]=1,0,1)</f>
        <v>1</v>
      </c>
    </row>
    <row r="906" spans="1:18" x14ac:dyDescent="0.35">
      <c r="A906">
        <v>1618</v>
      </c>
      <c r="B906" t="s">
        <v>1028</v>
      </c>
      <c r="C906" s="1">
        <v>45172.598611111112</v>
      </c>
      <c r="D906" t="s">
        <v>25</v>
      </c>
      <c r="E906" t="s">
        <v>115</v>
      </c>
      <c r="F906" t="s">
        <v>646</v>
      </c>
      <c r="G906" t="s">
        <v>463</v>
      </c>
      <c r="H906">
        <v>215</v>
      </c>
      <c r="I906">
        <v>6</v>
      </c>
      <c r="J906" t="s">
        <v>20</v>
      </c>
      <c r="K906" t="s">
        <v>33</v>
      </c>
      <c r="L906" t="s">
        <v>29</v>
      </c>
      <c r="M906" t="s">
        <v>39</v>
      </c>
      <c r="N906">
        <v>0</v>
      </c>
      <c r="O906">
        <v>0</v>
      </c>
      <c r="P906" s="8">
        <f>INT(Delivery_data[[#This Row],[Order Timestamp]])</f>
        <v>45172</v>
      </c>
      <c r="Q906" t="str">
        <f ca="1">IF(Delivery_data[[#This Row],[Order Status]]="In Progress", TODAY()-Delivery_data[[#This Row],[Order Date]], "")</f>
        <v/>
      </c>
      <c r="R906">
        <f>IF(Delivery_data[[#This Row],[On Time]]=1,0,1)</f>
        <v>1</v>
      </c>
    </row>
    <row r="907" spans="1:18" x14ac:dyDescent="0.35">
      <c r="A907">
        <v>1627</v>
      </c>
      <c r="B907" t="s">
        <v>1029</v>
      </c>
      <c r="C907" s="1">
        <v>45172.488194444442</v>
      </c>
      <c r="D907" t="s">
        <v>16</v>
      </c>
      <c r="E907" t="s">
        <v>161</v>
      </c>
      <c r="F907" t="s">
        <v>646</v>
      </c>
      <c r="G907" t="s">
        <v>463</v>
      </c>
      <c r="H907">
        <v>223</v>
      </c>
      <c r="I907">
        <v>19</v>
      </c>
      <c r="J907" t="s">
        <v>35</v>
      </c>
      <c r="K907" t="s">
        <v>38</v>
      </c>
      <c r="L907" t="s">
        <v>29</v>
      </c>
      <c r="M907" t="s">
        <v>23</v>
      </c>
      <c r="N907">
        <v>0</v>
      </c>
      <c r="O907">
        <v>1</v>
      </c>
      <c r="P907" s="8">
        <f>INT(Delivery_data[[#This Row],[Order Timestamp]])</f>
        <v>45172</v>
      </c>
      <c r="Q907">
        <f ca="1">IF(Delivery_data[[#This Row],[Order Status]]="In Progress", TODAY()-Delivery_data[[#This Row],[Order Date]], "")</f>
        <v>811</v>
      </c>
      <c r="R907">
        <f>IF(Delivery_data[[#This Row],[On Time]]=1,0,1)</f>
        <v>1</v>
      </c>
    </row>
    <row r="908" spans="1:18" x14ac:dyDescent="0.35">
      <c r="A908">
        <v>1629</v>
      </c>
      <c r="B908" t="s">
        <v>1030</v>
      </c>
      <c r="C908" s="1">
        <v>45175.49722222222</v>
      </c>
      <c r="D908" t="s">
        <v>16</v>
      </c>
      <c r="E908" t="s">
        <v>178</v>
      </c>
      <c r="F908" t="s">
        <v>646</v>
      </c>
      <c r="G908" t="s">
        <v>557</v>
      </c>
      <c r="H908">
        <v>203</v>
      </c>
      <c r="I908">
        <v>27</v>
      </c>
      <c r="J908" t="s">
        <v>27</v>
      </c>
      <c r="K908" t="s">
        <v>21</v>
      </c>
      <c r="L908" t="s">
        <v>29</v>
      </c>
      <c r="M908" t="s">
        <v>30</v>
      </c>
      <c r="N908">
        <v>0</v>
      </c>
      <c r="O908">
        <v>0</v>
      </c>
      <c r="P908" s="8">
        <f>INT(Delivery_data[[#This Row],[Order Timestamp]])</f>
        <v>45175</v>
      </c>
      <c r="Q908">
        <f ca="1">IF(Delivery_data[[#This Row],[Order Status]]="In Progress", TODAY()-Delivery_data[[#This Row],[Order Date]], "")</f>
        <v>808</v>
      </c>
      <c r="R908">
        <f>IF(Delivery_data[[#This Row],[On Time]]=1,0,1)</f>
        <v>1</v>
      </c>
    </row>
    <row r="909" spans="1:18" x14ac:dyDescent="0.35">
      <c r="A909">
        <v>1647</v>
      </c>
      <c r="B909" t="s">
        <v>1031</v>
      </c>
      <c r="C909" s="1">
        <v>45175.545138888891</v>
      </c>
      <c r="D909" t="s">
        <v>16</v>
      </c>
      <c r="E909" t="s">
        <v>181</v>
      </c>
      <c r="F909" t="s">
        <v>646</v>
      </c>
      <c r="G909" t="s">
        <v>362</v>
      </c>
      <c r="H909">
        <v>221</v>
      </c>
      <c r="I909">
        <v>24</v>
      </c>
      <c r="J909" t="s">
        <v>27</v>
      </c>
      <c r="K909" t="s">
        <v>51</v>
      </c>
      <c r="L909" t="s">
        <v>29</v>
      </c>
      <c r="M909" t="s">
        <v>30</v>
      </c>
      <c r="N909">
        <v>0</v>
      </c>
      <c r="O909">
        <v>0</v>
      </c>
      <c r="P909" s="8">
        <f>INT(Delivery_data[[#This Row],[Order Timestamp]])</f>
        <v>45175</v>
      </c>
      <c r="Q909">
        <f ca="1">IF(Delivery_data[[#This Row],[Order Status]]="In Progress", TODAY()-Delivery_data[[#This Row],[Order Date]], "")</f>
        <v>808</v>
      </c>
      <c r="R909">
        <f>IF(Delivery_data[[#This Row],[On Time]]=1,0,1)</f>
        <v>1</v>
      </c>
    </row>
    <row r="910" spans="1:18" x14ac:dyDescent="0.35">
      <c r="A910">
        <v>1649</v>
      </c>
      <c r="B910" t="s">
        <v>1032</v>
      </c>
      <c r="C910" s="1">
        <v>45170.448611111111</v>
      </c>
      <c r="D910" t="s">
        <v>16</v>
      </c>
      <c r="E910" t="s">
        <v>325</v>
      </c>
      <c r="F910" t="s">
        <v>646</v>
      </c>
      <c r="G910" t="s">
        <v>362</v>
      </c>
      <c r="H910">
        <v>156</v>
      </c>
      <c r="I910">
        <v>22</v>
      </c>
      <c r="J910" t="s">
        <v>20</v>
      </c>
      <c r="K910" t="s">
        <v>21</v>
      </c>
      <c r="L910" t="s">
        <v>29</v>
      </c>
      <c r="M910" t="s">
        <v>39</v>
      </c>
      <c r="N910">
        <v>0</v>
      </c>
      <c r="O910">
        <v>0</v>
      </c>
      <c r="P910" s="8">
        <f>INT(Delivery_data[[#This Row],[Order Timestamp]])</f>
        <v>45170</v>
      </c>
      <c r="Q910">
        <f ca="1">IF(Delivery_data[[#This Row],[Order Status]]="In Progress", TODAY()-Delivery_data[[#This Row],[Order Date]], "")</f>
        <v>813</v>
      </c>
      <c r="R910">
        <f>IF(Delivery_data[[#This Row],[On Time]]=1,0,1)</f>
        <v>1</v>
      </c>
    </row>
    <row r="911" spans="1:18" x14ac:dyDescent="0.35">
      <c r="A911">
        <v>1650</v>
      </c>
      <c r="B911" t="s">
        <v>1033</v>
      </c>
      <c r="C911" s="1">
        <v>45175.356944444444</v>
      </c>
      <c r="D911" t="s">
        <v>16</v>
      </c>
      <c r="E911" t="s">
        <v>230</v>
      </c>
      <c r="F911" t="s">
        <v>646</v>
      </c>
      <c r="G911" t="s">
        <v>19</v>
      </c>
      <c r="H911">
        <v>94</v>
      </c>
      <c r="I911">
        <v>6</v>
      </c>
      <c r="J911" t="s">
        <v>35</v>
      </c>
      <c r="K911" t="s">
        <v>28</v>
      </c>
      <c r="L911" t="s">
        <v>29</v>
      </c>
      <c r="M911" t="s">
        <v>23</v>
      </c>
      <c r="N911">
        <v>0</v>
      </c>
      <c r="O911">
        <v>1</v>
      </c>
      <c r="P911" s="8">
        <f>INT(Delivery_data[[#This Row],[Order Timestamp]])</f>
        <v>45175</v>
      </c>
      <c r="Q911">
        <f ca="1">IF(Delivery_data[[#This Row],[Order Status]]="In Progress", TODAY()-Delivery_data[[#This Row],[Order Date]], "")</f>
        <v>808</v>
      </c>
      <c r="R911">
        <f>IF(Delivery_data[[#This Row],[On Time]]=1,0,1)</f>
        <v>1</v>
      </c>
    </row>
    <row r="912" spans="1:18" x14ac:dyDescent="0.35">
      <c r="A912">
        <v>1659</v>
      </c>
      <c r="B912" t="s">
        <v>1034</v>
      </c>
      <c r="C912" s="1">
        <v>45172.363194444442</v>
      </c>
      <c r="D912" t="s">
        <v>16</v>
      </c>
      <c r="E912" t="s">
        <v>416</v>
      </c>
      <c r="F912" t="s">
        <v>646</v>
      </c>
      <c r="G912" t="s">
        <v>463</v>
      </c>
      <c r="H912">
        <v>208</v>
      </c>
      <c r="I912">
        <v>13</v>
      </c>
      <c r="J912" t="s">
        <v>20</v>
      </c>
      <c r="K912" t="s">
        <v>51</v>
      </c>
      <c r="L912" t="s">
        <v>29</v>
      </c>
      <c r="M912" t="s">
        <v>39</v>
      </c>
      <c r="N912">
        <v>0</v>
      </c>
      <c r="O912">
        <v>0</v>
      </c>
      <c r="P912" s="8">
        <f>INT(Delivery_data[[#This Row],[Order Timestamp]])</f>
        <v>45172</v>
      </c>
      <c r="Q912">
        <f ca="1">IF(Delivery_data[[#This Row],[Order Status]]="In Progress", TODAY()-Delivery_data[[#This Row],[Order Date]], "")</f>
        <v>811</v>
      </c>
      <c r="R912">
        <f>IF(Delivery_data[[#This Row],[On Time]]=1,0,1)</f>
        <v>1</v>
      </c>
    </row>
    <row r="913" spans="1:18" x14ac:dyDescent="0.35">
      <c r="A913">
        <v>1667</v>
      </c>
      <c r="B913" t="s">
        <v>1035</v>
      </c>
      <c r="C913" s="1">
        <v>45172.333333333336</v>
      </c>
      <c r="D913" t="s">
        <v>25</v>
      </c>
      <c r="E913" t="s">
        <v>72</v>
      </c>
      <c r="F913" t="s">
        <v>646</v>
      </c>
      <c r="G913" t="s">
        <v>463</v>
      </c>
      <c r="H913">
        <v>80</v>
      </c>
      <c r="I913">
        <v>19</v>
      </c>
      <c r="J913" t="s">
        <v>35</v>
      </c>
      <c r="K913" t="s">
        <v>33</v>
      </c>
      <c r="L913" t="s">
        <v>29</v>
      </c>
      <c r="M913" t="s">
        <v>23</v>
      </c>
      <c r="N913">
        <v>0</v>
      </c>
      <c r="O913">
        <v>1</v>
      </c>
      <c r="P913" s="8">
        <f>INT(Delivery_data[[#This Row],[Order Timestamp]])</f>
        <v>45172</v>
      </c>
      <c r="Q913" t="str">
        <f ca="1">IF(Delivery_data[[#This Row],[Order Status]]="In Progress", TODAY()-Delivery_data[[#This Row],[Order Date]], "")</f>
        <v/>
      </c>
      <c r="R913">
        <f>IF(Delivery_data[[#This Row],[On Time]]=1,0,1)</f>
        <v>1</v>
      </c>
    </row>
    <row r="914" spans="1:18" x14ac:dyDescent="0.35">
      <c r="A914">
        <v>1697</v>
      </c>
      <c r="B914" t="s">
        <v>1036</v>
      </c>
      <c r="C914" s="1">
        <v>45171.668749999997</v>
      </c>
      <c r="D914" t="s">
        <v>25</v>
      </c>
      <c r="E914" t="s">
        <v>252</v>
      </c>
      <c r="F914" t="s">
        <v>646</v>
      </c>
      <c r="G914" t="s">
        <v>233</v>
      </c>
      <c r="H914">
        <v>136</v>
      </c>
      <c r="I914">
        <v>21</v>
      </c>
      <c r="J914" t="s">
        <v>27</v>
      </c>
      <c r="K914" t="s">
        <v>21</v>
      </c>
      <c r="L914" t="s">
        <v>29</v>
      </c>
      <c r="M914" t="s">
        <v>30</v>
      </c>
      <c r="N914">
        <v>0</v>
      </c>
      <c r="O914">
        <v>0</v>
      </c>
      <c r="P914" s="8">
        <f>INT(Delivery_data[[#This Row],[Order Timestamp]])</f>
        <v>45171</v>
      </c>
      <c r="Q914" t="str">
        <f ca="1">IF(Delivery_data[[#This Row],[Order Status]]="In Progress", TODAY()-Delivery_data[[#This Row],[Order Date]], "")</f>
        <v/>
      </c>
      <c r="R914">
        <f>IF(Delivery_data[[#This Row],[On Time]]=1,0,1)</f>
        <v>1</v>
      </c>
    </row>
    <row r="915" spans="1:18" x14ac:dyDescent="0.35">
      <c r="A915">
        <v>1699</v>
      </c>
      <c r="B915" t="s">
        <v>1037</v>
      </c>
      <c r="C915" s="1">
        <v>45170.636111111111</v>
      </c>
      <c r="D915" t="s">
        <v>25</v>
      </c>
      <c r="E915" t="s">
        <v>260</v>
      </c>
      <c r="F915" t="s">
        <v>646</v>
      </c>
      <c r="G915" t="s">
        <v>362</v>
      </c>
      <c r="H915">
        <v>230</v>
      </c>
      <c r="I915">
        <v>24</v>
      </c>
      <c r="J915" t="s">
        <v>27</v>
      </c>
      <c r="K915" t="s">
        <v>21</v>
      </c>
      <c r="L915" t="s">
        <v>29</v>
      </c>
      <c r="M915" t="s">
        <v>39</v>
      </c>
      <c r="N915">
        <v>0</v>
      </c>
      <c r="O915">
        <v>0</v>
      </c>
      <c r="P915" s="8">
        <f>INT(Delivery_data[[#This Row],[Order Timestamp]])</f>
        <v>45170</v>
      </c>
      <c r="Q915" t="str">
        <f ca="1">IF(Delivery_data[[#This Row],[Order Status]]="In Progress", TODAY()-Delivery_data[[#This Row],[Order Date]], "")</f>
        <v/>
      </c>
      <c r="R915">
        <f>IF(Delivery_data[[#This Row],[On Time]]=1,0,1)</f>
        <v>1</v>
      </c>
    </row>
    <row r="916" spans="1:18" x14ac:dyDescent="0.35">
      <c r="A916">
        <v>1701</v>
      </c>
      <c r="B916" t="s">
        <v>1038</v>
      </c>
      <c r="C916" s="1">
        <v>45173.447916666664</v>
      </c>
      <c r="D916" t="s">
        <v>16</v>
      </c>
      <c r="E916" t="s">
        <v>117</v>
      </c>
      <c r="F916" t="s">
        <v>646</v>
      </c>
      <c r="G916" t="s">
        <v>463</v>
      </c>
      <c r="H916">
        <v>201</v>
      </c>
      <c r="I916">
        <v>3</v>
      </c>
      <c r="J916" t="s">
        <v>20</v>
      </c>
      <c r="K916" t="s">
        <v>28</v>
      </c>
      <c r="L916" t="s">
        <v>29</v>
      </c>
      <c r="M916" t="s">
        <v>39</v>
      </c>
      <c r="N916">
        <v>0</v>
      </c>
      <c r="O916">
        <v>0</v>
      </c>
      <c r="P916" s="8">
        <f>INT(Delivery_data[[#This Row],[Order Timestamp]])</f>
        <v>45173</v>
      </c>
      <c r="Q916">
        <f ca="1">IF(Delivery_data[[#This Row],[Order Status]]="In Progress", TODAY()-Delivery_data[[#This Row],[Order Date]], "")</f>
        <v>810</v>
      </c>
      <c r="R916">
        <f>IF(Delivery_data[[#This Row],[On Time]]=1,0,1)</f>
        <v>1</v>
      </c>
    </row>
    <row r="917" spans="1:18" x14ac:dyDescent="0.35">
      <c r="A917">
        <v>1706</v>
      </c>
      <c r="B917" t="s">
        <v>1039</v>
      </c>
      <c r="C917" s="1">
        <v>45172.616666666669</v>
      </c>
      <c r="D917" t="s">
        <v>25</v>
      </c>
      <c r="E917" t="s">
        <v>87</v>
      </c>
      <c r="F917" t="s">
        <v>646</v>
      </c>
      <c r="G917" t="s">
        <v>557</v>
      </c>
      <c r="H917">
        <v>206</v>
      </c>
      <c r="I917">
        <v>27</v>
      </c>
      <c r="J917" t="s">
        <v>27</v>
      </c>
      <c r="K917" t="s">
        <v>51</v>
      </c>
      <c r="L917" t="s">
        <v>29</v>
      </c>
      <c r="M917" t="s">
        <v>30</v>
      </c>
      <c r="N917">
        <v>0</v>
      </c>
      <c r="O917">
        <v>0</v>
      </c>
      <c r="P917" s="8">
        <f>INT(Delivery_data[[#This Row],[Order Timestamp]])</f>
        <v>45172</v>
      </c>
      <c r="Q917" t="str">
        <f ca="1">IF(Delivery_data[[#This Row],[Order Status]]="In Progress", TODAY()-Delivery_data[[#This Row],[Order Date]], "")</f>
        <v/>
      </c>
      <c r="R917">
        <f>IF(Delivery_data[[#This Row],[On Time]]=1,0,1)</f>
        <v>1</v>
      </c>
    </row>
    <row r="918" spans="1:18" x14ac:dyDescent="0.35">
      <c r="A918">
        <v>1707</v>
      </c>
      <c r="B918" t="s">
        <v>1040</v>
      </c>
      <c r="C918" s="1">
        <v>45170.555555555555</v>
      </c>
      <c r="D918" t="s">
        <v>25</v>
      </c>
      <c r="E918" t="s">
        <v>360</v>
      </c>
      <c r="F918" t="s">
        <v>646</v>
      </c>
      <c r="G918" t="s">
        <v>19</v>
      </c>
      <c r="H918">
        <v>120</v>
      </c>
      <c r="I918">
        <v>12</v>
      </c>
      <c r="J918" t="s">
        <v>27</v>
      </c>
      <c r="K918" t="s">
        <v>21</v>
      </c>
      <c r="L918" t="s">
        <v>29</v>
      </c>
      <c r="M918" t="s">
        <v>30</v>
      </c>
      <c r="N918">
        <v>0</v>
      </c>
      <c r="O918">
        <v>0</v>
      </c>
      <c r="P918" s="8">
        <f>INT(Delivery_data[[#This Row],[Order Timestamp]])</f>
        <v>45170</v>
      </c>
      <c r="Q918" t="str">
        <f ca="1">IF(Delivery_data[[#This Row],[Order Status]]="In Progress", TODAY()-Delivery_data[[#This Row],[Order Date]], "")</f>
        <v/>
      </c>
      <c r="R918">
        <f>IF(Delivery_data[[#This Row],[On Time]]=1,0,1)</f>
        <v>1</v>
      </c>
    </row>
    <row r="919" spans="1:18" x14ac:dyDescent="0.35">
      <c r="A919">
        <v>1715</v>
      </c>
      <c r="B919" t="s">
        <v>1041</v>
      </c>
      <c r="C919" s="1">
        <v>45172.445833333331</v>
      </c>
      <c r="D919" t="s">
        <v>16</v>
      </c>
      <c r="E919" t="s">
        <v>62</v>
      </c>
      <c r="F919" t="s">
        <v>646</v>
      </c>
      <c r="G919" t="s">
        <v>362</v>
      </c>
      <c r="H919">
        <v>192</v>
      </c>
      <c r="I919">
        <v>7</v>
      </c>
      <c r="J919" t="s">
        <v>27</v>
      </c>
      <c r="K919" t="s">
        <v>21</v>
      </c>
      <c r="L919" t="s">
        <v>29</v>
      </c>
      <c r="M919" t="s">
        <v>39</v>
      </c>
      <c r="N919">
        <v>0</v>
      </c>
      <c r="O919">
        <v>0</v>
      </c>
      <c r="P919" s="8">
        <f>INT(Delivery_data[[#This Row],[Order Timestamp]])</f>
        <v>45172</v>
      </c>
      <c r="Q919">
        <f ca="1">IF(Delivery_data[[#This Row],[Order Status]]="In Progress", TODAY()-Delivery_data[[#This Row],[Order Date]], "")</f>
        <v>811</v>
      </c>
      <c r="R919">
        <f>IF(Delivery_data[[#This Row],[On Time]]=1,0,1)</f>
        <v>1</v>
      </c>
    </row>
    <row r="920" spans="1:18" x14ac:dyDescent="0.35">
      <c r="A920">
        <v>1726</v>
      </c>
      <c r="B920" t="s">
        <v>1042</v>
      </c>
      <c r="C920" s="1">
        <v>45175.345833333333</v>
      </c>
      <c r="D920" t="s">
        <v>25</v>
      </c>
      <c r="E920" t="s">
        <v>126</v>
      </c>
      <c r="F920" t="s">
        <v>646</v>
      </c>
      <c r="G920" t="s">
        <v>19</v>
      </c>
      <c r="H920">
        <v>153</v>
      </c>
      <c r="I920">
        <v>26</v>
      </c>
      <c r="J920" t="s">
        <v>27</v>
      </c>
      <c r="K920" t="s">
        <v>33</v>
      </c>
      <c r="L920" t="s">
        <v>29</v>
      </c>
      <c r="M920" t="s">
        <v>23</v>
      </c>
      <c r="N920">
        <v>0</v>
      </c>
      <c r="O920">
        <v>0</v>
      </c>
      <c r="P920" s="8">
        <f>INT(Delivery_data[[#This Row],[Order Timestamp]])</f>
        <v>45175</v>
      </c>
      <c r="Q920" t="str">
        <f ca="1">IF(Delivery_data[[#This Row],[Order Status]]="In Progress", TODAY()-Delivery_data[[#This Row],[Order Date]], "")</f>
        <v/>
      </c>
      <c r="R920">
        <f>IF(Delivery_data[[#This Row],[On Time]]=1,0,1)</f>
        <v>1</v>
      </c>
    </row>
    <row r="921" spans="1:18" x14ac:dyDescent="0.35">
      <c r="A921">
        <v>1729</v>
      </c>
      <c r="B921" t="s">
        <v>1043</v>
      </c>
      <c r="C921" s="1">
        <v>45176.381944444445</v>
      </c>
      <c r="D921" t="s">
        <v>16</v>
      </c>
      <c r="E921" t="s">
        <v>666</v>
      </c>
      <c r="F921" t="s">
        <v>646</v>
      </c>
      <c r="G921" t="s">
        <v>557</v>
      </c>
      <c r="H921">
        <v>206</v>
      </c>
      <c r="I921">
        <v>20</v>
      </c>
      <c r="J921" t="s">
        <v>27</v>
      </c>
      <c r="K921" t="s">
        <v>33</v>
      </c>
      <c r="L921" t="s">
        <v>29</v>
      </c>
      <c r="M921" t="s">
        <v>30</v>
      </c>
      <c r="N921">
        <v>0</v>
      </c>
      <c r="O921">
        <v>0</v>
      </c>
      <c r="P921" s="8">
        <f>INT(Delivery_data[[#This Row],[Order Timestamp]])</f>
        <v>45176</v>
      </c>
      <c r="Q921">
        <f ca="1">IF(Delivery_data[[#This Row],[Order Status]]="In Progress", TODAY()-Delivery_data[[#This Row],[Order Date]], "")</f>
        <v>807</v>
      </c>
      <c r="R921">
        <f>IF(Delivery_data[[#This Row],[On Time]]=1,0,1)</f>
        <v>1</v>
      </c>
    </row>
    <row r="922" spans="1:18" x14ac:dyDescent="0.35">
      <c r="A922">
        <v>1733</v>
      </c>
      <c r="B922" t="s">
        <v>1044</v>
      </c>
      <c r="C922" s="1">
        <v>45172.37222222222</v>
      </c>
      <c r="D922" t="s">
        <v>25</v>
      </c>
      <c r="E922" t="s">
        <v>214</v>
      </c>
      <c r="F922" t="s">
        <v>646</v>
      </c>
      <c r="G922" t="s">
        <v>463</v>
      </c>
      <c r="H922">
        <v>137</v>
      </c>
      <c r="I922">
        <v>24</v>
      </c>
      <c r="J922" t="s">
        <v>27</v>
      </c>
      <c r="K922" t="s">
        <v>28</v>
      </c>
      <c r="L922" t="s">
        <v>29</v>
      </c>
      <c r="M922" t="s">
        <v>30</v>
      </c>
      <c r="N922">
        <v>0</v>
      </c>
      <c r="O922">
        <v>0</v>
      </c>
      <c r="P922" s="8">
        <f>INT(Delivery_data[[#This Row],[Order Timestamp]])</f>
        <v>45172</v>
      </c>
      <c r="Q922" t="str">
        <f ca="1">IF(Delivery_data[[#This Row],[Order Status]]="In Progress", TODAY()-Delivery_data[[#This Row],[Order Date]], "")</f>
        <v/>
      </c>
      <c r="R922">
        <f>IF(Delivery_data[[#This Row],[On Time]]=1,0,1)</f>
        <v>1</v>
      </c>
    </row>
    <row r="923" spans="1:18" x14ac:dyDescent="0.35">
      <c r="A923">
        <v>1766</v>
      </c>
      <c r="B923" t="s">
        <v>1045</v>
      </c>
      <c r="C923" s="1">
        <v>45177.511805555558</v>
      </c>
      <c r="D923" t="s">
        <v>25</v>
      </c>
      <c r="E923" t="s">
        <v>161</v>
      </c>
      <c r="F923" t="s">
        <v>646</v>
      </c>
      <c r="G923" t="s">
        <v>463</v>
      </c>
      <c r="H923">
        <v>134</v>
      </c>
      <c r="I923">
        <v>13</v>
      </c>
      <c r="J923" t="s">
        <v>27</v>
      </c>
      <c r="K923" t="s">
        <v>38</v>
      </c>
      <c r="L923" t="s">
        <v>29</v>
      </c>
      <c r="M923" t="s">
        <v>23</v>
      </c>
      <c r="N923">
        <v>0</v>
      </c>
      <c r="O923">
        <v>0</v>
      </c>
      <c r="P923" s="8">
        <f>INT(Delivery_data[[#This Row],[Order Timestamp]])</f>
        <v>45177</v>
      </c>
      <c r="Q923" t="str">
        <f ca="1">IF(Delivery_data[[#This Row],[Order Status]]="In Progress", TODAY()-Delivery_data[[#This Row],[Order Date]], "")</f>
        <v/>
      </c>
      <c r="R923">
        <f>IF(Delivery_data[[#This Row],[On Time]]=1,0,1)</f>
        <v>1</v>
      </c>
    </row>
    <row r="924" spans="1:18" x14ac:dyDescent="0.35">
      <c r="A924">
        <v>1774</v>
      </c>
      <c r="B924" t="s">
        <v>1046</v>
      </c>
      <c r="C924" s="1">
        <v>45172.495833333334</v>
      </c>
      <c r="D924" t="s">
        <v>25</v>
      </c>
      <c r="E924" t="s">
        <v>41</v>
      </c>
      <c r="F924" t="s">
        <v>646</v>
      </c>
      <c r="G924" t="s">
        <v>19</v>
      </c>
      <c r="H924">
        <v>161</v>
      </c>
      <c r="I924">
        <v>1</v>
      </c>
      <c r="J924" t="s">
        <v>35</v>
      </c>
      <c r="K924" t="s">
        <v>51</v>
      </c>
      <c r="L924" t="s">
        <v>29</v>
      </c>
      <c r="M924" t="s">
        <v>23</v>
      </c>
      <c r="N924">
        <v>0</v>
      </c>
      <c r="O924">
        <v>1</v>
      </c>
      <c r="P924" s="8">
        <f>INT(Delivery_data[[#This Row],[Order Timestamp]])</f>
        <v>45172</v>
      </c>
      <c r="Q924" t="str">
        <f ca="1">IF(Delivery_data[[#This Row],[Order Status]]="In Progress", TODAY()-Delivery_data[[#This Row],[Order Date]], "")</f>
        <v/>
      </c>
      <c r="R924">
        <f>IF(Delivery_data[[#This Row],[On Time]]=1,0,1)</f>
        <v>1</v>
      </c>
    </row>
    <row r="925" spans="1:18" x14ac:dyDescent="0.35">
      <c r="A925">
        <v>1789</v>
      </c>
      <c r="B925" t="s">
        <v>1047</v>
      </c>
      <c r="C925" s="1">
        <v>45171.613194444442</v>
      </c>
      <c r="D925" t="s">
        <v>16</v>
      </c>
      <c r="E925" t="s">
        <v>258</v>
      </c>
      <c r="F925" t="s">
        <v>646</v>
      </c>
      <c r="G925" t="s">
        <v>463</v>
      </c>
      <c r="H925">
        <v>181</v>
      </c>
      <c r="I925">
        <v>13</v>
      </c>
      <c r="J925" t="s">
        <v>35</v>
      </c>
      <c r="K925" t="s">
        <v>28</v>
      </c>
      <c r="L925" t="s">
        <v>29</v>
      </c>
      <c r="M925" t="s">
        <v>23</v>
      </c>
      <c r="N925">
        <v>0</v>
      </c>
      <c r="O925">
        <v>1</v>
      </c>
      <c r="P925" s="8">
        <f>INT(Delivery_data[[#This Row],[Order Timestamp]])</f>
        <v>45171</v>
      </c>
      <c r="Q925">
        <f ca="1">IF(Delivery_data[[#This Row],[Order Status]]="In Progress", TODAY()-Delivery_data[[#This Row],[Order Date]], "")</f>
        <v>812</v>
      </c>
      <c r="R925">
        <f>IF(Delivery_data[[#This Row],[On Time]]=1,0,1)</f>
        <v>1</v>
      </c>
    </row>
    <row r="926" spans="1:18" x14ac:dyDescent="0.35">
      <c r="A926">
        <v>1793</v>
      </c>
      <c r="B926" t="s">
        <v>1048</v>
      </c>
      <c r="C926" s="1">
        <v>45173.344444444447</v>
      </c>
      <c r="D926" t="s">
        <v>25</v>
      </c>
      <c r="E926" t="s">
        <v>195</v>
      </c>
      <c r="F926" t="s">
        <v>646</v>
      </c>
      <c r="G926" t="s">
        <v>19</v>
      </c>
      <c r="H926">
        <v>65</v>
      </c>
      <c r="I926">
        <v>6</v>
      </c>
      <c r="J926" t="s">
        <v>20</v>
      </c>
      <c r="K926" t="s">
        <v>33</v>
      </c>
      <c r="L926" t="s">
        <v>29</v>
      </c>
      <c r="M926" t="s">
        <v>30</v>
      </c>
      <c r="N926">
        <v>0</v>
      </c>
      <c r="O926">
        <v>0</v>
      </c>
      <c r="P926" s="8">
        <f>INT(Delivery_data[[#This Row],[Order Timestamp]])</f>
        <v>45173</v>
      </c>
      <c r="Q926" t="str">
        <f ca="1">IF(Delivery_data[[#This Row],[Order Status]]="In Progress", TODAY()-Delivery_data[[#This Row],[Order Date]], "")</f>
        <v/>
      </c>
      <c r="R926">
        <f>IF(Delivery_data[[#This Row],[On Time]]=1,0,1)</f>
        <v>1</v>
      </c>
    </row>
    <row r="927" spans="1:18" x14ac:dyDescent="0.35">
      <c r="A927">
        <v>1795</v>
      </c>
      <c r="B927" t="s">
        <v>1049</v>
      </c>
      <c r="C927" s="1">
        <v>45176.402083333334</v>
      </c>
      <c r="D927" t="s">
        <v>25</v>
      </c>
      <c r="E927" t="s">
        <v>653</v>
      </c>
      <c r="F927" t="s">
        <v>646</v>
      </c>
      <c r="G927" t="s">
        <v>463</v>
      </c>
      <c r="H927">
        <v>195</v>
      </c>
      <c r="I927">
        <v>6</v>
      </c>
      <c r="J927" t="s">
        <v>20</v>
      </c>
      <c r="K927" t="s">
        <v>21</v>
      </c>
      <c r="L927" t="s">
        <v>29</v>
      </c>
      <c r="M927" t="s">
        <v>39</v>
      </c>
      <c r="N927">
        <v>0</v>
      </c>
      <c r="O927">
        <v>0</v>
      </c>
      <c r="P927" s="8">
        <f>INT(Delivery_data[[#This Row],[Order Timestamp]])</f>
        <v>45176</v>
      </c>
      <c r="Q927" t="str">
        <f ca="1">IF(Delivery_data[[#This Row],[Order Status]]="In Progress", TODAY()-Delivery_data[[#This Row],[Order Date]], "")</f>
        <v/>
      </c>
      <c r="R927">
        <f>IF(Delivery_data[[#This Row],[On Time]]=1,0,1)</f>
        <v>1</v>
      </c>
    </row>
    <row r="928" spans="1:18" x14ac:dyDescent="0.35">
      <c r="A928">
        <v>1819</v>
      </c>
      <c r="B928" t="s">
        <v>1050</v>
      </c>
      <c r="C928" s="1">
        <v>45175.570138888892</v>
      </c>
      <c r="D928" t="s">
        <v>16</v>
      </c>
      <c r="E928" t="s">
        <v>169</v>
      </c>
      <c r="F928" t="s">
        <v>646</v>
      </c>
      <c r="G928" t="s">
        <v>233</v>
      </c>
      <c r="H928">
        <v>162</v>
      </c>
      <c r="I928">
        <v>27</v>
      </c>
      <c r="J928" t="s">
        <v>20</v>
      </c>
      <c r="K928" t="s">
        <v>38</v>
      </c>
      <c r="L928" t="s">
        <v>29</v>
      </c>
      <c r="M928" t="s">
        <v>30</v>
      </c>
      <c r="N928">
        <v>0</v>
      </c>
      <c r="O928">
        <v>0</v>
      </c>
      <c r="P928" s="8">
        <f>INT(Delivery_data[[#This Row],[Order Timestamp]])</f>
        <v>45175</v>
      </c>
      <c r="Q928">
        <f ca="1">IF(Delivery_data[[#This Row],[Order Status]]="In Progress", TODAY()-Delivery_data[[#This Row],[Order Date]], "")</f>
        <v>808</v>
      </c>
      <c r="R928">
        <f>IF(Delivery_data[[#This Row],[On Time]]=1,0,1)</f>
        <v>1</v>
      </c>
    </row>
    <row r="929" spans="1:18" x14ac:dyDescent="0.35">
      <c r="A929">
        <v>1825</v>
      </c>
      <c r="B929" t="s">
        <v>1051</v>
      </c>
      <c r="C929" s="1">
        <v>45171.540277777778</v>
      </c>
      <c r="D929" t="s">
        <v>16</v>
      </c>
      <c r="E929" t="s">
        <v>60</v>
      </c>
      <c r="F929" t="s">
        <v>646</v>
      </c>
      <c r="G929" t="s">
        <v>362</v>
      </c>
      <c r="H929">
        <v>239</v>
      </c>
      <c r="I929">
        <v>24</v>
      </c>
      <c r="J929" t="s">
        <v>20</v>
      </c>
      <c r="K929" t="s">
        <v>33</v>
      </c>
      <c r="L929" t="s">
        <v>29</v>
      </c>
      <c r="M929" t="s">
        <v>23</v>
      </c>
      <c r="N929">
        <v>0</v>
      </c>
      <c r="O929">
        <v>0</v>
      </c>
      <c r="P929" s="8">
        <f>INT(Delivery_data[[#This Row],[Order Timestamp]])</f>
        <v>45171</v>
      </c>
      <c r="Q929">
        <f ca="1">IF(Delivery_data[[#This Row],[Order Status]]="In Progress", TODAY()-Delivery_data[[#This Row],[Order Date]], "")</f>
        <v>812</v>
      </c>
      <c r="R929">
        <f>IF(Delivery_data[[#This Row],[On Time]]=1,0,1)</f>
        <v>1</v>
      </c>
    </row>
    <row r="930" spans="1:18" x14ac:dyDescent="0.35">
      <c r="A930">
        <v>1826</v>
      </c>
      <c r="B930" t="s">
        <v>1052</v>
      </c>
      <c r="C930" s="1">
        <v>45173.594444444447</v>
      </c>
      <c r="D930" t="s">
        <v>16</v>
      </c>
      <c r="E930" t="s">
        <v>70</v>
      </c>
      <c r="F930" t="s">
        <v>646</v>
      </c>
      <c r="G930" t="s">
        <v>19</v>
      </c>
      <c r="H930">
        <v>74</v>
      </c>
      <c r="I930">
        <v>22</v>
      </c>
      <c r="J930" t="s">
        <v>27</v>
      </c>
      <c r="K930" t="s">
        <v>28</v>
      </c>
      <c r="L930" t="s">
        <v>29</v>
      </c>
      <c r="M930" t="s">
        <v>30</v>
      </c>
      <c r="N930">
        <v>0</v>
      </c>
      <c r="O930">
        <v>0</v>
      </c>
      <c r="P930" s="8">
        <f>INT(Delivery_data[[#This Row],[Order Timestamp]])</f>
        <v>45173</v>
      </c>
      <c r="Q930">
        <f ca="1">IF(Delivery_data[[#This Row],[Order Status]]="In Progress", TODAY()-Delivery_data[[#This Row],[Order Date]], "")</f>
        <v>810</v>
      </c>
      <c r="R930">
        <f>IF(Delivery_data[[#This Row],[On Time]]=1,0,1)</f>
        <v>1</v>
      </c>
    </row>
    <row r="931" spans="1:18" x14ac:dyDescent="0.35">
      <c r="A931">
        <v>1847</v>
      </c>
      <c r="B931" t="s">
        <v>160</v>
      </c>
      <c r="C931" s="1">
        <v>45174.431250000001</v>
      </c>
      <c r="D931" t="s">
        <v>25</v>
      </c>
      <c r="E931" t="s">
        <v>342</v>
      </c>
      <c r="F931" t="s">
        <v>646</v>
      </c>
      <c r="G931" t="s">
        <v>362</v>
      </c>
      <c r="H931">
        <v>187</v>
      </c>
      <c r="I931">
        <v>28</v>
      </c>
      <c r="J931" t="s">
        <v>27</v>
      </c>
      <c r="K931" t="s">
        <v>51</v>
      </c>
      <c r="L931" t="s">
        <v>29</v>
      </c>
      <c r="M931" t="s">
        <v>23</v>
      </c>
      <c r="N931">
        <v>0</v>
      </c>
      <c r="O931">
        <v>0</v>
      </c>
      <c r="P931" s="8">
        <f>INT(Delivery_data[[#This Row],[Order Timestamp]])</f>
        <v>45174</v>
      </c>
      <c r="Q931" t="str">
        <f ca="1">IF(Delivery_data[[#This Row],[Order Status]]="In Progress", TODAY()-Delivery_data[[#This Row],[Order Date]], "")</f>
        <v/>
      </c>
      <c r="R931">
        <f>IF(Delivery_data[[#This Row],[On Time]]=1,0,1)</f>
        <v>1</v>
      </c>
    </row>
    <row r="932" spans="1:18" x14ac:dyDescent="0.35">
      <c r="A932">
        <v>1855</v>
      </c>
      <c r="B932" t="s">
        <v>1053</v>
      </c>
      <c r="C932" s="1">
        <v>45177.458333333336</v>
      </c>
      <c r="D932" t="s">
        <v>25</v>
      </c>
      <c r="E932" t="s">
        <v>314</v>
      </c>
      <c r="F932" t="s">
        <v>646</v>
      </c>
      <c r="G932" t="s">
        <v>362</v>
      </c>
      <c r="H932">
        <v>155</v>
      </c>
      <c r="I932">
        <v>20</v>
      </c>
      <c r="J932" t="s">
        <v>35</v>
      </c>
      <c r="K932" t="s">
        <v>28</v>
      </c>
      <c r="L932" t="s">
        <v>29</v>
      </c>
      <c r="M932" t="s">
        <v>30</v>
      </c>
      <c r="N932">
        <v>0</v>
      </c>
      <c r="O932">
        <v>1</v>
      </c>
      <c r="P932" s="8">
        <f>INT(Delivery_data[[#This Row],[Order Timestamp]])</f>
        <v>45177</v>
      </c>
      <c r="Q932" t="str">
        <f ca="1">IF(Delivery_data[[#This Row],[Order Status]]="In Progress", TODAY()-Delivery_data[[#This Row],[Order Date]], "")</f>
        <v/>
      </c>
      <c r="R932">
        <f>IF(Delivery_data[[#This Row],[On Time]]=1,0,1)</f>
        <v>1</v>
      </c>
    </row>
    <row r="933" spans="1:18" x14ac:dyDescent="0.35">
      <c r="A933">
        <v>1859</v>
      </c>
      <c r="B933" t="s">
        <v>1054</v>
      </c>
      <c r="C933" s="1">
        <v>45174.415972222225</v>
      </c>
      <c r="D933" t="s">
        <v>16</v>
      </c>
      <c r="E933" t="s">
        <v>41</v>
      </c>
      <c r="F933" t="s">
        <v>646</v>
      </c>
      <c r="G933" t="s">
        <v>19</v>
      </c>
      <c r="H933">
        <v>215</v>
      </c>
      <c r="I933">
        <v>13</v>
      </c>
      <c r="J933" t="s">
        <v>20</v>
      </c>
      <c r="K933" t="s">
        <v>33</v>
      </c>
      <c r="L933" t="s">
        <v>29</v>
      </c>
      <c r="M933" t="s">
        <v>30</v>
      </c>
      <c r="N933">
        <v>0</v>
      </c>
      <c r="O933">
        <v>0</v>
      </c>
      <c r="P933" s="8">
        <f>INT(Delivery_data[[#This Row],[Order Timestamp]])</f>
        <v>45174</v>
      </c>
      <c r="Q933">
        <f ca="1">IF(Delivery_data[[#This Row],[Order Status]]="In Progress", TODAY()-Delivery_data[[#This Row],[Order Date]], "")</f>
        <v>809</v>
      </c>
      <c r="R933">
        <f>IF(Delivery_data[[#This Row],[On Time]]=1,0,1)</f>
        <v>1</v>
      </c>
    </row>
    <row r="934" spans="1:18" x14ac:dyDescent="0.35">
      <c r="A934">
        <v>1867</v>
      </c>
      <c r="B934" t="s">
        <v>1055</v>
      </c>
      <c r="C934" s="1">
        <v>45177.487500000003</v>
      </c>
      <c r="D934" t="s">
        <v>16</v>
      </c>
      <c r="E934" t="s">
        <v>245</v>
      </c>
      <c r="F934" t="s">
        <v>646</v>
      </c>
      <c r="G934" t="s">
        <v>463</v>
      </c>
      <c r="H934">
        <v>186</v>
      </c>
      <c r="I934">
        <v>15</v>
      </c>
      <c r="J934" t="s">
        <v>20</v>
      </c>
      <c r="K934" t="s">
        <v>51</v>
      </c>
      <c r="L934" t="s">
        <v>29</v>
      </c>
      <c r="M934" t="s">
        <v>39</v>
      </c>
      <c r="N934">
        <v>0</v>
      </c>
      <c r="O934">
        <v>0</v>
      </c>
      <c r="P934" s="8">
        <f>INT(Delivery_data[[#This Row],[Order Timestamp]])</f>
        <v>45177</v>
      </c>
      <c r="Q934">
        <f ca="1">IF(Delivery_data[[#This Row],[Order Status]]="In Progress", TODAY()-Delivery_data[[#This Row],[Order Date]], "")</f>
        <v>806</v>
      </c>
      <c r="R934">
        <f>IF(Delivery_data[[#This Row],[On Time]]=1,0,1)</f>
        <v>1</v>
      </c>
    </row>
    <row r="935" spans="1:18" x14ac:dyDescent="0.35">
      <c r="A935">
        <v>1873</v>
      </c>
      <c r="B935" t="s">
        <v>1056</v>
      </c>
      <c r="C935" s="1">
        <v>45174.415277777778</v>
      </c>
      <c r="D935" t="s">
        <v>16</v>
      </c>
      <c r="E935" t="s">
        <v>279</v>
      </c>
      <c r="F935" t="s">
        <v>646</v>
      </c>
      <c r="G935" t="s">
        <v>19</v>
      </c>
      <c r="H935">
        <v>125</v>
      </c>
      <c r="I935">
        <v>21</v>
      </c>
      <c r="J935" t="s">
        <v>20</v>
      </c>
      <c r="K935" t="s">
        <v>38</v>
      </c>
      <c r="L935" t="s">
        <v>29</v>
      </c>
      <c r="M935" t="s">
        <v>23</v>
      </c>
      <c r="N935">
        <v>0</v>
      </c>
      <c r="O935">
        <v>0</v>
      </c>
      <c r="P935" s="8">
        <f>INT(Delivery_data[[#This Row],[Order Timestamp]])</f>
        <v>45174</v>
      </c>
      <c r="Q935">
        <f ca="1">IF(Delivery_data[[#This Row],[Order Status]]="In Progress", TODAY()-Delivery_data[[#This Row],[Order Date]], "")</f>
        <v>809</v>
      </c>
      <c r="R935">
        <f>IF(Delivery_data[[#This Row],[On Time]]=1,0,1)</f>
        <v>1</v>
      </c>
    </row>
    <row r="936" spans="1:18" x14ac:dyDescent="0.35">
      <c r="A936">
        <v>1875</v>
      </c>
      <c r="B936" t="s">
        <v>1057</v>
      </c>
      <c r="C936" s="1">
        <v>45174.577777777777</v>
      </c>
      <c r="D936" t="s">
        <v>16</v>
      </c>
      <c r="E936" t="s">
        <v>64</v>
      </c>
      <c r="F936" t="s">
        <v>646</v>
      </c>
      <c r="G936" t="s">
        <v>463</v>
      </c>
      <c r="H936">
        <v>188</v>
      </c>
      <c r="I936">
        <v>8</v>
      </c>
      <c r="J936" t="s">
        <v>35</v>
      </c>
      <c r="K936" t="s">
        <v>51</v>
      </c>
      <c r="L936" t="s">
        <v>29</v>
      </c>
      <c r="M936" t="s">
        <v>39</v>
      </c>
      <c r="N936">
        <v>0</v>
      </c>
      <c r="O936">
        <v>1</v>
      </c>
      <c r="P936" s="8">
        <f>INT(Delivery_data[[#This Row],[Order Timestamp]])</f>
        <v>45174</v>
      </c>
      <c r="Q936">
        <f ca="1">IF(Delivery_data[[#This Row],[Order Status]]="In Progress", TODAY()-Delivery_data[[#This Row],[Order Date]], "")</f>
        <v>809</v>
      </c>
      <c r="R936">
        <f>IF(Delivery_data[[#This Row],[On Time]]=1,0,1)</f>
        <v>1</v>
      </c>
    </row>
    <row r="937" spans="1:18" x14ac:dyDescent="0.35">
      <c r="A937">
        <v>1885</v>
      </c>
      <c r="B937" t="s">
        <v>1058</v>
      </c>
      <c r="C937" s="1">
        <v>45173.591666666667</v>
      </c>
      <c r="D937" t="s">
        <v>16</v>
      </c>
      <c r="E937" t="s">
        <v>320</v>
      </c>
      <c r="F937" t="s">
        <v>646</v>
      </c>
      <c r="G937" t="s">
        <v>463</v>
      </c>
      <c r="H937">
        <v>232</v>
      </c>
      <c r="I937">
        <v>29</v>
      </c>
      <c r="J937" t="s">
        <v>20</v>
      </c>
      <c r="K937" t="s">
        <v>38</v>
      </c>
      <c r="L937" t="s">
        <v>29</v>
      </c>
      <c r="M937" t="s">
        <v>23</v>
      </c>
      <c r="N937">
        <v>0</v>
      </c>
      <c r="O937">
        <v>0</v>
      </c>
      <c r="P937" s="8">
        <f>INT(Delivery_data[[#This Row],[Order Timestamp]])</f>
        <v>45173</v>
      </c>
      <c r="Q937">
        <f ca="1">IF(Delivery_data[[#This Row],[Order Status]]="In Progress", TODAY()-Delivery_data[[#This Row],[Order Date]], "")</f>
        <v>810</v>
      </c>
      <c r="R937">
        <f>IF(Delivery_data[[#This Row],[On Time]]=1,0,1)</f>
        <v>1</v>
      </c>
    </row>
    <row r="938" spans="1:18" x14ac:dyDescent="0.35">
      <c r="A938">
        <v>1890</v>
      </c>
      <c r="B938" t="s">
        <v>1059</v>
      </c>
      <c r="C938" s="1">
        <v>45170.669444444444</v>
      </c>
      <c r="D938" t="s">
        <v>25</v>
      </c>
      <c r="E938" t="s">
        <v>139</v>
      </c>
      <c r="F938" t="s">
        <v>646</v>
      </c>
      <c r="G938" t="s">
        <v>463</v>
      </c>
      <c r="H938">
        <v>180</v>
      </c>
      <c r="I938">
        <v>7</v>
      </c>
      <c r="J938" t="s">
        <v>35</v>
      </c>
      <c r="K938" t="s">
        <v>51</v>
      </c>
      <c r="L938" t="s">
        <v>29</v>
      </c>
      <c r="M938" t="s">
        <v>39</v>
      </c>
      <c r="N938">
        <v>0</v>
      </c>
      <c r="O938">
        <v>1</v>
      </c>
      <c r="P938" s="8">
        <f>INT(Delivery_data[[#This Row],[Order Timestamp]])</f>
        <v>45170</v>
      </c>
      <c r="Q938" t="str">
        <f ca="1">IF(Delivery_data[[#This Row],[Order Status]]="In Progress", TODAY()-Delivery_data[[#This Row],[Order Date]], "")</f>
        <v/>
      </c>
      <c r="R938">
        <f>IF(Delivery_data[[#This Row],[On Time]]=1,0,1)</f>
        <v>1</v>
      </c>
    </row>
    <row r="939" spans="1:18" x14ac:dyDescent="0.35">
      <c r="A939">
        <v>1892</v>
      </c>
      <c r="B939" t="s">
        <v>1060</v>
      </c>
      <c r="C939" s="1">
        <v>45172.334027777775</v>
      </c>
      <c r="D939" t="s">
        <v>25</v>
      </c>
      <c r="E939" t="s">
        <v>44</v>
      </c>
      <c r="F939" t="s">
        <v>646</v>
      </c>
      <c r="G939" t="s">
        <v>362</v>
      </c>
      <c r="H939">
        <v>64</v>
      </c>
      <c r="I939">
        <v>18</v>
      </c>
      <c r="J939" t="s">
        <v>27</v>
      </c>
      <c r="K939" t="s">
        <v>21</v>
      </c>
      <c r="L939" t="s">
        <v>29</v>
      </c>
      <c r="M939" t="s">
        <v>23</v>
      </c>
      <c r="N939">
        <v>0</v>
      </c>
      <c r="O939">
        <v>0</v>
      </c>
      <c r="P939" s="8">
        <f>INT(Delivery_data[[#This Row],[Order Timestamp]])</f>
        <v>45172</v>
      </c>
      <c r="Q939" t="str">
        <f ca="1">IF(Delivery_data[[#This Row],[Order Status]]="In Progress", TODAY()-Delivery_data[[#This Row],[Order Date]], "")</f>
        <v/>
      </c>
      <c r="R939">
        <f>IF(Delivery_data[[#This Row],[On Time]]=1,0,1)</f>
        <v>1</v>
      </c>
    </row>
    <row r="940" spans="1:18" x14ac:dyDescent="0.35">
      <c r="A940">
        <v>1896</v>
      </c>
      <c r="B940" t="s">
        <v>1061</v>
      </c>
      <c r="C940" s="1">
        <v>45176.463194444441</v>
      </c>
      <c r="D940" t="s">
        <v>16</v>
      </c>
      <c r="E940" t="s">
        <v>66</v>
      </c>
      <c r="F940" t="s">
        <v>646</v>
      </c>
      <c r="G940" t="s">
        <v>362</v>
      </c>
      <c r="H940">
        <v>72</v>
      </c>
      <c r="I940">
        <v>22</v>
      </c>
      <c r="J940" t="s">
        <v>35</v>
      </c>
      <c r="K940" t="s">
        <v>38</v>
      </c>
      <c r="L940" t="s">
        <v>29</v>
      </c>
      <c r="M940" t="s">
        <v>39</v>
      </c>
      <c r="N940">
        <v>0</v>
      </c>
      <c r="O940">
        <v>1</v>
      </c>
      <c r="P940" s="8">
        <f>INT(Delivery_data[[#This Row],[Order Timestamp]])</f>
        <v>45176</v>
      </c>
      <c r="Q940">
        <f ca="1">IF(Delivery_data[[#This Row],[Order Status]]="In Progress", TODAY()-Delivery_data[[#This Row],[Order Date]], "")</f>
        <v>807</v>
      </c>
      <c r="R940">
        <f>IF(Delivery_data[[#This Row],[On Time]]=1,0,1)</f>
        <v>1</v>
      </c>
    </row>
    <row r="941" spans="1:18" x14ac:dyDescent="0.35">
      <c r="A941">
        <v>1902</v>
      </c>
      <c r="B941" t="s">
        <v>1062</v>
      </c>
      <c r="C941" s="1">
        <v>45173.463194444441</v>
      </c>
      <c r="D941" t="s">
        <v>16</v>
      </c>
      <c r="E941" t="s">
        <v>178</v>
      </c>
      <c r="F941" t="s">
        <v>646</v>
      </c>
      <c r="G941" t="s">
        <v>233</v>
      </c>
      <c r="H941">
        <v>158</v>
      </c>
      <c r="I941">
        <v>24</v>
      </c>
      <c r="J941" t="s">
        <v>27</v>
      </c>
      <c r="K941" t="s">
        <v>28</v>
      </c>
      <c r="L941" t="s">
        <v>29</v>
      </c>
      <c r="M941" t="s">
        <v>23</v>
      </c>
      <c r="N941">
        <v>0</v>
      </c>
      <c r="O941">
        <v>0</v>
      </c>
      <c r="P941" s="8">
        <f>INT(Delivery_data[[#This Row],[Order Timestamp]])</f>
        <v>45173</v>
      </c>
      <c r="Q941">
        <f ca="1">IF(Delivery_data[[#This Row],[Order Status]]="In Progress", TODAY()-Delivery_data[[#This Row],[Order Date]], "")</f>
        <v>810</v>
      </c>
      <c r="R941">
        <f>IF(Delivery_data[[#This Row],[On Time]]=1,0,1)</f>
        <v>1</v>
      </c>
    </row>
    <row r="942" spans="1:18" x14ac:dyDescent="0.35">
      <c r="A942">
        <v>1914</v>
      </c>
      <c r="B942" t="s">
        <v>1063</v>
      </c>
      <c r="C942" s="1">
        <v>45175.345833333333</v>
      </c>
      <c r="D942" t="s">
        <v>25</v>
      </c>
      <c r="E942" t="s">
        <v>121</v>
      </c>
      <c r="F942" t="s">
        <v>646</v>
      </c>
      <c r="G942" t="s">
        <v>19</v>
      </c>
      <c r="H942">
        <v>72</v>
      </c>
      <c r="I942">
        <v>25</v>
      </c>
      <c r="J942" t="s">
        <v>27</v>
      </c>
      <c r="K942" t="s">
        <v>51</v>
      </c>
      <c r="L942" t="s">
        <v>29</v>
      </c>
      <c r="M942" t="s">
        <v>30</v>
      </c>
      <c r="N942">
        <v>0</v>
      </c>
      <c r="O942">
        <v>0</v>
      </c>
      <c r="P942" s="8">
        <f>INT(Delivery_data[[#This Row],[Order Timestamp]])</f>
        <v>45175</v>
      </c>
      <c r="Q942" t="str">
        <f ca="1">IF(Delivery_data[[#This Row],[Order Status]]="In Progress", TODAY()-Delivery_data[[#This Row],[Order Date]], "")</f>
        <v/>
      </c>
      <c r="R942">
        <f>IF(Delivery_data[[#This Row],[On Time]]=1,0,1)</f>
        <v>1</v>
      </c>
    </row>
    <row r="943" spans="1:18" x14ac:dyDescent="0.35">
      <c r="A943">
        <v>1916</v>
      </c>
      <c r="B943" t="s">
        <v>1064</v>
      </c>
      <c r="C943" s="1">
        <v>45172.551388888889</v>
      </c>
      <c r="D943" t="s">
        <v>16</v>
      </c>
      <c r="E943" t="s">
        <v>284</v>
      </c>
      <c r="F943" t="s">
        <v>646</v>
      </c>
      <c r="G943" t="s">
        <v>463</v>
      </c>
      <c r="H943">
        <v>194</v>
      </c>
      <c r="I943">
        <v>12</v>
      </c>
      <c r="J943" t="s">
        <v>35</v>
      </c>
      <c r="K943" t="s">
        <v>28</v>
      </c>
      <c r="L943" t="s">
        <v>29</v>
      </c>
      <c r="M943" t="s">
        <v>23</v>
      </c>
      <c r="N943">
        <v>0</v>
      </c>
      <c r="O943">
        <v>1</v>
      </c>
      <c r="P943" s="8">
        <f>INT(Delivery_data[[#This Row],[Order Timestamp]])</f>
        <v>45172</v>
      </c>
      <c r="Q943">
        <f ca="1">IF(Delivery_data[[#This Row],[Order Status]]="In Progress", TODAY()-Delivery_data[[#This Row],[Order Date]], "")</f>
        <v>811</v>
      </c>
      <c r="R943">
        <f>IF(Delivery_data[[#This Row],[On Time]]=1,0,1)</f>
        <v>1</v>
      </c>
    </row>
    <row r="944" spans="1:18" x14ac:dyDescent="0.35">
      <c r="A944">
        <v>1930</v>
      </c>
      <c r="B944" t="s">
        <v>1065</v>
      </c>
      <c r="C944" s="1">
        <v>45177.412499999999</v>
      </c>
      <c r="D944" t="s">
        <v>16</v>
      </c>
      <c r="E944" t="s">
        <v>91</v>
      </c>
      <c r="F944" t="s">
        <v>646</v>
      </c>
      <c r="G944" t="s">
        <v>19</v>
      </c>
      <c r="H944">
        <v>232</v>
      </c>
      <c r="I944">
        <v>24</v>
      </c>
      <c r="J944" t="s">
        <v>27</v>
      </c>
      <c r="K944" t="s">
        <v>51</v>
      </c>
      <c r="L944" t="s">
        <v>29</v>
      </c>
      <c r="M944" t="s">
        <v>39</v>
      </c>
      <c r="N944">
        <v>0</v>
      </c>
      <c r="O944">
        <v>0</v>
      </c>
      <c r="P944" s="8">
        <f>INT(Delivery_data[[#This Row],[Order Timestamp]])</f>
        <v>45177</v>
      </c>
      <c r="Q944">
        <f ca="1">IF(Delivery_data[[#This Row],[Order Status]]="In Progress", TODAY()-Delivery_data[[#This Row],[Order Date]], "")</f>
        <v>806</v>
      </c>
      <c r="R944">
        <f>IF(Delivery_data[[#This Row],[On Time]]=1,0,1)</f>
        <v>1</v>
      </c>
    </row>
    <row r="945" spans="1:18" x14ac:dyDescent="0.35">
      <c r="A945">
        <v>1941</v>
      </c>
      <c r="B945" t="s">
        <v>1066</v>
      </c>
      <c r="C945" s="1">
        <v>45175.424305555556</v>
      </c>
      <c r="D945" t="s">
        <v>25</v>
      </c>
      <c r="E945" t="s">
        <v>598</v>
      </c>
      <c r="F945" t="s">
        <v>646</v>
      </c>
      <c r="G945" t="s">
        <v>557</v>
      </c>
      <c r="H945">
        <v>115</v>
      </c>
      <c r="I945">
        <v>16</v>
      </c>
      <c r="J945" t="s">
        <v>35</v>
      </c>
      <c r="K945" t="s">
        <v>51</v>
      </c>
      <c r="L945" t="s">
        <v>29</v>
      </c>
      <c r="M945" t="s">
        <v>39</v>
      </c>
      <c r="N945">
        <v>0</v>
      </c>
      <c r="O945">
        <v>1</v>
      </c>
      <c r="P945" s="8">
        <f>INT(Delivery_data[[#This Row],[Order Timestamp]])</f>
        <v>45175</v>
      </c>
      <c r="Q945" t="str">
        <f ca="1">IF(Delivery_data[[#This Row],[Order Status]]="In Progress", TODAY()-Delivery_data[[#This Row],[Order Date]], "")</f>
        <v/>
      </c>
      <c r="R945">
        <f>IF(Delivery_data[[#This Row],[On Time]]=1,0,1)</f>
        <v>1</v>
      </c>
    </row>
    <row r="946" spans="1:18" x14ac:dyDescent="0.35">
      <c r="A946">
        <v>1944</v>
      </c>
      <c r="B946" t="s">
        <v>1067</v>
      </c>
      <c r="C946" s="1">
        <v>45170.474305555559</v>
      </c>
      <c r="D946" t="s">
        <v>16</v>
      </c>
      <c r="E946" t="s">
        <v>287</v>
      </c>
      <c r="F946" t="s">
        <v>646</v>
      </c>
      <c r="G946" t="s">
        <v>233</v>
      </c>
      <c r="H946">
        <v>91</v>
      </c>
      <c r="I946">
        <v>19</v>
      </c>
      <c r="J946" t="s">
        <v>27</v>
      </c>
      <c r="K946" t="s">
        <v>51</v>
      </c>
      <c r="L946" t="s">
        <v>29</v>
      </c>
      <c r="M946" t="s">
        <v>23</v>
      </c>
      <c r="N946">
        <v>0</v>
      </c>
      <c r="O946">
        <v>0</v>
      </c>
      <c r="P946" s="8">
        <f>INT(Delivery_data[[#This Row],[Order Timestamp]])</f>
        <v>45170</v>
      </c>
      <c r="Q946">
        <f ca="1">IF(Delivery_data[[#This Row],[Order Status]]="In Progress", TODAY()-Delivery_data[[#This Row],[Order Date]], "")</f>
        <v>813</v>
      </c>
      <c r="R946">
        <f>IF(Delivery_data[[#This Row],[On Time]]=1,0,1)</f>
        <v>1</v>
      </c>
    </row>
    <row r="947" spans="1:18" x14ac:dyDescent="0.35">
      <c r="A947">
        <v>1961</v>
      </c>
      <c r="B947" t="s">
        <v>1068</v>
      </c>
      <c r="C947" s="1">
        <v>45171.552777777775</v>
      </c>
      <c r="D947" t="s">
        <v>25</v>
      </c>
      <c r="E947" t="s">
        <v>117</v>
      </c>
      <c r="F947" t="s">
        <v>646</v>
      </c>
      <c r="G947" t="s">
        <v>233</v>
      </c>
      <c r="H947">
        <v>208</v>
      </c>
      <c r="I947">
        <v>20</v>
      </c>
      <c r="J947" t="s">
        <v>27</v>
      </c>
      <c r="K947" t="s">
        <v>21</v>
      </c>
      <c r="L947" t="s">
        <v>29</v>
      </c>
      <c r="M947" t="s">
        <v>23</v>
      </c>
      <c r="N947">
        <v>0</v>
      </c>
      <c r="O947">
        <v>0</v>
      </c>
      <c r="P947" s="8">
        <f>INT(Delivery_data[[#This Row],[Order Timestamp]])</f>
        <v>45171</v>
      </c>
      <c r="Q947" t="str">
        <f ca="1">IF(Delivery_data[[#This Row],[Order Status]]="In Progress", TODAY()-Delivery_data[[#This Row],[Order Date]], "")</f>
        <v/>
      </c>
      <c r="R947">
        <f>IF(Delivery_data[[#This Row],[On Time]]=1,0,1)</f>
        <v>1</v>
      </c>
    </row>
    <row r="948" spans="1:18" x14ac:dyDescent="0.35">
      <c r="A948">
        <v>1963</v>
      </c>
      <c r="B948" t="s">
        <v>1069</v>
      </c>
      <c r="C948" s="1">
        <v>45176.545138888891</v>
      </c>
      <c r="D948" t="s">
        <v>16</v>
      </c>
      <c r="E948" t="s">
        <v>169</v>
      </c>
      <c r="F948" t="s">
        <v>646</v>
      </c>
      <c r="G948" t="s">
        <v>557</v>
      </c>
      <c r="H948">
        <v>230</v>
      </c>
      <c r="I948">
        <v>21</v>
      </c>
      <c r="J948" t="s">
        <v>27</v>
      </c>
      <c r="K948" t="s">
        <v>21</v>
      </c>
      <c r="L948" t="s">
        <v>29</v>
      </c>
      <c r="M948" t="s">
        <v>39</v>
      </c>
      <c r="N948">
        <v>0</v>
      </c>
      <c r="O948">
        <v>0</v>
      </c>
      <c r="P948" s="8">
        <f>INT(Delivery_data[[#This Row],[Order Timestamp]])</f>
        <v>45176</v>
      </c>
      <c r="Q948">
        <f ca="1">IF(Delivery_data[[#This Row],[Order Status]]="In Progress", TODAY()-Delivery_data[[#This Row],[Order Date]], "")</f>
        <v>807</v>
      </c>
      <c r="R948">
        <f>IF(Delivery_data[[#This Row],[On Time]]=1,0,1)</f>
        <v>1</v>
      </c>
    </row>
    <row r="949" spans="1:18" x14ac:dyDescent="0.35">
      <c r="A949">
        <v>1968</v>
      </c>
      <c r="B949" t="s">
        <v>1070</v>
      </c>
      <c r="C949" s="1">
        <v>45177.561111111114</v>
      </c>
      <c r="D949" t="s">
        <v>25</v>
      </c>
      <c r="E949" t="s">
        <v>117</v>
      </c>
      <c r="F949" t="s">
        <v>646</v>
      </c>
      <c r="G949" t="s">
        <v>19</v>
      </c>
      <c r="H949">
        <v>141</v>
      </c>
      <c r="I949">
        <v>2</v>
      </c>
      <c r="J949" t="s">
        <v>20</v>
      </c>
      <c r="K949" t="s">
        <v>33</v>
      </c>
      <c r="L949" t="s">
        <v>29</v>
      </c>
      <c r="M949" t="s">
        <v>39</v>
      </c>
      <c r="N949">
        <v>0</v>
      </c>
      <c r="O949">
        <v>0</v>
      </c>
      <c r="P949" s="8">
        <f>INT(Delivery_data[[#This Row],[Order Timestamp]])</f>
        <v>45177</v>
      </c>
      <c r="Q949" t="str">
        <f ca="1">IF(Delivery_data[[#This Row],[Order Status]]="In Progress", TODAY()-Delivery_data[[#This Row],[Order Date]], "")</f>
        <v/>
      </c>
      <c r="R949">
        <f>IF(Delivery_data[[#This Row],[On Time]]=1,0,1)</f>
        <v>1</v>
      </c>
    </row>
    <row r="950" spans="1:18" x14ac:dyDescent="0.35">
      <c r="A950">
        <v>1973</v>
      </c>
      <c r="B950" t="s">
        <v>1071</v>
      </c>
      <c r="C950" s="1">
        <v>45177.336111111108</v>
      </c>
      <c r="D950" t="s">
        <v>25</v>
      </c>
      <c r="E950" t="s">
        <v>240</v>
      </c>
      <c r="F950" t="s">
        <v>646</v>
      </c>
      <c r="G950" t="s">
        <v>233</v>
      </c>
      <c r="H950">
        <v>170</v>
      </c>
      <c r="I950">
        <v>1</v>
      </c>
      <c r="J950" t="s">
        <v>35</v>
      </c>
      <c r="K950" t="s">
        <v>28</v>
      </c>
      <c r="L950" t="s">
        <v>29</v>
      </c>
      <c r="M950" t="s">
        <v>23</v>
      </c>
      <c r="N950">
        <v>0</v>
      </c>
      <c r="O950">
        <v>1</v>
      </c>
      <c r="P950" s="8">
        <f>INT(Delivery_data[[#This Row],[Order Timestamp]])</f>
        <v>45177</v>
      </c>
      <c r="Q950" t="str">
        <f ca="1">IF(Delivery_data[[#This Row],[Order Status]]="In Progress", TODAY()-Delivery_data[[#This Row],[Order Date]], "")</f>
        <v/>
      </c>
      <c r="R950">
        <f>IF(Delivery_data[[#This Row],[On Time]]=1,0,1)</f>
        <v>1</v>
      </c>
    </row>
    <row r="951" spans="1:18" x14ac:dyDescent="0.35">
      <c r="A951">
        <v>1974</v>
      </c>
      <c r="B951" t="s">
        <v>1072</v>
      </c>
      <c r="C951" s="1">
        <v>45171.380555555559</v>
      </c>
      <c r="D951" t="s">
        <v>16</v>
      </c>
      <c r="E951" t="s">
        <v>48</v>
      </c>
      <c r="F951" t="s">
        <v>646</v>
      </c>
      <c r="G951" t="s">
        <v>463</v>
      </c>
      <c r="H951">
        <v>90</v>
      </c>
      <c r="I951">
        <v>24</v>
      </c>
      <c r="J951" t="s">
        <v>35</v>
      </c>
      <c r="K951" t="s">
        <v>38</v>
      </c>
      <c r="L951" t="s">
        <v>29</v>
      </c>
      <c r="M951" t="s">
        <v>30</v>
      </c>
      <c r="N951">
        <v>0</v>
      </c>
      <c r="O951">
        <v>1</v>
      </c>
      <c r="P951" s="8">
        <f>INT(Delivery_data[[#This Row],[Order Timestamp]])</f>
        <v>45171</v>
      </c>
      <c r="Q951">
        <f ca="1">IF(Delivery_data[[#This Row],[Order Status]]="In Progress", TODAY()-Delivery_data[[#This Row],[Order Date]], "")</f>
        <v>812</v>
      </c>
      <c r="R951">
        <f>IF(Delivery_data[[#This Row],[On Time]]=1,0,1)</f>
        <v>1</v>
      </c>
    </row>
    <row r="952" spans="1:18" x14ac:dyDescent="0.35">
      <c r="A952">
        <v>1992</v>
      </c>
      <c r="B952" t="s">
        <v>1073</v>
      </c>
      <c r="C952" s="1">
        <v>45171.426388888889</v>
      </c>
      <c r="D952" t="s">
        <v>25</v>
      </c>
      <c r="E952" t="s">
        <v>80</v>
      </c>
      <c r="F952" t="s">
        <v>646</v>
      </c>
      <c r="G952" t="s">
        <v>19</v>
      </c>
      <c r="H952">
        <v>151</v>
      </c>
      <c r="I952">
        <v>17</v>
      </c>
      <c r="J952" t="s">
        <v>27</v>
      </c>
      <c r="K952" t="s">
        <v>28</v>
      </c>
      <c r="L952" t="s">
        <v>29</v>
      </c>
      <c r="M952" t="s">
        <v>30</v>
      </c>
      <c r="N952">
        <v>0</v>
      </c>
      <c r="O952">
        <v>0</v>
      </c>
      <c r="P952" s="8">
        <f>INT(Delivery_data[[#This Row],[Order Timestamp]])</f>
        <v>45171</v>
      </c>
      <c r="Q952" t="str">
        <f ca="1">IF(Delivery_data[[#This Row],[Order Status]]="In Progress", TODAY()-Delivery_data[[#This Row],[Order Date]], "")</f>
        <v/>
      </c>
      <c r="R952">
        <f>IF(Delivery_data[[#This Row],[On Time]]=1,0,1)</f>
        <v>1</v>
      </c>
    </row>
    <row r="953" spans="1:18" x14ac:dyDescent="0.35">
      <c r="A953">
        <v>1995</v>
      </c>
      <c r="B953" t="s">
        <v>1074</v>
      </c>
      <c r="C953" s="1">
        <v>45170.578472222223</v>
      </c>
      <c r="D953" t="s">
        <v>16</v>
      </c>
      <c r="E953" t="s">
        <v>17</v>
      </c>
      <c r="F953" t="s">
        <v>646</v>
      </c>
      <c r="G953" t="s">
        <v>557</v>
      </c>
      <c r="H953">
        <v>172</v>
      </c>
      <c r="I953">
        <v>29</v>
      </c>
      <c r="J953" t="s">
        <v>20</v>
      </c>
      <c r="K953" t="s">
        <v>38</v>
      </c>
      <c r="L953" t="s">
        <v>29</v>
      </c>
      <c r="M953" t="s">
        <v>30</v>
      </c>
      <c r="N953">
        <v>0</v>
      </c>
      <c r="O953">
        <v>0</v>
      </c>
      <c r="P953" s="8">
        <f>INT(Delivery_data[[#This Row],[Order Timestamp]])</f>
        <v>45170</v>
      </c>
      <c r="Q953">
        <f ca="1">IF(Delivery_data[[#This Row],[Order Status]]="In Progress", TODAY()-Delivery_data[[#This Row],[Order Date]], "")</f>
        <v>813</v>
      </c>
      <c r="R953">
        <f>IF(Delivery_data[[#This Row],[On Time]]=1,0,1)</f>
        <v>1</v>
      </c>
    </row>
    <row r="954" spans="1:18" x14ac:dyDescent="0.35">
      <c r="A954">
        <v>2003</v>
      </c>
      <c r="B954" t="s">
        <v>1075</v>
      </c>
      <c r="C954" s="1">
        <v>45174.642361111109</v>
      </c>
      <c r="D954" t="s">
        <v>25</v>
      </c>
      <c r="E954" t="s">
        <v>181</v>
      </c>
      <c r="F954" t="s">
        <v>646</v>
      </c>
      <c r="G954" t="s">
        <v>233</v>
      </c>
      <c r="H954">
        <v>158</v>
      </c>
      <c r="I954">
        <v>16</v>
      </c>
      <c r="J954" t="s">
        <v>27</v>
      </c>
      <c r="K954" t="s">
        <v>38</v>
      </c>
      <c r="L954" t="s">
        <v>29</v>
      </c>
      <c r="M954" t="s">
        <v>23</v>
      </c>
      <c r="N954">
        <v>0</v>
      </c>
      <c r="O954">
        <v>0</v>
      </c>
      <c r="P954" s="8">
        <f>INT(Delivery_data[[#This Row],[Order Timestamp]])</f>
        <v>45174</v>
      </c>
      <c r="Q954" t="str">
        <f ca="1">IF(Delivery_data[[#This Row],[Order Status]]="In Progress", TODAY()-Delivery_data[[#This Row],[Order Date]], "")</f>
        <v/>
      </c>
      <c r="R954">
        <f>IF(Delivery_data[[#This Row],[On Time]]=1,0,1)</f>
        <v>1</v>
      </c>
    </row>
    <row r="955" spans="1:18" x14ac:dyDescent="0.35">
      <c r="A955">
        <v>2008</v>
      </c>
      <c r="B955" t="s">
        <v>1076</v>
      </c>
      <c r="C955" s="1">
        <v>45170.613888888889</v>
      </c>
      <c r="D955" t="s">
        <v>16</v>
      </c>
      <c r="E955" t="s">
        <v>245</v>
      </c>
      <c r="F955" t="s">
        <v>646</v>
      </c>
      <c r="G955" t="s">
        <v>362</v>
      </c>
      <c r="H955">
        <v>79</v>
      </c>
      <c r="I955">
        <v>12</v>
      </c>
      <c r="J955" t="s">
        <v>20</v>
      </c>
      <c r="K955" t="s">
        <v>21</v>
      </c>
      <c r="L955" t="s">
        <v>29</v>
      </c>
      <c r="M955" t="s">
        <v>39</v>
      </c>
      <c r="N955">
        <v>0</v>
      </c>
      <c r="O955">
        <v>0</v>
      </c>
      <c r="P955" s="8">
        <f>INT(Delivery_data[[#This Row],[Order Timestamp]])</f>
        <v>45170</v>
      </c>
      <c r="Q955">
        <f ca="1">IF(Delivery_data[[#This Row],[Order Status]]="In Progress", TODAY()-Delivery_data[[#This Row],[Order Date]], "")</f>
        <v>813</v>
      </c>
      <c r="R955">
        <f>IF(Delivery_data[[#This Row],[On Time]]=1,0,1)</f>
        <v>1</v>
      </c>
    </row>
    <row r="956" spans="1:18" x14ac:dyDescent="0.35">
      <c r="A956">
        <v>2009</v>
      </c>
      <c r="B956" t="s">
        <v>1077</v>
      </c>
      <c r="C956" s="1">
        <v>45175.537499999999</v>
      </c>
      <c r="D956" t="s">
        <v>16</v>
      </c>
      <c r="E956" t="s">
        <v>212</v>
      </c>
      <c r="F956" t="s">
        <v>646</v>
      </c>
      <c r="G956" t="s">
        <v>463</v>
      </c>
      <c r="H956">
        <v>88</v>
      </c>
      <c r="I956">
        <v>1</v>
      </c>
      <c r="J956" t="s">
        <v>27</v>
      </c>
      <c r="K956" t="s">
        <v>28</v>
      </c>
      <c r="L956" t="s">
        <v>29</v>
      </c>
      <c r="M956" t="s">
        <v>30</v>
      </c>
      <c r="N956">
        <v>0</v>
      </c>
      <c r="O956">
        <v>0</v>
      </c>
      <c r="P956" s="8">
        <f>INT(Delivery_data[[#This Row],[Order Timestamp]])</f>
        <v>45175</v>
      </c>
      <c r="Q956">
        <f ca="1">IF(Delivery_data[[#This Row],[Order Status]]="In Progress", TODAY()-Delivery_data[[#This Row],[Order Date]], "")</f>
        <v>808</v>
      </c>
      <c r="R956">
        <f>IF(Delivery_data[[#This Row],[On Time]]=1,0,1)</f>
        <v>1</v>
      </c>
    </row>
    <row r="957" spans="1:18" x14ac:dyDescent="0.35">
      <c r="A957">
        <v>2017</v>
      </c>
      <c r="B957" t="s">
        <v>1078</v>
      </c>
      <c r="C957" s="1">
        <v>45176.441666666666</v>
      </c>
      <c r="D957" t="s">
        <v>16</v>
      </c>
      <c r="E957" t="s">
        <v>87</v>
      </c>
      <c r="F957" t="s">
        <v>646</v>
      </c>
      <c r="G957" t="s">
        <v>362</v>
      </c>
      <c r="H957">
        <v>193</v>
      </c>
      <c r="I957">
        <v>27</v>
      </c>
      <c r="J957" t="s">
        <v>35</v>
      </c>
      <c r="K957" t="s">
        <v>28</v>
      </c>
      <c r="L957" t="s">
        <v>29</v>
      </c>
      <c r="M957" t="s">
        <v>30</v>
      </c>
      <c r="N957">
        <v>0</v>
      </c>
      <c r="O957">
        <v>1</v>
      </c>
      <c r="P957" s="8">
        <f>INT(Delivery_data[[#This Row],[Order Timestamp]])</f>
        <v>45176</v>
      </c>
      <c r="Q957">
        <f ca="1">IF(Delivery_data[[#This Row],[Order Status]]="In Progress", TODAY()-Delivery_data[[#This Row],[Order Date]], "")</f>
        <v>807</v>
      </c>
      <c r="R957">
        <f>IF(Delivery_data[[#This Row],[On Time]]=1,0,1)</f>
        <v>1</v>
      </c>
    </row>
    <row r="958" spans="1:18" x14ac:dyDescent="0.35">
      <c r="A958">
        <v>2048</v>
      </c>
      <c r="B958" t="s">
        <v>1079</v>
      </c>
      <c r="C958" s="1">
        <v>45175.539583333331</v>
      </c>
      <c r="D958" t="s">
        <v>16</v>
      </c>
      <c r="E958" t="s">
        <v>155</v>
      </c>
      <c r="F958" t="s">
        <v>646</v>
      </c>
      <c r="G958" t="s">
        <v>362</v>
      </c>
      <c r="H958">
        <v>232</v>
      </c>
      <c r="I958">
        <v>24</v>
      </c>
      <c r="J958" t="s">
        <v>27</v>
      </c>
      <c r="K958" t="s">
        <v>33</v>
      </c>
      <c r="L958" t="s">
        <v>29</v>
      </c>
      <c r="M958" t="s">
        <v>30</v>
      </c>
      <c r="N958">
        <v>0</v>
      </c>
      <c r="O958">
        <v>0</v>
      </c>
      <c r="P958" s="8">
        <f>INT(Delivery_data[[#This Row],[Order Timestamp]])</f>
        <v>45175</v>
      </c>
      <c r="Q958">
        <f ca="1">IF(Delivery_data[[#This Row],[Order Status]]="In Progress", TODAY()-Delivery_data[[#This Row],[Order Date]], "")</f>
        <v>808</v>
      </c>
      <c r="R958">
        <f>IF(Delivery_data[[#This Row],[On Time]]=1,0,1)</f>
        <v>1</v>
      </c>
    </row>
    <row r="959" spans="1:18" x14ac:dyDescent="0.35">
      <c r="A959">
        <v>2060</v>
      </c>
      <c r="B959" t="s">
        <v>1080</v>
      </c>
      <c r="C959" s="1">
        <v>45177.490277777775</v>
      </c>
      <c r="D959" t="s">
        <v>16</v>
      </c>
      <c r="E959" t="s">
        <v>89</v>
      </c>
      <c r="F959" t="s">
        <v>646</v>
      </c>
      <c r="G959" t="s">
        <v>233</v>
      </c>
      <c r="H959">
        <v>149</v>
      </c>
      <c r="I959">
        <v>29</v>
      </c>
      <c r="J959" t="s">
        <v>20</v>
      </c>
      <c r="K959" t="s">
        <v>38</v>
      </c>
      <c r="L959" t="s">
        <v>29</v>
      </c>
      <c r="M959" t="s">
        <v>39</v>
      </c>
      <c r="N959">
        <v>0</v>
      </c>
      <c r="O959">
        <v>0</v>
      </c>
      <c r="P959" s="8">
        <f>INT(Delivery_data[[#This Row],[Order Timestamp]])</f>
        <v>45177</v>
      </c>
      <c r="Q959">
        <f ca="1">IF(Delivery_data[[#This Row],[Order Status]]="In Progress", TODAY()-Delivery_data[[#This Row],[Order Date]], "")</f>
        <v>806</v>
      </c>
      <c r="R959">
        <f>IF(Delivery_data[[#This Row],[On Time]]=1,0,1)</f>
        <v>1</v>
      </c>
    </row>
    <row r="960" spans="1:18" x14ac:dyDescent="0.35">
      <c r="A960">
        <v>2062</v>
      </c>
      <c r="B960" t="s">
        <v>1081</v>
      </c>
      <c r="C960" s="1">
        <v>45176.564583333333</v>
      </c>
      <c r="D960" t="s">
        <v>16</v>
      </c>
      <c r="E960" t="s">
        <v>320</v>
      </c>
      <c r="F960" t="s">
        <v>646</v>
      </c>
      <c r="G960" t="s">
        <v>233</v>
      </c>
      <c r="H960">
        <v>154</v>
      </c>
      <c r="I960">
        <v>4</v>
      </c>
      <c r="J960" t="s">
        <v>20</v>
      </c>
      <c r="K960" t="s">
        <v>33</v>
      </c>
      <c r="L960" t="s">
        <v>29</v>
      </c>
      <c r="M960" t="s">
        <v>30</v>
      </c>
      <c r="N960">
        <v>0</v>
      </c>
      <c r="O960">
        <v>0</v>
      </c>
      <c r="P960" s="8">
        <f>INT(Delivery_data[[#This Row],[Order Timestamp]])</f>
        <v>45176</v>
      </c>
      <c r="Q960">
        <f ca="1">IF(Delivery_data[[#This Row],[Order Status]]="In Progress", TODAY()-Delivery_data[[#This Row],[Order Date]], "")</f>
        <v>807</v>
      </c>
      <c r="R960">
        <f>IF(Delivery_data[[#This Row],[On Time]]=1,0,1)</f>
        <v>1</v>
      </c>
    </row>
    <row r="961" spans="1:18" x14ac:dyDescent="0.35">
      <c r="A961">
        <v>2072</v>
      </c>
      <c r="B961" t="s">
        <v>1082</v>
      </c>
      <c r="C961" s="1">
        <v>45173.37222222222</v>
      </c>
      <c r="D961" t="s">
        <v>25</v>
      </c>
      <c r="E961" t="s">
        <v>260</v>
      </c>
      <c r="F961" t="s">
        <v>646</v>
      </c>
      <c r="G961" t="s">
        <v>19</v>
      </c>
      <c r="H961">
        <v>170</v>
      </c>
      <c r="I961">
        <v>14</v>
      </c>
      <c r="J961" t="s">
        <v>27</v>
      </c>
      <c r="K961" t="s">
        <v>21</v>
      </c>
      <c r="L961" t="s">
        <v>29</v>
      </c>
      <c r="M961" t="s">
        <v>23</v>
      </c>
      <c r="N961">
        <v>0</v>
      </c>
      <c r="O961">
        <v>0</v>
      </c>
      <c r="P961" s="8">
        <f>INT(Delivery_data[[#This Row],[Order Timestamp]])</f>
        <v>45173</v>
      </c>
      <c r="Q961" t="str">
        <f ca="1">IF(Delivery_data[[#This Row],[Order Status]]="In Progress", TODAY()-Delivery_data[[#This Row],[Order Date]], "")</f>
        <v/>
      </c>
      <c r="R961">
        <f>IF(Delivery_data[[#This Row],[On Time]]=1,0,1)</f>
        <v>1</v>
      </c>
    </row>
    <row r="962" spans="1:18" x14ac:dyDescent="0.35">
      <c r="A962">
        <v>2098</v>
      </c>
      <c r="B962" t="s">
        <v>1083</v>
      </c>
      <c r="C962" s="1">
        <v>45173.425000000003</v>
      </c>
      <c r="D962" t="s">
        <v>25</v>
      </c>
      <c r="E962" t="s">
        <v>152</v>
      </c>
      <c r="F962" t="s">
        <v>646</v>
      </c>
      <c r="G962" t="s">
        <v>233</v>
      </c>
      <c r="H962">
        <v>180</v>
      </c>
      <c r="I962">
        <v>26</v>
      </c>
      <c r="J962" t="s">
        <v>35</v>
      </c>
      <c r="K962" t="s">
        <v>51</v>
      </c>
      <c r="L962" t="s">
        <v>29</v>
      </c>
      <c r="M962" t="s">
        <v>23</v>
      </c>
      <c r="N962">
        <v>0</v>
      </c>
      <c r="O962">
        <v>1</v>
      </c>
      <c r="P962" s="8">
        <f>INT(Delivery_data[[#This Row],[Order Timestamp]])</f>
        <v>45173</v>
      </c>
      <c r="Q962" t="str">
        <f ca="1">IF(Delivery_data[[#This Row],[Order Status]]="In Progress", TODAY()-Delivery_data[[#This Row],[Order Date]], "")</f>
        <v/>
      </c>
      <c r="R962">
        <f>IF(Delivery_data[[#This Row],[On Time]]=1,0,1)</f>
        <v>1</v>
      </c>
    </row>
    <row r="963" spans="1:18" x14ac:dyDescent="0.35">
      <c r="A963">
        <v>2105</v>
      </c>
      <c r="B963" t="s">
        <v>1084</v>
      </c>
      <c r="C963" s="1">
        <v>45176.469444444447</v>
      </c>
      <c r="D963" t="s">
        <v>25</v>
      </c>
      <c r="E963" t="s">
        <v>204</v>
      </c>
      <c r="F963" t="s">
        <v>646</v>
      </c>
      <c r="G963" t="s">
        <v>463</v>
      </c>
      <c r="H963">
        <v>162</v>
      </c>
      <c r="I963">
        <v>9</v>
      </c>
      <c r="J963" t="s">
        <v>27</v>
      </c>
      <c r="K963" t="s">
        <v>51</v>
      </c>
      <c r="L963" t="s">
        <v>29</v>
      </c>
      <c r="M963" t="s">
        <v>39</v>
      </c>
      <c r="N963">
        <v>0</v>
      </c>
      <c r="O963">
        <v>0</v>
      </c>
      <c r="P963" s="8">
        <f>INT(Delivery_data[[#This Row],[Order Timestamp]])</f>
        <v>45176</v>
      </c>
      <c r="Q963" t="str">
        <f ca="1">IF(Delivery_data[[#This Row],[Order Status]]="In Progress", TODAY()-Delivery_data[[#This Row],[Order Date]], "")</f>
        <v/>
      </c>
      <c r="R963">
        <f>IF(Delivery_data[[#This Row],[On Time]]=1,0,1)</f>
        <v>1</v>
      </c>
    </row>
    <row r="964" spans="1:18" x14ac:dyDescent="0.35">
      <c r="A964">
        <v>2106</v>
      </c>
      <c r="B964" t="s">
        <v>1085</v>
      </c>
      <c r="C964" s="1">
        <v>45171.644444444442</v>
      </c>
      <c r="D964" t="s">
        <v>16</v>
      </c>
      <c r="E964" t="s">
        <v>230</v>
      </c>
      <c r="F964" t="s">
        <v>646</v>
      </c>
      <c r="G964" t="s">
        <v>19</v>
      </c>
      <c r="H964">
        <v>151</v>
      </c>
      <c r="I964">
        <v>3</v>
      </c>
      <c r="J964" t="s">
        <v>20</v>
      </c>
      <c r="K964" t="s">
        <v>21</v>
      </c>
      <c r="L964" t="s">
        <v>29</v>
      </c>
      <c r="M964" t="s">
        <v>30</v>
      </c>
      <c r="N964">
        <v>0</v>
      </c>
      <c r="O964">
        <v>0</v>
      </c>
      <c r="P964" s="8">
        <f>INT(Delivery_data[[#This Row],[Order Timestamp]])</f>
        <v>45171</v>
      </c>
      <c r="Q964">
        <f ca="1">IF(Delivery_data[[#This Row],[Order Status]]="In Progress", TODAY()-Delivery_data[[#This Row],[Order Date]], "")</f>
        <v>812</v>
      </c>
      <c r="R964">
        <f>IF(Delivery_data[[#This Row],[On Time]]=1,0,1)</f>
        <v>1</v>
      </c>
    </row>
    <row r="965" spans="1:18" x14ac:dyDescent="0.35">
      <c r="A965">
        <v>2129</v>
      </c>
      <c r="B965" t="s">
        <v>1086</v>
      </c>
      <c r="C965" s="1">
        <v>45172.587500000001</v>
      </c>
      <c r="D965" t="s">
        <v>16</v>
      </c>
      <c r="E965" t="s">
        <v>222</v>
      </c>
      <c r="F965" t="s">
        <v>646</v>
      </c>
      <c r="G965" t="s">
        <v>362</v>
      </c>
      <c r="H965">
        <v>224</v>
      </c>
      <c r="I965">
        <v>27</v>
      </c>
      <c r="J965" t="s">
        <v>27</v>
      </c>
      <c r="K965" t="s">
        <v>21</v>
      </c>
      <c r="L965" t="s">
        <v>29</v>
      </c>
      <c r="M965" t="s">
        <v>23</v>
      </c>
      <c r="N965">
        <v>0</v>
      </c>
      <c r="O965">
        <v>0</v>
      </c>
      <c r="P965" s="8">
        <f>INT(Delivery_data[[#This Row],[Order Timestamp]])</f>
        <v>45172</v>
      </c>
      <c r="Q965">
        <f ca="1">IF(Delivery_data[[#This Row],[Order Status]]="In Progress", TODAY()-Delivery_data[[#This Row],[Order Date]], "")</f>
        <v>811</v>
      </c>
      <c r="R965">
        <f>IF(Delivery_data[[#This Row],[On Time]]=1,0,1)</f>
        <v>1</v>
      </c>
    </row>
    <row r="966" spans="1:18" x14ac:dyDescent="0.35">
      <c r="A966">
        <v>2130</v>
      </c>
      <c r="B966" t="s">
        <v>1087</v>
      </c>
      <c r="C966" s="1">
        <v>45176.502083333333</v>
      </c>
      <c r="D966" t="s">
        <v>16</v>
      </c>
      <c r="E966" t="s">
        <v>56</v>
      </c>
      <c r="F966" t="s">
        <v>646</v>
      </c>
      <c r="G966" t="s">
        <v>557</v>
      </c>
      <c r="H966">
        <v>167</v>
      </c>
      <c r="I966">
        <v>22</v>
      </c>
      <c r="J966" t="s">
        <v>27</v>
      </c>
      <c r="K966" t="s">
        <v>33</v>
      </c>
      <c r="L966" t="s">
        <v>29</v>
      </c>
      <c r="M966" t="s">
        <v>39</v>
      </c>
      <c r="N966">
        <v>0</v>
      </c>
      <c r="O966">
        <v>0</v>
      </c>
      <c r="P966" s="8">
        <f>INT(Delivery_data[[#This Row],[Order Timestamp]])</f>
        <v>45176</v>
      </c>
      <c r="Q966">
        <f ca="1">IF(Delivery_data[[#This Row],[Order Status]]="In Progress", TODAY()-Delivery_data[[#This Row],[Order Date]], "")</f>
        <v>807</v>
      </c>
      <c r="R966">
        <f>IF(Delivery_data[[#This Row],[On Time]]=1,0,1)</f>
        <v>1</v>
      </c>
    </row>
    <row r="967" spans="1:18" x14ac:dyDescent="0.35">
      <c r="A967">
        <v>2142</v>
      </c>
      <c r="B967" t="s">
        <v>1088</v>
      </c>
      <c r="C967" s="1">
        <v>45170.378472222219</v>
      </c>
      <c r="D967" t="s">
        <v>25</v>
      </c>
      <c r="E967" t="s">
        <v>121</v>
      </c>
      <c r="F967" t="s">
        <v>646</v>
      </c>
      <c r="G967" t="s">
        <v>233</v>
      </c>
      <c r="H967">
        <v>165</v>
      </c>
      <c r="I967">
        <v>15</v>
      </c>
      <c r="J967" t="s">
        <v>20</v>
      </c>
      <c r="K967" t="s">
        <v>33</v>
      </c>
      <c r="L967" t="s">
        <v>29</v>
      </c>
      <c r="M967" t="s">
        <v>39</v>
      </c>
      <c r="N967">
        <v>0</v>
      </c>
      <c r="O967">
        <v>0</v>
      </c>
      <c r="P967" s="8">
        <f>INT(Delivery_data[[#This Row],[Order Timestamp]])</f>
        <v>45170</v>
      </c>
      <c r="Q967" t="str">
        <f ca="1">IF(Delivery_data[[#This Row],[Order Status]]="In Progress", TODAY()-Delivery_data[[#This Row],[Order Date]], "")</f>
        <v/>
      </c>
      <c r="R967">
        <f>IF(Delivery_data[[#This Row],[On Time]]=1,0,1)</f>
        <v>1</v>
      </c>
    </row>
    <row r="968" spans="1:18" x14ac:dyDescent="0.35">
      <c r="A968">
        <v>2147</v>
      </c>
      <c r="B968" t="s">
        <v>1089</v>
      </c>
      <c r="C968" s="1">
        <v>45170.662499999999</v>
      </c>
      <c r="D968" t="s">
        <v>25</v>
      </c>
      <c r="E968" t="s">
        <v>62</v>
      </c>
      <c r="F968" t="s">
        <v>646</v>
      </c>
      <c r="G968" t="s">
        <v>362</v>
      </c>
      <c r="H968">
        <v>204</v>
      </c>
      <c r="I968">
        <v>29</v>
      </c>
      <c r="J968" t="s">
        <v>35</v>
      </c>
      <c r="K968" t="s">
        <v>38</v>
      </c>
      <c r="L968" t="s">
        <v>29</v>
      </c>
      <c r="M968" t="s">
        <v>23</v>
      </c>
      <c r="N968">
        <v>0</v>
      </c>
      <c r="O968">
        <v>1</v>
      </c>
      <c r="P968" s="8">
        <f>INT(Delivery_data[[#This Row],[Order Timestamp]])</f>
        <v>45170</v>
      </c>
      <c r="Q968" t="str">
        <f ca="1">IF(Delivery_data[[#This Row],[Order Status]]="In Progress", TODAY()-Delivery_data[[#This Row],[Order Date]], "")</f>
        <v/>
      </c>
      <c r="R968">
        <f>IF(Delivery_data[[#This Row],[On Time]]=1,0,1)</f>
        <v>1</v>
      </c>
    </row>
    <row r="969" spans="1:18" x14ac:dyDescent="0.35">
      <c r="A969">
        <v>2151</v>
      </c>
      <c r="B969" t="s">
        <v>1090</v>
      </c>
      <c r="C969" s="1">
        <v>45175.549305555556</v>
      </c>
      <c r="D969" t="s">
        <v>16</v>
      </c>
      <c r="E969" t="s">
        <v>184</v>
      </c>
      <c r="F969" t="s">
        <v>646</v>
      </c>
      <c r="G969" t="s">
        <v>557</v>
      </c>
      <c r="H969">
        <v>114</v>
      </c>
      <c r="I969">
        <v>5</v>
      </c>
      <c r="J969" t="s">
        <v>27</v>
      </c>
      <c r="K969" t="s">
        <v>21</v>
      </c>
      <c r="L969" t="s">
        <v>29</v>
      </c>
      <c r="M969" t="s">
        <v>39</v>
      </c>
      <c r="N969">
        <v>0</v>
      </c>
      <c r="O969">
        <v>0</v>
      </c>
      <c r="P969" s="8">
        <f>INT(Delivery_data[[#This Row],[Order Timestamp]])</f>
        <v>45175</v>
      </c>
      <c r="Q969">
        <f ca="1">IF(Delivery_data[[#This Row],[Order Status]]="In Progress", TODAY()-Delivery_data[[#This Row],[Order Date]], "")</f>
        <v>808</v>
      </c>
      <c r="R969">
        <f>IF(Delivery_data[[#This Row],[On Time]]=1,0,1)</f>
        <v>1</v>
      </c>
    </row>
    <row r="970" spans="1:18" x14ac:dyDescent="0.35">
      <c r="A970">
        <v>2156</v>
      </c>
      <c r="B970" t="s">
        <v>1091</v>
      </c>
      <c r="C970" s="1">
        <v>45170.423611111109</v>
      </c>
      <c r="D970" t="s">
        <v>16</v>
      </c>
      <c r="E970" t="s">
        <v>46</v>
      </c>
      <c r="F970" t="s">
        <v>646</v>
      </c>
      <c r="G970" t="s">
        <v>19</v>
      </c>
      <c r="H970">
        <v>227</v>
      </c>
      <c r="I970">
        <v>1</v>
      </c>
      <c r="J970" t="s">
        <v>35</v>
      </c>
      <c r="K970" t="s">
        <v>33</v>
      </c>
      <c r="L970" t="s">
        <v>29</v>
      </c>
      <c r="M970" t="s">
        <v>30</v>
      </c>
      <c r="N970">
        <v>0</v>
      </c>
      <c r="O970">
        <v>1</v>
      </c>
      <c r="P970" s="8">
        <f>INT(Delivery_data[[#This Row],[Order Timestamp]])</f>
        <v>45170</v>
      </c>
      <c r="Q970">
        <f ca="1">IF(Delivery_data[[#This Row],[Order Status]]="In Progress", TODAY()-Delivery_data[[#This Row],[Order Date]], "")</f>
        <v>813</v>
      </c>
      <c r="R970">
        <f>IF(Delivery_data[[#This Row],[On Time]]=1,0,1)</f>
        <v>1</v>
      </c>
    </row>
    <row r="971" spans="1:18" x14ac:dyDescent="0.35">
      <c r="A971">
        <v>2159</v>
      </c>
      <c r="B971" t="s">
        <v>1092</v>
      </c>
      <c r="C971" s="1">
        <v>45176.59097222222</v>
      </c>
      <c r="D971" t="s">
        <v>16</v>
      </c>
      <c r="E971" t="s">
        <v>155</v>
      </c>
      <c r="F971" t="s">
        <v>646</v>
      </c>
      <c r="G971" t="s">
        <v>362</v>
      </c>
      <c r="H971">
        <v>139</v>
      </c>
      <c r="I971">
        <v>26</v>
      </c>
      <c r="J971" t="s">
        <v>20</v>
      </c>
      <c r="K971" t="s">
        <v>28</v>
      </c>
      <c r="L971" t="s">
        <v>29</v>
      </c>
      <c r="M971" t="s">
        <v>30</v>
      </c>
      <c r="N971">
        <v>0</v>
      </c>
      <c r="O971">
        <v>0</v>
      </c>
      <c r="P971" s="8">
        <f>INT(Delivery_data[[#This Row],[Order Timestamp]])</f>
        <v>45176</v>
      </c>
      <c r="Q971">
        <f ca="1">IF(Delivery_data[[#This Row],[Order Status]]="In Progress", TODAY()-Delivery_data[[#This Row],[Order Date]], "")</f>
        <v>807</v>
      </c>
      <c r="R971">
        <f>IF(Delivery_data[[#This Row],[On Time]]=1,0,1)</f>
        <v>1</v>
      </c>
    </row>
    <row r="972" spans="1:18" x14ac:dyDescent="0.35">
      <c r="A972">
        <v>2186</v>
      </c>
      <c r="B972" t="s">
        <v>1093</v>
      </c>
      <c r="C972" s="1">
        <v>45174.42291666667</v>
      </c>
      <c r="D972" t="s">
        <v>25</v>
      </c>
      <c r="E972" t="s">
        <v>216</v>
      </c>
      <c r="F972" t="s">
        <v>646</v>
      </c>
      <c r="G972" t="s">
        <v>19</v>
      </c>
      <c r="H972">
        <v>105</v>
      </c>
      <c r="I972">
        <v>14</v>
      </c>
      <c r="J972" t="s">
        <v>35</v>
      </c>
      <c r="K972" t="s">
        <v>21</v>
      </c>
      <c r="L972" t="s">
        <v>29</v>
      </c>
      <c r="M972" t="s">
        <v>30</v>
      </c>
      <c r="N972">
        <v>0</v>
      </c>
      <c r="O972">
        <v>1</v>
      </c>
      <c r="P972" s="8">
        <f>INT(Delivery_data[[#This Row],[Order Timestamp]])</f>
        <v>45174</v>
      </c>
      <c r="Q972" t="str">
        <f ca="1">IF(Delivery_data[[#This Row],[Order Status]]="In Progress", TODAY()-Delivery_data[[#This Row],[Order Date]], "")</f>
        <v/>
      </c>
      <c r="R972">
        <f>IF(Delivery_data[[#This Row],[On Time]]=1,0,1)</f>
        <v>1</v>
      </c>
    </row>
    <row r="973" spans="1:18" x14ac:dyDescent="0.35">
      <c r="A973">
        <v>2188</v>
      </c>
      <c r="B973" t="s">
        <v>1094</v>
      </c>
      <c r="C973" s="1">
        <v>45170.592361111114</v>
      </c>
      <c r="D973" t="s">
        <v>25</v>
      </c>
      <c r="E973" t="s">
        <v>66</v>
      </c>
      <c r="F973" t="s">
        <v>646</v>
      </c>
      <c r="G973" t="s">
        <v>233</v>
      </c>
      <c r="H973">
        <v>126</v>
      </c>
      <c r="I973">
        <v>29</v>
      </c>
      <c r="J973" t="s">
        <v>20</v>
      </c>
      <c r="K973" t="s">
        <v>51</v>
      </c>
      <c r="L973" t="s">
        <v>29</v>
      </c>
      <c r="M973" t="s">
        <v>30</v>
      </c>
      <c r="N973">
        <v>0</v>
      </c>
      <c r="O973">
        <v>0</v>
      </c>
      <c r="P973" s="8">
        <f>INT(Delivery_data[[#This Row],[Order Timestamp]])</f>
        <v>45170</v>
      </c>
      <c r="Q973" t="str">
        <f ca="1">IF(Delivery_data[[#This Row],[Order Status]]="In Progress", TODAY()-Delivery_data[[#This Row],[Order Date]], "")</f>
        <v/>
      </c>
      <c r="R973">
        <f>IF(Delivery_data[[#This Row],[On Time]]=1,0,1)</f>
        <v>1</v>
      </c>
    </row>
    <row r="974" spans="1:18" x14ac:dyDescent="0.35">
      <c r="A974">
        <v>2201</v>
      </c>
      <c r="B974" t="s">
        <v>1095</v>
      </c>
      <c r="C974" s="1">
        <v>45171.419444444444</v>
      </c>
      <c r="D974" t="s">
        <v>16</v>
      </c>
      <c r="E974" t="s">
        <v>165</v>
      </c>
      <c r="F974" t="s">
        <v>646</v>
      </c>
      <c r="G974" t="s">
        <v>19</v>
      </c>
      <c r="H974">
        <v>234</v>
      </c>
      <c r="I974">
        <v>3</v>
      </c>
      <c r="J974" t="s">
        <v>20</v>
      </c>
      <c r="K974" t="s">
        <v>51</v>
      </c>
      <c r="L974" t="s">
        <v>29</v>
      </c>
      <c r="M974" t="s">
        <v>39</v>
      </c>
      <c r="N974">
        <v>0</v>
      </c>
      <c r="O974">
        <v>0</v>
      </c>
      <c r="P974" s="8">
        <f>INT(Delivery_data[[#This Row],[Order Timestamp]])</f>
        <v>45171</v>
      </c>
      <c r="Q974">
        <f ca="1">IF(Delivery_data[[#This Row],[Order Status]]="In Progress", TODAY()-Delivery_data[[#This Row],[Order Date]], "")</f>
        <v>812</v>
      </c>
      <c r="R974">
        <f>IF(Delivery_data[[#This Row],[On Time]]=1,0,1)</f>
        <v>1</v>
      </c>
    </row>
    <row r="975" spans="1:18" x14ac:dyDescent="0.35">
      <c r="A975">
        <v>2204</v>
      </c>
      <c r="B975" t="s">
        <v>1096</v>
      </c>
      <c r="C975" s="1">
        <v>45174.390972222223</v>
      </c>
      <c r="D975" t="s">
        <v>16</v>
      </c>
      <c r="E975" t="s">
        <v>126</v>
      </c>
      <c r="F975" t="s">
        <v>646</v>
      </c>
      <c r="G975" t="s">
        <v>233</v>
      </c>
      <c r="H975">
        <v>165</v>
      </c>
      <c r="I975">
        <v>2</v>
      </c>
      <c r="J975" t="s">
        <v>20</v>
      </c>
      <c r="K975" t="s">
        <v>51</v>
      </c>
      <c r="L975" t="s">
        <v>29</v>
      </c>
      <c r="M975" t="s">
        <v>30</v>
      </c>
      <c r="N975">
        <v>0</v>
      </c>
      <c r="O975">
        <v>0</v>
      </c>
      <c r="P975" s="8">
        <f>INT(Delivery_data[[#This Row],[Order Timestamp]])</f>
        <v>45174</v>
      </c>
      <c r="Q975">
        <f ca="1">IF(Delivery_data[[#This Row],[Order Status]]="In Progress", TODAY()-Delivery_data[[#This Row],[Order Date]], "")</f>
        <v>809</v>
      </c>
      <c r="R975">
        <f>IF(Delivery_data[[#This Row],[On Time]]=1,0,1)</f>
        <v>1</v>
      </c>
    </row>
    <row r="976" spans="1:18" x14ac:dyDescent="0.35">
      <c r="A976">
        <v>2209</v>
      </c>
      <c r="B976" t="s">
        <v>1097</v>
      </c>
      <c r="C976" s="1">
        <v>45170.539583333331</v>
      </c>
      <c r="D976" t="s">
        <v>25</v>
      </c>
      <c r="E976" t="s">
        <v>117</v>
      </c>
      <c r="F976" t="s">
        <v>646</v>
      </c>
      <c r="G976" t="s">
        <v>233</v>
      </c>
      <c r="H976">
        <v>176</v>
      </c>
      <c r="I976">
        <v>2</v>
      </c>
      <c r="J976" t="s">
        <v>27</v>
      </c>
      <c r="K976" t="s">
        <v>38</v>
      </c>
      <c r="L976" t="s">
        <v>29</v>
      </c>
      <c r="M976" t="s">
        <v>30</v>
      </c>
      <c r="N976">
        <v>0</v>
      </c>
      <c r="O976">
        <v>0</v>
      </c>
      <c r="P976" s="8">
        <f>INT(Delivery_data[[#This Row],[Order Timestamp]])</f>
        <v>45170</v>
      </c>
      <c r="Q976" t="str">
        <f ca="1">IF(Delivery_data[[#This Row],[Order Status]]="In Progress", TODAY()-Delivery_data[[#This Row],[Order Date]], "")</f>
        <v/>
      </c>
      <c r="R976">
        <f>IF(Delivery_data[[#This Row],[On Time]]=1,0,1)</f>
        <v>1</v>
      </c>
    </row>
    <row r="977" spans="1:18" x14ac:dyDescent="0.35">
      <c r="A977">
        <v>2219</v>
      </c>
      <c r="B977" t="s">
        <v>1098</v>
      </c>
      <c r="C977" s="1">
        <v>45176.680555555555</v>
      </c>
      <c r="D977" t="s">
        <v>25</v>
      </c>
      <c r="E977" t="s">
        <v>102</v>
      </c>
      <c r="F977" t="s">
        <v>646</v>
      </c>
      <c r="G977" t="s">
        <v>362</v>
      </c>
      <c r="H977">
        <v>220</v>
      </c>
      <c r="I977">
        <v>22</v>
      </c>
      <c r="J977" t="s">
        <v>20</v>
      </c>
      <c r="K977" t="s">
        <v>51</v>
      </c>
      <c r="L977" t="s">
        <v>29</v>
      </c>
      <c r="M977" t="s">
        <v>39</v>
      </c>
      <c r="N977">
        <v>0</v>
      </c>
      <c r="O977">
        <v>0</v>
      </c>
      <c r="P977" s="8">
        <f>INT(Delivery_data[[#This Row],[Order Timestamp]])</f>
        <v>45176</v>
      </c>
      <c r="Q977" t="str">
        <f ca="1">IF(Delivery_data[[#This Row],[Order Status]]="In Progress", TODAY()-Delivery_data[[#This Row],[Order Date]], "")</f>
        <v/>
      </c>
      <c r="R977">
        <f>IF(Delivery_data[[#This Row],[On Time]]=1,0,1)</f>
        <v>1</v>
      </c>
    </row>
    <row r="978" spans="1:18" x14ac:dyDescent="0.35">
      <c r="A978">
        <v>2220</v>
      </c>
      <c r="B978" t="s">
        <v>1099</v>
      </c>
      <c r="C978" s="1">
        <v>45176.595833333333</v>
      </c>
      <c r="D978" t="s">
        <v>25</v>
      </c>
      <c r="E978" t="s">
        <v>258</v>
      </c>
      <c r="F978" t="s">
        <v>646</v>
      </c>
      <c r="G978" t="s">
        <v>362</v>
      </c>
      <c r="H978">
        <v>219</v>
      </c>
      <c r="I978">
        <v>21</v>
      </c>
      <c r="J978" t="s">
        <v>35</v>
      </c>
      <c r="K978" t="s">
        <v>51</v>
      </c>
      <c r="L978" t="s">
        <v>29</v>
      </c>
      <c r="M978" t="s">
        <v>30</v>
      </c>
      <c r="N978">
        <v>0</v>
      </c>
      <c r="O978">
        <v>1</v>
      </c>
      <c r="P978" s="8">
        <f>INT(Delivery_data[[#This Row],[Order Timestamp]])</f>
        <v>45176</v>
      </c>
      <c r="Q978" t="str">
        <f ca="1">IF(Delivery_data[[#This Row],[Order Status]]="In Progress", TODAY()-Delivery_data[[#This Row],[Order Date]], "")</f>
        <v/>
      </c>
      <c r="R978">
        <f>IF(Delivery_data[[#This Row],[On Time]]=1,0,1)</f>
        <v>1</v>
      </c>
    </row>
    <row r="979" spans="1:18" x14ac:dyDescent="0.35">
      <c r="A979">
        <v>2231</v>
      </c>
      <c r="B979" t="s">
        <v>1100</v>
      </c>
      <c r="C979" s="1">
        <v>45177.531944444447</v>
      </c>
      <c r="D979" t="s">
        <v>16</v>
      </c>
      <c r="E979" t="s">
        <v>64</v>
      </c>
      <c r="F979" t="s">
        <v>646</v>
      </c>
      <c r="G979" t="s">
        <v>233</v>
      </c>
      <c r="H979">
        <v>75</v>
      </c>
      <c r="I979">
        <v>24</v>
      </c>
      <c r="J979" t="s">
        <v>20</v>
      </c>
      <c r="K979" t="s">
        <v>28</v>
      </c>
      <c r="L979" t="s">
        <v>29</v>
      </c>
      <c r="M979" t="s">
        <v>23</v>
      </c>
      <c r="N979">
        <v>0</v>
      </c>
      <c r="O979">
        <v>0</v>
      </c>
      <c r="P979" s="8">
        <f>INT(Delivery_data[[#This Row],[Order Timestamp]])</f>
        <v>45177</v>
      </c>
      <c r="Q979">
        <f ca="1">IF(Delivery_data[[#This Row],[Order Status]]="In Progress", TODAY()-Delivery_data[[#This Row],[Order Date]], "")</f>
        <v>806</v>
      </c>
      <c r="R979">
        <f>IF(Delivery_data[[#This Row],[On Time]]=1,0,1)</f>
        <v>1</v>
      </c>
    </row>
    <row r="980" spans="1:18" x14ac:dyDescent="0.35">
      <c r="A980">
        <v>2233</v>
      </c>
      <c r="B980" t="s">
        <v>1101</v>
      </c>
      <c r="C980" s="1">
        <v>45177.395833333336</v>
      </c>
      <c r="D980" t="s">
        <v>25</v>
      </c>
      <c r="E980" t="s">
        <v>172</v>
      </c>
      <c r="F980" t="s">
        <v>646</v>
      </c>
      <c r="G980" t="s">
        <v>463</v>
      </c>
      <c r="H980">
        <v>82</v>
      </c>
      <c r="I980">
        <v>4</v>
      </c>
      <c r="J980" t="s">
        <v>35</v>
      </c>
      <c r="K980" t="s">
        <v>21</v>
      </c>
      <c r="L980" t="s">
        <v>29</v>
      </c>
      <c r="M980" t="s">
        <v>23</v>
      </c>
      <c r="N980">
        <v>0</v>
      </c>
      <c r="O980">
        <v>1</v>
      </c>
      <c r="P980" s="8">
        <f>INT(Delivery_data[[#This Row],[Order Timestamp]])</f>
        <v>45177</v>
      </c>
      <c r="Q980" t="str">
        <f ca="1">IF(Delivery_data[[#This Row],[Order Status]]="In Progress", TODAY()-Delivery_data[[#This Row],[Order Date]], "")</f>
        <v/>
      </c>
      <c r="R980">
        <f>IF(Delivery_data[[#This Row],[On Time]]=1,0,1)</f>
        <v>1</v>
      </c>
    </row>
    <row r="981" spans="1:18" x14ac:dyDescent="0.35">
      <c r="A981">
        <v>2243</v>
      </c>
      <c r="B981" t="s">
        <v>1102</v>
      </c>
      <c r="C981" s="1">
        <v>45173.681250000001</v>
      </c>
      <c r="D981" t="s">
        <v>25</v>
      </c>
      <c r="E981" t="s">
        <v>161</v>
      </c>
      <c r="F981" t="s">
        <v>646</v>
      </c>
      <c r="G981" t="s">
        <v>19</v>
      </c>
      <c r="H981">
        <v>131</v>
      </c>
      <c r="I981">
        <v>26</v>
      </c>
      <c r="J981" t="s">
        <v>20</v>
      </c>
      <c r="K981" t="s">
        <v>28</v>
      </c>
      <c r="L981" t="s">
        <v>29</v>
      </c>
      <c r="M981" t="s">
        <v>39</v>
      </c>
      <c r="N981">
        <v>0</v>
      </c>
      <c r="O981">
        <v>0</v>
      </c>
      <c r="P981" s="8">
        <f>INT(Delivery_data[[#This Row],[Order Timestamp]])</f>
        <v>45173</v>
      </c>
      <c r="Q981" t="str">
        <f ca="1">IF(Delivery_data[[#This Row],[Order Status]]="In Progress", TODAY()-Delivery_data[[#This Row],[Order Date]], "")</f>
        <v/>
      </c>
      <c r="R981">
        <f>IF(Delivery_data[[#This Row],[On Time]]=1,0,1)</f>
        <v>1</v>
      </c>
    </row>
    <row r="982" spans="1:18" x14ac:dyDescent="0.35">
      <c r="A982">
        <v>2245</v>
      </c>
      <c r="B982" t="s">
        <v>1103</v>
      </c>
      <c r="C982" s="1">
        <v>45175.375</v>
      </c>
      <c r="D982" t="s">
        <v>16</v>
      </c>
      <c r="E982" t="s">
        <v>102</v>
      </c>
      <c r="F982" t="s">
        <v>646</v>
      </c>
      <c r="G982" t="s">
        <v>463</v>
      </c>
      <c r="H982">
        <v>171</v>
      </c>
      <c r="I982">
        <v>23</v>
      </c>
      <c r="J982" t="s">
        <v>20</v>
      </c>
      <c r="K982" t="s">
        <v>33</v>
      </c>
      <c r="L982" t="s">
        <v>29</v>
      </c>
      <c r="M982" t="s">
        <v>39</v>
      </c>
      <c r="N982">
        <v>0</v>
      </c>
      <c r="O982">
        <v>0</v>
      </c>
      <c r="P982" s="8">
        <f>INT(Delivery_data[[#This Row],[Order Timestamp]])</f>
        <v>45175</v>
      </c>
      <c r="Q982">
        <f ca="1">IF(Delivery_data[[#This Row],[Order Status]]="In Progress", TODAY()-Delivery_data[[#This Row],[Order Date]], "")</f>
        <v>808</v>
      </c>
      <c r="R982">
        <f>IF(Delivery_data[[#This Row],[On Time]]=1,0,1)</f>
        <v>1</v>
      </c>
    </row>
    <row r="983" spans="1:18" x14ac:dyDescent="0.35">
      <c r="A983">
        <v>2257</v>
      </c>
      <c r="B983" t="s">
        <v>1104</v>
      </c>
      <c r="C983" s="1">
        <v>45177.467361111114</v>
      </c>
      <c r="D983" t="s">
        <v>25</v>
      </c>
      <c r="E983" t="s">
        <v>32</v>
      </c>
      <c r="F983" t="s">
        <v>646</v>
      </c>
      <c r="G983" t="s">
        <v>362</v>
      </c>
      <c r="H983">
        <v>181</v>
      </c>
      <c r="I983">
        <v>8</v>
      </c>
      <c r="J983" t="s">
        <v>20</v>
      </c>
      <c r="K983" t="s">
        <v>51</v>
      </c>
      <c r="L983" t="s">
        <v>29</v>
      </c>
      <c r="M983" t="s">
        <v>30</v>
      </c>
      <c r="N983">
        <v>0</v>
      </c>
      <c r="O983">
        <v>0</v>
      </c>
      <c r="P983" s="8">
        <f>INT(Delivery_data[[#This Row],[Order Timestamp]])</f>
        <v>45177</v>
      </c>
      <c r="Q983" t="str">
        <f ca="1">IF(Delivery_data[[#This Row],[Order Status]]="In Progress", TODAY()-Delivery_data[[#This Row],[Order Date]], "")</f>
        <v/>
      </c>
      <c r="R983">
        <f>IF(Delivery_data[[#This Row],[On Time]]=1,0,1)</f>
        <v>1</v>
      </c>
    </row>
    <row r="984" spans="1:18" x14ac:dyDescent="0.35">
      <c r="A984">
        <v>2280</v>
      </c>
      <c r="B984" t="s">
        <v>1105</v>
      </c>
      <c r="C984" s="1">
        <v>45173.695138888892</v>
      </c>
      <c r="D984" t="s">
        <v>16</v>
      </c>
      <c r="E984" t="s">
        <v>161</v>
      </c>
      <c r="F984" t="s">
        <v>646</v>
      </c>
      <c r="G984" t="s">
        <v>463</v>
      </c>
      <c r="H984">
        <v>163</v>
      </c>
      <c r="I984">
        <v>19</v>
      </c>
      <c r="J984" t="s">
        <v>27</v>
      </c>
      <c r="K984" t="s">
        <v>38</v>
      </c>
      <c r="L984" t="s">
        <v>29</v>
      </c>
      <c r="M984" t="s">
        <v>23</v>
      </c>
      <c r="N984">
        <v>0</v>
      </c>
      <c r="O984">
        <v>0</v>
      </c>
      <c r="P984" s="8">
        <f>INT(Delivery_data[[#This Row],[Order Timestamp]])</f>
        <v>45173</v>
      </c>
      <c r="Q984">
        <f ca="1">IF(Delivery_data[[#This Row],[Order Status]]="In Progress", TODAY()-Delivery_data[[#This Row],[Order Date]], "")</f>
        <v>810</v>
      </c>
      <c r="R984">
        <f>IF(Delivery_data[[#This Row],[On Time]]=1,0,1)</f>
        <v>1</v>
      </c>
    </row>
    <row r="985" spans="1:18" x14ac:dyDescent="0.35">
      <c r="A985">
        <v>2290</v>
      </c>
      <c r="B985" t="s">
        <v>1106</v>
      </c>
      <c r="C985" s="1">
        <v>45173.555555555555</v>
      </c>
      <c r="D985" t="s">
        <v>16</v>
      </c>
      <c r="E985" t="s">
        <v>56</v>
      </c>
      <c r="F985" t="s">
        <v>646</v>
      </c>
      <c r="G985" t="s">
        <v>557</v>
      </c>
      <c r="H985">
        <v>189</v>
      </c>
      <c r="I985">
        <v>24</v>
      </c>
      <c r="J985" t="s">
        <v>35</v>
      </c>
      <c r="K985" t="s">
        <v>38</v>
      </c>
      <c r="L985" t="s">
        <v>29</v>
      </c>
      <c r="M985" t="s">
        <v>23</v>
      </c>
      <c r="N985">
        <v>0</v>
      </c>
      <c r="O985">
        <v>1</v>
      </c>
      <c r="P985" s="8">
        <f>INT(Delivery_data[[#This Row],[Order Timestamp]])</f>
        <v>45173</v>
      </c>
      <c r="Q985">
        <f ca="1">IF(Delivery_data[[#This Row],[Order Status]]="In Progress", TODAY()-Delivery_data[[#This Row],[Order Date]], "")</f>
        <v>810</v>
      </c>
      <c r="R985">
        <f>IF(Delivery_data[[#This Row],[On Time]]=1,0,1)</f>
        <v>1</v>
      </c>
    </row>
    <row r="986" spans="1:18" x14ac:dyDescent="0.35">
      <c r="A986">
        <v>2291</v>
      </c>
      <c r="B986" t="s">
        <v>1107</v>
      </c>
      <c r="C986" s="1">
        <v>45176.529166666667</v>
      </c>
      <c r="D986" t="s">
        <v>16</v>
      </c>
      <c r="E986" t="s">
        <v>70</v>
      </c>
      <c r="F986" t="s">
        <v>646</v>
      </c>
      <c r="G986" t="s">
        <v>463</v>
      </c>
      <c r="H986">
        <v>95</v>
      </c>
      <c r="I986">
        <v>1</v>
      </c>
      <c r="J986" t="s">
        <v>27</v>
      </c>
      <c r="K986" t="s">
        <v>21</v>
      </c>
      <c r="L986" t="s">
        <v>29</v>
      </c>
      <c r="M986" t="s">
        <v>39</v>
      </c>
      <c r="N986">
        <v>0</v>
      </c>
      <c r="O986">
        <v>0</v>
      </c>
      <c r="P986" s="8">
        <f>INT(Delivery_data[[#This Row],[Order Timestamp]])</f>
        <v>45176</v>
      </c>
      <c r="Q986">
        <f ca="1">IF(Delivery_data[[#This Row],[Order Status]]="In Progress", TODAY()-Delivery_data[[#This Row],[Order Date]], "")</f>
        <v>807</v>
      </c>
      <c r="R986">
        <f>IF(Delivery_data[[#This Row],[On Time]]=1,0,1)</f>
        <v>1</v>
      </c>
    </row>
    <row r="987" spans="1:18" x14ac:dyDescent="0.35">
      <c r="A987">
        <v>2294</v>
      </c>
      <c r="B987" t="s">
        <v>1108</v>
      </c>
      <c r="C987" s="1">
        <v>45174.352777777778</v>
      </c>
      <c r="D987" t="s">
        <v>16</v>
      </c>
      <c r="E987" t="s">
        <v>41</v>
      </c>
      <c r="F987" t="s">
        <v>646</v>
      </c>
      <c r="G987" t="s">
        <v>19</v>
      </c>
      <c r="H987">
        <v>187</v>
      </c>
      <c r="I987">
        <v>17</v>
      </c>
      <c r="J987" t="s">
        <v>27</v>
      </c>
      <c r="K987" t="s">
        <v>28</v>
      </c>
      <c r="L987" t="s">
        <v>29</v>
      </c>
      <c r="M987" t="s">
        <v>39</v>
      </c>
      <c r="N987">
        <v>0</v>
      </c>
      <c r="O987">
        <v>0</v>
      </c>
      <c r="P987" s="8">
        <f>INT(Delivery_data[[#This Row],[Order Timestamp]])</f>
        <v>45174</v>
      </c>
      <c r="Q987">
        <f ca="1">IF(Delivery_data[[#This Row],[Order Status]]="In Progress", TODAY()-Delivery_data[[#This Row],[Order Date]], "")</f>
        <v>809</v>
      </c>
      <c r="R987">
        <f>IF(Delivery_data[[#This Row],[On Time]]=1,0,1)</f>
        <v>1</v>
      </c>
    </row>
    <row r="988" spans="1:18" x14ac:dyDescent="0.35">
      <c r="A988">
        <v>2298</v>
      </c>
      <c r="B988" t="s">
        <v>1109</v>
      </c>
      <c r="C988" s="1">
        <v>45170.604861111111</v>
      </c>
      <c r="D988" t="s">
        <v>16</v>
      </c>
      <c r="E988" t="s">
        <v>541</v>
      </c>
      <c r="F988" t="s">
        <v>646</v>
      </c>
      <c r="G988" t="s">
        <v>19</v>
      </c>
      <c r="H988">
        <v>94</v>
      </c>
      <c r="I988">
        <v>6</v>
      </c>
      <c r="J988" t="s">
        <v>35</v>
      </c>
      <c r="K988" t="s">
        <v>51</v>
      </c>
      <c r="L988" t="s">
        <v>29</v>
      </c>
      <c r="M988" t="s">
        <v>39</v>
      </c>
      <c r="N988">
        <v>0</v>
      </c>
      <c r="O988">
        <v>1</v>
      </c>
      <c r="P988" s="8">
        <f>INT(Delivery_data[[#This Row],[Order Timestamp]])</f>
        <v>45170</v>
      </c>
      <c r="Q988">
        <f ca="1">IF(Delivery_data[[#This Row],[Order Status]]="In Progress", TODAY()-Delivery_data[[#This Row],[Order Date]], "")</f>
        <v>813</v>
      </c>
      <c r="R988">
        <f>IF(Delivery_data[[#This Row],[On Time]]=1,0,1)</f>
        <v>1</v>
      </c>
    </row>
    <row r="989" spans="1:18" x14ac:dyDescent="0.35">
      <c r="A989">
        <v>2305</v>
      </c>
      <c r="B989" t="s">
        <v>1110</v>
      </c>
      <c r="C989" s="1">
        <v>45177.393055555556</v>
      </c>
      <c r="D989" t="s">
        <v>25</v>
      </c>
      <c r="E989" t="s">
        <v>76</v>
      </c>
      <c r="F989" t="s">
        <v>646</v>
      </c>
      <c r="G989" t="s">
        <v>362</v>
      </c>
      <c r="H989">
        <v>152</v>
      </c>
      <c r="I989">
        <v>5</v>
      </c>
      <c r="J989" t="s">
        <v>35</v>
      </c>
      <c r="K989" t="s">
        <v>51</v>
      </c>
      <c r="L989" t="s">
        <v>29</v>
      </c>
      <c r="M989" t="s">
        <v>23</v>
      </c>
      <c r="N989">
        <v>0</v>
      </c>
      <c r="O989">
        <v>1</v>
      </c>
      <c r="P989" s="8">
        <f>INT(Delivery_data[[#This Row],[Order Timestamp]])</f>
        <v>45177</v>
      </c>
      <c r="Q989" t="str">
        <f ca="1">IF(Delivery_data[[#This Row],[Order Status]]="In Progress", TODAY()-Delivery_data[[#This Row],[Order Date]], "")</f>
        <v/>
      </c>
      <c r="R989">
        <f>IF(Delivery_data[[#This Row],[On Time]]=1,0,1)</f>
        <v>1</v>
      </c>
    </row>
    <row r="990" spans="1:18" x14ac:dyDescent="0.35">
      <c r="A990">
        <v>2324</v>
      </c>
      <c r="B990" t="s">
        <v>1111</v>
      </c>
      <c r="C990" s="1">
        <v>45171.636111111111</v>
      </c>
      <c r="D990" t="s">
        <v>16</v>
      </c>
      <c r="E990" t="s">
        <v>216</v>
      </c>
      <c r="F990" t="s">
        <v>646</v>
      </c>
      <c r="G990" t="s">
        <v>557</v>
      </c>
      <c r="H990">
        <v>160</v>
      </c>
      <c r="I990">
        <v>7</v>
      </c>
      <c r="J990" t="s">
        <v>35</v>
      </c>
      <c r="K990" t="s">
        <v>21</v>
      </c>
      <c r="L990" t="s">
        <v>29</v>
      </c>
      <c r="M990" t="s">
        <v>23</v>
      </c>
      <c r="N990">
        <v>0</v>
      </c>
      <c r="O990">
        <v>1</v>
      </c>
      <c r="P990" s="8">
        <f>INT(Delivery_data[[#This Row],[Order Timestamp]])</f>
        <v>45171</v>
      </c>
      <c r="Q990">
        <f ca="1">IF(Delivery_data[[#This Row],[Order Status]]="In Progress", TODAY()-Delivery_data[[#This Row],[Order Date]], "")</f>
        <v>812</v>
      </c>
      <c r="R990">
        <f>IF(Delivery_data[[#This Row],[On Time]]=1,0,1)</f>
        <v>1</v>
      </c>
    </row>
    <row r="991" spans="1:18" x14ac:dyDescent="0.35">
      <c r="A991">
        <v>2327</v>
      </c>
      <c r="B991" t="s">
        <v>1112</v>
      </c>
      <c r="C991" s="1">
        <v>45175.659722222219</v>
      </c>
      <c r="D991" t="s">
        <v>25</v>
      </c>
      <c r="E991" t="s">
        <v>346</v>
      </c>
      <c r="F991" t="s">
        <v>646</v>
      </c>
      <c r="G991" t="s">
        <v>362</v>
      </c>
      <c r="H991">
        <v>102</v>
      </c>
      <c r="I991">
        <v>21</v>
      </c>
      <c r="J991" t="s">
        <v>20</v>
      </c>
      <c r="K991" t="s">
        <v>28</v>
      </c>
      <c r="L991" t="s">
        <v>29</v>
      </c>
      <c r="M991" t="s">
        <v>30</v>
      </c>
      <c r="N991">
        <v>0</v>
      </c>
      <c r="O991">
        <v>0</v>
      </c>
      <c r="P991" s="8">
        <f>INT(Delivery_data[[#This Row],[Order Timestamp]])</f>
        <v>45175</v>
      </c>
      <c r="Q991" t="str">
        <f ca="1">IF(Delivery_data[[#This Row],[Order Status]]="In Progress", TODAY()-Delivery_data[[#This Row],[Order Date]], "")</f>
        <v/>
      </c>
      <c r="R991">
        <f>IF(Delivery_data[[#This Row],[On Time]]=1,0,1)</f>
        <v>1</v>
      </c>
    </row>
    <row r="992" spans="1:18" x14ac:dyDescent="0.35">
      <c r="A992">
        <v>2335</v>
      </c>
      <c r="B992" t="s">
        <v>1113</v>
      </c>
      <c r="C992" s="1">
        <v>45174.648611111108</v>
      </c>
      <c r="D992" t="s">
        <v>25</v>
      </c>
      <c r="E992" t="s">
        <v>94</v>
      </c>
      <c r="F992" t="s">
        <v>646</v>
      </c>
      <c r="G992" t="s">
        <v>557</v>
      </c>
      <c r="H992">
        <v>74</v>
      </c>
      <c r="I992">
        <v>6</v>
      </c>
      <c r="J992" t="s">
        <v>20</v>
      </c>
      <c r="K992" t="s">
        <v>33</v>
      </c>
      <c r="L992" t="s">
        <v>29</v>
      </c>
      <c r="M992" t="s">
        <v>39</v>
      </c>
      <c r="N992">
        <v>0</v>
      </c>
      <c r="O992">
        <v>0</v>
      </c>
      <c r="P992" s="8">
        <f>INT(Delivery_data[[#This Row],[Order Timestamp]])</f>
        <v>45174</v>
      </c>
      <c r="Q992" t="str">
        <f ca="1">IF(Delivery_data[[#This Row],[Order Status]]="In Progress", TODAY()-Delivery_data[[#This Row],[Order Date]], "")</f>
        <v/>
      </c>
      <c r="R992">
        <f>IF(Delivery_data[[#This Row],[On Time]]=1,0,1)</f>
        <v>1</v>
      </c>
    </row>
    <row r="993" spans="1:18" x14ac:dyDescent="0.35">
      <c r="A993">
        <v>2342</v>
      </c>
      <c r="B993" t="s">
        <v>1114</v>
      </c>
      <c r="C993" s="1">
        <v>45171.599305555559</v>
      </c>
      <c r="D993" t="s">
        <v>16</v>
      </c>
      <c r="E993" t="s">
        <v>115</v>
      </c>
      <c r="F993" t="s">
        <v>646</v>
      </c>
      <c r="G993" t="s">
        <v>557</v>
      </c>
      <c r="H993">
        <v>148</v>
      </c>
      <c r="I993">
        <v>17</v>
      </c>
      <c r="J993" t="s">
        <v>27</v>
      </c>
      <c r="K993" t="s">
        <v>51</v>
      </c>
      <c r="L993" t="s">
        <v>29</v>
      </c>
      <c r="M993" t="s">
        <v>23</v>
      </c>
      <c r="N993">
        <v>0</v>
      </c>
      <c r="O993">
        <v>0</v>
      </c>
      <c r="P993" s="8">
        <f>INT(Delivery_data[[#This Row],[Order Timestamp]])</f>
        <v>45171</v>
      </c>
      <c r="Q993">
        <f ca="1">IF(Delivery_data[[#This Row],[Order Status]]="In Progress", TODAY()-Delivery_data[[#This Row],[Order Date]], "")</f>
        <v>812</v>
      </c>
      <c r="R993">
        <f>IF(Delivery_data[[#This Row],[On Time]]=1,0,1)</f>
        <v>1</v>
      </c>
    </row>
    <row r="994" spans="1:18" x14ac:dyDescent="0.35">
      <c r="A994">
        <v>2345</v>
      </c>
      <c r="B994" t="s">
        <v>781</v>
      </c>
      <c r="C994" s="1">
        <v>45170.443055555559</v>
      </c>
      <c r="D994" t="s">
        <v>25</v>
      </c>
      <c r="E994" t="s">
        <v>53</v>
      </c>
      <c r="F994" t="s">
        <v>646</v>
      </c>
      <c r="G994" t="s">
        <v>463</v>
      </c>
      <c r="H994">
        <v>229</v>
      </c>
      <c r="I994">
        <v>9</v>
      </c>
      <c r="J994" t="s">
        <v>20</v>
      </c>
      <c r="K994" t="s">
        <v>21</v>
      </c>
      <c r="L994" t="s">
        <v>29</v>
      </c>
      <c r="M994" t="s">
        <v>39</v>
      </c>
      <c r="N994">
        <v>0</v>
      </c>
      <c r="O994">
        <v>0</v>
      </c>
      <c r="P994" s="8">
        <f>INT(Delivery_data[[#This Row],[Order Timestamp]])</f>
        <v>45170</v>
      </c>
      <c r="Q994" t="str">
        <f ca="1">IF(Delivery_data[[#This Row],[Order Status]]="In Progress", TODAY()-Delivery_data[[#This Row],[Order Date]], "")</f>
        <v/>
      </c>
      <c r="R994">
        <f>IF(Delivery_data[[#This Row],[On Time]]=1,0,1)</f>
        <v>1</v>
      </c>
    </row>
    <row r="995" spans="1:18" x14ac:dyDescent="0.35">
      <c r="A995">
        <v>2355</v>
      </c>
      <c r="B995" t="s">
        <v>1115</v>
      </c>
      <c r="C995" s="1">
        <v>45170.401388888888</v>
      </c>
      <c r="D995" t="s">
        <v>16</v>
      </c>
      <c r="E995" t="s">
        <v>58</v>
      </c>
      <c r="F995" t="s">
        <v>646</v>
      </c>
      <c r="G995" t="s">
        <v>463</v>
      </c>
      <c r="H995">
        <v>141</v>
      </c>
      <c r="I995">
        <v>2</v>
      </c>
      <c r="J995" t="s">
        <v>20</v>
      </c>
      <c r="K995" t="s">
        <v>21</v>
      </c>
      <c r="L995" t="s">
        <v>29</v>
      </c>
      <c r="M995" t="s">
        <v>23</v>
      </c>
      <c r="N995">
        <v>0</v>
      </c>
      <c r="O995">
        <v>0</v>
      </c>
      <c r="P995" s="8">
        <f>INT(Delivery_data[[#This Row],[Order Timestamp]])</f>
        <v>45170</v>
      </c>
      <c r="Q995">
        <f ca="1">IF(Delivery_data[[#This Row],[Order Status]]="In Progress", TODAY()-Delivery_data[[#This Row],[Order Date]], "")</f>
        <v>813</v>
      </c>
      <c r="R995">
        <f>IF(Delivery_data[[#This Row],[On Time]]=1,0,1)</f>
        <v>1</v>
      </c>
    </row>
    <row r="996" spans="1:18" x14ac:dyDescent="0.35">
      <c r="A996">
        <v>2370</v>
      </c>
      <c r="B996" t="s">
        <v>1116</v>
      </c>
      <c r="C996" s="1">
        <v>45172.588888888888</v>
      </c>
      <c r="D996" t="s">
        <v>16</v>
      </c>
      <c r="E996" t="s">
        <v>158</v>
      </c>
      <c r="F996" t="s">
        <v>646</v>
      </c>
      <c r="G996" t="s">
        <v>233</v>
      </c>
      <c r="H996">
        <v>230</v>
      </c>
      <c r="I996">
        <v>12</v>
      </c>
      <c r="J996" t="s">
        <v>27</v>
      </c>
      <c r="K996" t="s">
        <v>38</v>
      </c>
      <c r="L996" t="s">
        <v>29</v>
      </c>
      <c r="M996" t="s">
        <v>39</v>
      </c>
      <c r="N996">
        <v>0</v>
      </c>
      <c r="O996">
        <v>0</v>
      </c>
      <c r="P996" s="8">
        <f>INT(Delivery_data[[#This Row],[Order Timestamp]])</f>
        <v>45172</v>
      </c>
      <c r="Q996">
        <f ca="1">IF(Delivery_data[[#This Row],[Order Status]]="In Progress", TODAY()-Delivery_data[[#This Row],[Order Date]], "")</f>
        <v>811</v>
      </c>
      <c r="R996">
        <f>IF(Delivery_data[[#This Row],[On Time]]=1,0,1)</f>
        <v>1</v>
      </c>
    </row>
    <row r="997" spans="1:18" x14ac:dyDescent="0.35">
      <c r="A997">
        <v>2379</v>
      </c>
      <c r="B997" t="s">
        <v>1117</v>
      </c>
      <c r="C997" s="1">
        <v>45175.446527777778</v>
      </c>
      <c r="D997" t="s">
        <v>25</v>
      </c>
      <c r="E997" t="s">
        <v>172</v>
      </c>
      <c r="F997" t="s">
        <v>646</v>
      </c>
      <c r="G997" t="s">
        <v>233</v>
      </c>
      <c r="H997">
        <v>227</v>
      </c>
      <c r="I997">
        <v>25</v>
      </c>
      <c r="J997" t="s">
        <v>27</v>
      </c>
      <c r="K997" t="s">
        <v>51</v>
      </c>
      <c r="L997" t="s">
        <v>29</v>
      </c>
      <c r="M997" t="s">
        <v>23</v>
      </c>
      <c r="N997">
        <v>0</v>
      </c>
      <c r="O997">
        <v>0</v>
      </c>
      <c r="P997" s="8">
        <f>INT(Delivery_data[[#This Row],[Order Timestamp]])</f>
        <v>45175</v>
      </c>
      <c r="Q997" t="str">
        <f ca="1">IF(Delivery_data[[#This Row],[Order Status]]="In Progress", TODAY()-Delivery_data[[#This Row],[Order Date]], "")</f>
        <v/>
      </c>
      <c r="R997">
        <f>IF(Delivery_data[[#This Row],[On Time]]=1,0,1)</f>
        <v>1</v>
      </c>
    </row>
    <row r="998" spans="1:18" x14ac:dyDescent="0.35">
      <c r="A998">
        <v>2392</v>
      </c>
      <c r="B998" t="s">
        <v>1118</v>
      </c>
      <c r="C998" s="1">
        <v>45174.519444444442</v>
      </c>
      <c r="D998" t="s">
        <v>16</v>
      </c>
      <c r="E998" t="s">
        <v>169</v>
      </c>
      <c r="F998" t="s">
        <v>646</v>
      </c>
      <c r="G998" t="s">
        <v>557</v>
      </c>
      <c r="H998">
        <v>133</v>
      </c>
      <c r="I998">
        <v>3</v>
      </c>
      <c r="J998" t="s">
        <v>20</v>
      </c>
      <c r="K998" t="s">
        <v>33</v>
      </c>
      <c r="L998" t="s">
        <v>29</v>
      </c>
      <c r="M998" t="s">
        <v>30</v>
      </c>
      <c r="N998">
        <v>0</v>
      </c>
      <c r="O998">
        <v>0</v>
      </c>
      <c r="P998" s="8">
        <f>INT(Delivery_data[[#This Row],[Order Timestamp]])</f>
        <v>45174</v>
      </c>
      <c r="Q998">
        <f ca="1">IF(Delivery_data[[#This Row],[Order Status]]="In Progress", TODAY()-Delivery_data[[#This Row],[Order Date]], "")</f>
        <v>809</v>
      </c>
      <c r="R998">
        <f>IF(Delivery_data[[#This Row],[On Time]]=1,0,1)</f>
        <v>1</v>
      </c>
    </row>
    <row r="999" spans="1:18" x14ac:dyDescent="0.35">
      <c r="A999">
        <v>2400</v>
      </c>
      <c r="B999" t="s">
        <v>1119</v>
      </c>
      <c r="C999" s="1">
        <v>45176.675694444442</v>
      </c>
      <c r="D999" t="s">
        <v>25</v>
      </c>
      <c r="E999" t="s">
        <v>80</v>
      </c>
      <c r="F999" t="s">
        <v>646</v>
      </c>
      <c r="G999" t="s">
        <v>362</v>
      </c>
      <c r="H999">
        <v>218</v>
      </c>
      <c r="I999">
        <v>8</v>
      </c>
      <c r="J999" t="s">
        <v>35</v>
      </c>
      <c r="K999" t="s">
        <v>33</v>
      </c>
      <c r="L999" t="s">
        <v>29</v>
      </c>
      <c r="M999" t="s">
        <v>39</v>
      </c>
      <c r="N999">
        <v>0</v>
      </c>
      <c r="O999">
        <v>1</v>
      </c>
      <c r="P999" s="8">
        <f>INT(Delivery_data[[#This Row],[Order Timestamp]])</f>
        <v>45176</v>
      </c>
      <c r="Q999" t="str">
        <f ca="1">IF(Delivery_data[[#This Row],[Order Status]]="In Progress", TODAY()-Delivery_data[[#This Row],[Order Date]], "")</f>
        <v/>
      </c>
      <c r="R999">
        <f>IF(Delivery_data[[#This Row],[On Time]]=1,0,1)</f>
        <v>1</v>
      </c>
    </row>
    <row r="1000" spans="1:18" x14ac:dyDescent="0.35">
      <c r="A1000">
        <v>2401</v>
      </c>
      <c r="B1000" t="s">
        <v>1120</v>
      </c>
      <c r="C1000" s="1">
        <v>45171.413194444445</v>
      </c>
      <c r="D1000" t="s">
        <v>16</v>
      </c>
      <c r="E1000" t="s">
        <v>91</v>
      </c>
      <c r="F1000" t="s">
        <v>646</v>
      </c>
      <c r="G1000" t="s">
        <v>463</v>
      </c>
      <c r="H1000">
        <v>124</v>
      </c>
      <c r="I1000">
        <v>27</v>
      </c>
      <c r="J1000" t="s">
        <v>27</v>
      </c>
      <c r="K1000" t="s">
        <v>28</v>
      </c>
      <c r="L1000" t="s">
        <v>29</v>
      </c>
      <c r="M1000" t="s">
        <v>23</v>
      </c>
      <c r="N1000">
        <v>0</v>
      </c>
      <c r="O1000">
        <v>0</v>
      </c>
      <c r="P1000" s="8">
        <f>INT(Delivery_data[[#This Row],[Order Timestamp]])</f>
        <v>45171</v>
      </c>
      <c r="Q1000">
        <f ca="1">IF(Delivery_data[[#This Row],[Order Status]]="In Progress", TODAY()-Delivery_data[[#This Row],[Order Date]], "")</f>
        <v>812</v>
      </c>
      <c r="R1000">
        <f>IF(Delivery_data[[#This Row],[On Time]]=1,0,1)</f>
        <v>1</v>
      </c>
    </row>
    <row r="1001" spans="1:18" x14ac:dyDescent="0.35">
      <c r="A1001">
        <v>2435</v>
      </c>
      <c r="B1001" t="s">
        <v>1121</v>
      </c>
      <c r="C1001" s="1">
        <v>45174.595138888886</v>
      </c>
      <c r="D1001" t="s">
        <v>25</v>
      </c>
      <c r="E1001" t="s">
        <v>248</v>
      </c>
      <c r="F1001" t="s">
        <v>646</v>
      </c>
      <c r="G1001" t="s">
        <v>463</v>
      </c>
      <c r="H1001">
        <v>107</v>
      </c>
      <c r="I1001">
        <v>11</v>
      </c>
      <c r="J1001" t="s">
        <v>35</v>
      </c>
      <c r="K1001" t="s">
        <v>28</v>
      </c>
      <c r="L1001" t="s">
        <v>29</v>
      </c>
      <c r="M1001" t="s">
        <v>23</v>
      </c>
      <c r="N1001">
        <v>0</v>
      </c>
      <c r="O1001">
        <v>1</v>
      </c>
      <c r="P1001" s="8">
        <f>INT(Delivery_data[[#This Row],[Order Timestamp]])</f>
        <v>45174</v>
      </c>
      <c r="Q1001" t="str">
        <f ca="1">IF(Delivery_data[[#This Row],[Order Status]]="In Progress", TODAY()-Delivery_data[[#This Row],[Order Date]], "")</f>
        <v/>
      </c>
      <c r="R1001">
        <f>IF(Delivery_data[[#This Row],[On Time]]=1,0,1)</f>
        <v>1</v>
      </c>
    </row>
    <row r="1002" spans="1:18" x14ac:dyDescent="0.35">
      <c r="A1002">
        <v>2455</v>
      </c>
      <c r="B1002" t="s">
        <v>1122</v>
      </c>
      <c r="C1002" s="1">
        <v>45171.661805555559</v>
      </c>
      <c r="D1002" t="s">
        <v>16</v>
      </c>
      <c r="E1002" t="s">
        <v>134</v>
      </c>
      <c r="F1002" t="s">
        <v>646</v>
      </c>
      <c r="G1002" t="s">
        <v>362</v>
      </c>
      <c r="H1002">
        <v>190</v>
      </c>
      <c r="I1002">
        <v>11</v>
      </c>
      <c r="J1002" t="s">
        <v>27</v>
      </c>
      <c r="K1002" t="s">
        <v>33</v>
      </c>
      <c r="L1002" t="s">
        <v>29</v>
      </c>
      <c r="M1002" t="s">
        <v>23</v>
      </c>
      <c r="N1002">
        <v>0</v>
      </c>
      <c r="O1002">
        <v>0</v>
      </c>
      <c r="P1002" s="8">
        <f>INT(Delivery_data[[#This Row],[Order Timestamp]])</f>
        <v>45171</v>
      </c>
      <c r="Q1002">
        <f ca="1">IF(Delivery_data[[#This Row],[Order Status]]="In Progress", TODAY()-Delivery_data[[#This Row],[Order Date]], "")</f>
        <v>812</v>
      </c>
      <c r="R1002">
        <f>IF(Delivery_data[[#This Row],[On Time]]=1,0,1)</f>
        <v>1</v>
      </c>
    </row>
    <row r="1003" spans="1:18" x14ac:dyDescent="0.35">
      <c r="A1003">
        <v>2471</v>
      </c>
      <c r="B1003" t="s">
        <v>1123</v>
      </c>
      <c r="C1003" s="1">
        <v>45177.672222222223</v>
      </c>
      <c r="D1003" t="s">
        <v>16</v>
      </c>
      <c r="E1003" t="s">
        <v>62</v>
      </c>
      <c r="F1003" t="s">
        <v>646</v>
      </c>
      <c r="G1003" t="s">
        <v>557</v>
      </c>
      <c r="H1003">
        <v>75</v>
      </c>
      <c r="I1003">
        <v>15</v>
      </c>
      <c r="J1003" t="s">
        <v>35</v>
      </c>
      <c r="K1003" t="s">
        <v>33</v>
      </c>
      <c r="L1003" t="s">
        <v>29</v>
      </c>
      <c r="M1003" t="s">
        <v>23</v>
      </c>
      <c r="N1003">
        <v>0</v>
      </c>
      <c r="O1003">
        <v>1</v>
      </c>
      <c r="P1003" s="8">
        <f>INT(Delivery_data[[#This Row],[Order Timestamp]])</f>
        <v>45177</v>
      </c>
      <c r="Q1003">
        <f ca="1">IF(Delivery_data[[#This Row],[Order Status]]="In Progress", TODAY()-Delivery_data[[#This Row],[Order Date]], "")</f>
        <v>806</v>
      </c>
      <c r="R1003">
        <f>IF(Delivery_data[[#This Row],[On Time]]=1,0,1)</f>
        <v>1</v>
      </c>
    </row>
    <row r="1004" spans="1:18" x14ac:dyDescent="0.35">
      <c r="A1004">
        <v>1012</v>
      </c>
      <c r="B1004" t="s">
        <v>1124</v>
      </c>
      <c r="C1004" s="1">
        <v>45175.57916666667</v>
      </c>
      <c r="D1004" t="s">
        <v>16</v>
      </c>
      <c r="E1004" t="s">
        <v>222</v>
      </c>
      <c r="F1004" t="s">
        <v>1125</v>
      </c>
      <c r="G1004" t="s">
        <v>463</v>
      </c>
      <c r="H1004">
        <v>150</v>
      </c>
      <c r="I1004">
        <v>18</v>
      </c>
      <c r="J1004" t="s">
        <v>27</v>
      </c>
      <c r="K1004" t="s">
        <v>33</v>
      </c>
      <c r="L1004" t="s">
        <v>42</v>
      </c>
      <c r="M1004" t="s">
        <v>39</v>
      </c>
      <c r="N1004">
        <v>0</v>
      </c>
      <c r="O1004">
        <v>0</v>
      </c>
      <c r="P1004" s="8">
        <f>INT(Delivery_data[[#This Row],[Order Timestamp]])</f>
        <v>45175</v>
      </c>
      <c r="Q1004">
        <f ca="1">IF(Delivery_data[[#This Row],[Order Status]]="In Progress", TODAY()-Delivery_data[[#This Row],[Order Date]], "")</f>
        <v>808</v>
      </c>
      <c r="R1004">
        <f>IF(Delivery_data[[#This Row],[On Time]]=1,0,1)</f>
        <v>1</v>
      </c>
    </row>
    <row r="1005" spans="1:18" x14ac:dyDescent="0.35">
      <c r="A1005">
        <v>1018</v>
      </c>
      <c r="B1005" t="s">
        <v>1126</v>
      </c>
      <c r="C1005" s="1">
        <v>45174.446527777778</v>
      </c>
      <c r="D1005" t="s">
        <v>25</v>
      </c>
      <c r="E1005" t="s">
        <v>252</v>
      </c>
      <c r="F1005" t="s">
        <v>1125</v>
      </c>
      <c r="G1005" t="s">
        <v>557</v>
      </c>
      <c r="H1005">
        <v>167</v>
      </c>
      <c r="I1005">
        <v>1</v>
      </c>
      <c r="J1005" t="s">
        <v>27</v>
      </c>
      <c r="K1005" t="s">
        <v>38</v>
      </c>
      <c r="L1005" t="s">
        <v>42</v>
      </c>
      <c r="M1005" t="s">
        <v>23</v>
      </c>
      <c r="N1005">
        <v>0</v>
      </c>
      <c r="O1005">
        <v>0</v>
      </c>
      <c r="P1005" s="8">
        <f>INT(Delivery_data[[#This Row],[Order Timestamp]])</f>
        <v>45174</v>
      </c>
      <c r="Q1005" t="str">
        <f ca="1">IF(Delivery_data[[#This Row],[Order Status]]="In Progress", TODAY()-Delivery_data[[#This Row],[Order Date]], "")</f>
        <v/>
      </c>
      <c r="R1005">
        <f>IF(Delivery_data[[#This Row],[On Time]]=1,0,1)</f>
        <v>1</v>
      </c>
    </row>
    <row r="1006" spans="1:18" x14ac:dyDescent="0.35">
      <c r="A1006">
        <v>1037</v>
      </c>
      <c r="B1006" t="s">
        <v>1127</v>
      </c>
      <c r="C1006" s="1">
        <v>45171.702777777777</v>
      </c>
      <c r="D1006" t="s">
        <v>16</v>
      </c>
      <c r="E1006" t="s">
        <v>78</v>
      </c>
      <c r="F1006" t="s">
        <v>1125</v>
      </c>
      <c r="G1006" t="s">
        <v>362</v>
      </c>
      <c r="H1006">
        <v>134</v>
      </c>
      <c r="I1006">
        <v>18</v>
      </c>
      <c r="J1006" t="s">
        <v>27</v>
      </c>
      <c r="K1006" t="s">
        <v>21</v>
      </c>
      <c r="L1006" t="s">
        <v>42</v>
      </c>
      <c r="M1006" t="s">
        <v>23</v>
      </c>
      <c r="N1006">
        <v>0</v>
      </c>
      <c r="O1006">
        <v>0</v>
      </c>
      <c r="P1006" s="8">
        <f>INT(Delivery_data[[#This Row],[Order Timestamp]])</f>
        <v>45171</v>
      </c>
      <c r="Q1006">
        <f ca="1">IF(Delivery_data[[#This Row],[Order Status]]="In Progress", TODAY()-Delivery_data[[#This Row],[Order Date]], "")</f>
        <v>812</v>
      </c>
      <c r="R1006">
        <f>IF(Delivery_data[[#This Row],[On Time]]=1,0,1)</f>
        <v>1</v>
      </c>
    </row>
    <row r="1007" spans="1:18" x14ac:dyDescent="0.35">
      <c r="A1007">
        <v>1055</v>
      </c>
      <c r="B1007" t="s">
        <v>1128</v>
      </c>
      <c r="C1007" s="1">
        <v>45175.367361111108</v>
      </c>
      <c r="D1007" t="s">
        <v>16</v>
      </c>
      <c r="E1007" t="s">
        <v>279</v>
      </c>
      <c r="F1007" t="s">
        <v>1125</v>
      </c>
      <c r="G1007" t="s">
        <v>557</v>
      </c>
      <c r="H1007">
        <v>239</v>
      </c>
      <c r="I1007">
        <v>24</v>
      </c>
      <c r="J1007" t="s">
        <v>35</v>
      </c>
      <c r="K1007" t="s">
        <v>33</v>
      </c>
      <c r="L1007" t="s">
        <v>42</v>
      </c>
      <c r="M1007" t="s">
        <v>23</v>
      </c>
      <c r="N1007">
        <v>0</v>
      </c>
      <c r="O1007">
        <v>1</v>
      </c>
      <c r="P1007" s="8">
        <f>INT(Delivery_data[[#This Row],[Order Timestamp]])</f>
        <v>45175</v>
      </c>
      <c r="Q1007">
        <f ca="1">IF(Delivery_data[[#This Row],[Order Status]]="In Progress", TODAY()-Delivery_data[[#This Row],[Order Date]], "")</f>
        <v>808</v>
      </c>
      <c r="R1007">
        <f>IF(Delivery_data[[#This Row],[On Time]]=1,0,1)</f>
        <v>1</v>
      </c>
    </row>
    <row r="1008" spans="1:18" x14ac:dyDescent="0.35">
      <c r="A1008">
        <v>1057</v>
      </c>
      <c r="B1008" t="s">
        <v>1129</v>
      </c>
      <c r="C1008" s="1">
        <v>45177.671527777777</v>
      </c>
      <c r="D1008" t="s">
        <v>25</v>
      </c>
      <c r="E1008" t="s">
        <v>287</v>
      </c>
      <c r="F1008" t="s">
        <v>1125</v>
      </c>
      <c r="G1008" t="s">
        <v>19</v>
      </c>
      <c r="H1008">
        <v>87</v>
      </c>
      <c r="I1008">
        <v>5</v>
      </c>
      <c r="J1008" t="s">
        <v>27</v>
      </c>
      <c r="K1008" t="s">
        <v>38</v>
      </c>
      <c r="L1008" t="s">
        <v>42</v>
      </c>
      <c r="M1008" t="s">
        <v>39</v>
      </c>
      <c r="N1008">
        <v>0</v>
      </c>
      <c r="O1008">
        <v>0</v>
      </c>
      <c r="P1008" s="8">
        <f>INT(Delivery_data[[#This Row],[Order Timestamp]])</f>
        <v>45177</v>
      </c>
      <c r="Q1008" t="str">
        <f ca="1">IF(Delivery_data[[#This Row],[Order Status]]="In Progress", TODAY()-Delivery_data[[#This Row],[Order Date]], "")</f>
        <v/>
      </c>
      <c r="R1008">
        <f>IF(Delivery_data[[#This Row],[On Time]]=1,0,1)</f>
        <v>1</v>
      </c>
    </row>
    <row r="1009" spans="1:18" x14ac:dyDescent="0.35">
      <c r="A1009">
        <v>1099</v>
      </c>
      <c r="B1009" t="s">
        <v>1130</v>
      </c>
      <c r="C1009" s="1">
        <v>45174.361111111109</v>
      </c>
      <c r="D1009" t="s">
        <v>25</v>
      </c>
      <c r="E1009" t="s">
        <v>68</v>
      </c>
      <c r="F1009" t="s">
        <v>1125</v>
      </c>
      <c r="G1009" t="s">
        <v>19</v>
      </c>
      <c r="H1009">
        <v>173</v>
      </c>
      <c r="I1009">
        <v>3</v>
      </c>
      <c r="J1009" t="s">
        <v>27</v>
      </c>
      <c r="K1009" t="s">
        <v>51</v>
      </c>
      <c r="L1009" t="s">
        <v>42</v>
      </c>
      <c r="M1009" t="s">
        <v>23</v>
      </c>
      <c r="N1009">
        <v>0</v>
      </c>
      <c r="O1009">
        <v>0</v>
      </c>
      <c r="P1009" s="8">
        <f>INT(Delivery_data[[#This Row],[Order Timestamp]])</f>
        <v>45174</v>
      </c>
      <c r="Q1009" t="str">
        <f ca="1">IF(Delivery_data[[#This Row],[Order Status]]="In Progress", TODAY()-Delivery_data[[#This Row],[Order Date]], "")</f>
        <v/>
      </c>
      <c r="R1009">
        <f>IF(Delivery_data[[#This Row],[On Time]]=1,0,1)</f>
        <v>1</v>
      </c>
    </row>
    <row r="1010" spans="1:18" x14ac:dyDescent="0.35">
      <c r="A1010">
        <v>1112</v>
      </c>
      <c r="B1010" t="s">
        <v>1131</v>
      </c>
      <c r="C1010" s="1">
        <v>45170.454861111109</v>
      </c>
      <c r="D1010" t="s">
        <v>25</v>
      </c>
      <c r="E1010" t="s">
        <v>50</v>
      </c>
      <c r="F1010" t="s">
        <v>1125</v>
      </c>
      <c r="G1010" t="s">
        <v>233</v>
      </c>
      <c r="H1010">
        <v>212</v>
      </c>
      <c r="I1010">
        <v>14</v>
      </c>
      <c r="J1010" t="s">
        <v>35</v>
      </c>
      <c r="K1010" t="s">
        <v>51</v>
      </c>
      <c r="L1010" t="s">
        <v>42</v>
      </c>
      <c r="M1010" t="s">
        <v>39</v>
      </c>
      <c r="N1010">
        <v>0</v>
      </c>
      <c r="O1010">
        <v>1</v>
      </c>
      <c r="P1010" s="8">
        <f>INT(Delivery_data[[#This Row],[Order Timestamp]])</f>
        <v>45170</v>
      </c>
      <c r="Q1010" t="str">
        <f ca="1">IF(Delivery_data[[#This Row],[Order Status]]="In Progress", TODAY()-Delivery_data[[#This Row],[Order Date]], "")</f>
        <v/>
      </c>
      <c r="R1010">
        <f>IF(Delivery_data[[#This Row],[On Time]]=1,0,1)</f>
        <v>1</v>
      </c>
    </row>
    <row r="1011" spans="1:18" x14ac:dyDescent="0.35">
      <c r="A1011">
        <v>1121</v>
      </c>
      <c r="B1011" t="s">
        <v>1132</v>
      </c>
      <c r="C1011" s="1">
        <v>45172.499305555553</v>
      </c>
      <c r="D1011" t="s">
        <v>16</v>
      </c>
      <c r="E1011" t="s">
        <v>110</v>
      </c>
      <c r="F1011" t="s">
        <v>1125</v>
      </c>
      <c r="G1011" t="s">
        <v>463</v>
      </c>
      <c r="H1011">
        <v>123</v>
      </c>
      <c r="I1011">
        <v>22</v>
      </c>
      <c r="J1011" t="s">
        <v>27</v>
      </c>
      <c r="K1011" t="s">
        <v>33</v>
      </c>
      <c r="L1011" t="s">
        <v>42</v>
      </c>
      <c r="M1011" t="s">
        <v>23</v>
      </c>
      <c r="N1011">
        <v>0</v>
      </c>
      <c r="O1011">
        <v>0</v>
      </c>
      <c r="P1011" s="8">
        <f>INT(Delivery_data[[#This Row],[Order Timestamp]])</f>
        <v>45172</v>
      </c>
      <c r="Q1011">
        <f ca="1">IF(Delivery_data[[#This Row],[Order Status]]="In Progress", TODAY()-Delivery_data[[#This Row],[Order Date]], "")</f>
        <v>811</v>
      </c>
      <c r="R1011">
        <f>IF(Delivery_data[[#This Row],[On Time]]=1,0,1)</f>
        <v>1</v>
      </c>
    </row>
    <row r="1012" spans="1:18" x14ac:dyDescent="0.35">
      <c r="A1012">
        <v>1143</v>
      </c>
      <c r="B1012" t="s">
        <v>1133</v>
      </c>
      <c r="C1012" s="1">
        <v>45177.487500000003</v>
      </c>
      <c r="D1012" t="s">
        <v>25</v>
      </c>
      <c r="E1012" t="s">
        <v>126</v>
      </c>
      <c r="F1012" t="s">
        <v>1125</v>
      </c>
      <c r="G1012" t="s">
        <v>362</v>
      </c>
      <c r="H1012">
        <v>223</v>
      </c>
      <c r="I1012">
        <v>12</v>
      </c>
      <c r="J1012" t="s">
        <v>27</v>
      </c>
      <c r="K1012" t="s">
        <v>21</v>
      </c>
      <c r="L1012" t="s">
        <v>42</v>
      </c>
      <c r="M1012" t="s">
        <v>39</v>
      </c>
      <c r="N1012">
        <v>0</v>
      </c>
      <c r="O1012">
        <v>0</v>
      </c>
      <c r="P1012" s="8">
        <f>INT(Delivery_data[[#This Row],[Order Timestamp]])</f>
        <v>45177</v>
      </c>
      <c r="Q1012" t="str">
        <f ca="1">IF(Delivery_data[[#This Row],[Order Status]]="In Progress", TODAY()-Delivery_data[[#This Row],[Order Date]], "")</f>
        <v/>
      </c>
      <c r="R1012">
        <f>IF(Delivery_data[[#This Row],[On Time]]=1,0,1)</f>
        <v>1</v>
      </c>
    </row>
    <row r="1013" spans="1:18" x14ac:dyDescent="0.35">
      <c r="A1013">
        <v>1147</v>
      </c>
      <c r="B1013" t="s">
        <v>1134</v>
      </c>
      <c r="C1013" s="1">
        <v>45170.42291666667</v>
      </c>
      <c r="D1013" t="s">
        <v>25</v>
      </c>
      <c r="E1013" t="s">
        <v>271</v>
      </c>
      <c r="F1013" t="s">
        <v>1125</v>
      </c>
      <c r="G1013" t="s">
        <v>557</v>
      </c>
      <c r="H1013">
        <v>71</v>
      </c>
      <c r="I1013">
        <v>3</v>
      </c>
      <c r="J1013" t="s">
        <v>27</v>
      </c>
      <c r="K1013" t="s">
        <v>28</v>
      </c>
      <c r="L1013" t="s">
        <v>42</v>
      </c>
      <c r="M1013" t="s">
        <v>23</v>
      </c>
      <c r="N1013">
        <v>0</v>
      </c>
      <c r="O1013">
        <v>0</v>
      </c>
      <c r="P1013" s="8">
        <f>INT(Delivery_data[[#This Row],[Order Timestamp]])</f>
        <v>45170</v>
      </c>
      <c r="Q1013" t="str">
        <f ca="1">IF(Delivery_data[[#This Row],[Order Status]]="In Progress", TODAY()-Delivery_data[[#This Row],[Order Date]], "")</f>
        <v/>
      </c>
      <c r="R1013">
        <f>IF(Delivery_data[[#This Row],[On Time]]=1,0,1)</f>
        <v>1</v>
      </c>
    </row>
    <row r="1014" spans="1:18" x14ac:dyDescent="0.35">
      <c r="A1014">
        <v>1151</v>
      </c>
      <c r="B1014" t="s">
        <v>1135</v>
      </c>
      <c r="C1014" s="1">
        <v>45170.37222222222</v>
      </c>
      <c r="D1014" t="s">
        <v>25</v>
      </c>
      <c r="E1014" t="s">
        <v>204</v>
      </c>
      <c r="F1014" t="s">
        <v>1125</v>
      </c>
      <c r="G1014" t="s">
        <v>463</v>
      </c>
      <c r="H1014">
        <v>213</v>
      </c>
      <c r="I1014">
        <v>15</v>
      </c>
      <c r="J1014" t="s">
        <v>27</v>
      </c>
      <c r="K1014" t="s">
        <v>33</v>
      </c>
      <c r="L1014" t="s">
        <v>42</v>
      </c>
      <c r="M1014" t="s">
        <v>23</v>
      </c>
      <c r="N1014">
        <v>0</v>
      </c>
      <c r="O1014">
        <v>0</v>
      </c>
      <c r="P1014" s="8">
        <f>INT(Delivery_data[[#This Row],[Order Timestamp]])</f>
        <v>45170</v>
      </c>
      <c r="Q1014" t="str">
        <f ca="1">IF(Delivery_data[[#This Row],[Order Status]]="In Progress", TODAY()-Delivery_data[[#This Row],[Order Date]], "")</f>
        <v/>
      </c>
      <c r="R1014">
        <f>IF(Delivery_data[[#This Row],[On Time]]=1,0,1)</f>
        <v>1</v>
      </c>
    </row>
    <row r="1015" spans="1:18" x14ac:dyDescent="0.35">
      <c r="A1015">
        <v>1172</v>
      </c>
      <c r="B1015" t="s">
        <v>1136</v>
      </c>
      <c r="C1015" s="1">
        <v>45171.401388888888</v>
      </c>
      <c r="D1015" t="s">
        <v>16</v>
      </c>
      <c r="E1015" t="s">
        <v>175</v>
      </c>
      <c r="F1015" t="s">
        <v>1125</v>
      </c>
      <c r="G1015" t="s">
        <v>233</v>
      </c>
      <c r="H1015">
        <v>175</v>
      </c>
      <c r="I1015">
        <v>1</v>
      </c>
      <c r="J1015" t="s">
        <v>20</v>
      </c>
      <c r="K1015" t="s">
        <v>21</v>
      </c>
      <c r="L1015" t="s">
        <v>42</v>
      </c>
      <c r="M1015" t="s">
        <v>39</v>
      </c>
      <c r="N1015">
        <v>0</v>
      </c>
      <c r="O1015">
        <v>0</v>
      </c>
      <c r="P1015" s="8">
        <f>INT(Delivery_data[[#This Row],[Order Timestamp]])</f>
        <v>45171</v>
      </c>
      <c r="Q1015">
        <f ca="1">IF(Delivery_data[[#This Row],[Order Status]]="In Progress", TODAY()-Delivery_data[[#This Row],[Order Date]], "")</f>
        <v>812</v>
      </c>
      <c r="R1015">
        <f>IF(Delivery_data[[#This Row],[On Time]]=1,0,1)</f>
        <v>1</v>
      </c>
    </row>
    <row r="1016" spans="1:18" x14ac:dyDescent="0.35">
      <c r="A1016">
        <v>1185</v>
      </c>
      <c r="B1016" t="s">
        <v>1137</v>
      </c>
      <c r="C1016" s="1">
        <v>45173.345833333333</v>
      </c>
      <c r="D1016" t="s">
        <v>16</v>
      </c>
      <c r="E1016" t="s">
        <v>104</v>
      </c>
      <c r="F1016" t="s">
        <v>1125</v>
      </c>
      <c r="G1016" t="s">
        <v>233</v>
      </c>
      <c r="H1016">
        <v>110</v>
      </c>
      <c r="I1016">
        <v>19</v>
      </c>
      <c r="J1016" t="s">
        <v>20</v>
      </c>
      <c r="K1016" t="s">
        <v>21</v>
      </c>
      <c r="L1016" t="s">
        <v>42</v>
      </c>
      <c r="M1016" t="s">
        <v>23</v>
      </c>
      <c r="N1016">
        <v>0</v>
      </c>
      <c r="O1016">
        <v>0</v>
      </c>
      <c r="P1016" s="8">
        <f>INT(Delivery_data[[#This Row],[Order Timestamp]])</f>
        <v>45173</v>
      </c>
      <c r="Q1016">
        <f ca="1">IF(Delivery_data[[#This Row],[Order Status]]="In Progress", TODAY()-Delivery_data[[#This Row],[Order Date]], "")</f>
        <v>810</v>
      </c>
      <c r="R1016">
        <f>IF(Delivery_data[[#This Row],[On Time]]=1,0,1)</f>
        <v>1</v>
      </c>
    </row>
    <row r="1017" spans="1:18" x14ac:dyDescent="0.35">
      <c r="A1017">
        <v>1192</v>
      </c>
      <c r="B1017" t="s">
        <v>561</v>
      </c>
      <c r="C1017" s="1">
        <v>45176.696527777778</v>
      </c>
      <c r="D1017" t="s">
        <v>16</v>
      </c>
      <c r="E1017" t="s">
        <v>416</v>
      </c>
      <c r="F1017" t="s">
        <v>1125</v>
      </c>
      <c r="G1017" t="s">
        <v>557</v>
      </c>
      <c r="H1017">
        <v>149</v>
      </c>
      <c r="I1017">
        <v>22</v>
      </c>
      <c r="J1017" t="s">
        <v>35</v>
      </c>
      <c r="K1017" t="s">
        <v>28</v>
      </c>
      <c r="L1017" t="s">
        <v>42</v>
      </c>
      <c r="M1017" t="s">
        <v>23</v>
      </c>
      <c r="N1017">
        <v>0</v>
      </c>
      <c r="O1017">
        <v>1</v>
      </c>
      <c r="P1017" s="8">
        <f>INT(Delivery_data[[#This Row],[Order Timestamp]])</f>
        <v>45176</v>
      </c>
      <c r="Q1017">
        <f ca="1">IF(Delivery_data[[#This Row],[Order Status]]="In Progress", TODAY()-Delivery_data[[#This Row],[Order Date]], "")</f>
        <v>807</v>
      </c>
      <c r="R1017">
        <f>IF(Delivery_data[[#This Row],[On Time]]=1,0,1)</f>
        <v>1</v>
      </c>
    </row>
    <row r="1018" spans="1:18" x14ac:dyDescent="0.35">
      <c r="A1018">
        <v>1234</v>
      </c>
      <c r="B1018" t="s">
        <v>1138</v>
      </c>
      <c r="C1018" s="1">
        <v>45171.410416666666</v>
      </c>
      <c r="D1018" t="s">
        <v>16</v>
      </c>
      <c r="E1018" t="s">
        <v>80</v>
      </c>
      <c r="F1018" t="s">
        <v>1125</v>
      </c>
      <c r="G1018" t="s">
        <v>463</v>
      </c>
      <c r="H1018">
        <v>79</v>
      </c>
      <c r="I1018">
        <v>4</v>
      </c>
      <c r="J1018" t="s">
        <v>20</v>
      </c>
      <c r="K1018" t="s">
        <v>28</v>
      </c>
      <c r="L1018" t="s">
        <v>42</v>
      </c>
      <c r="M1018" t="s">
        <v>39</v>
      </c>
      <c r="N1018">
        <v>0</v>
      </c>
      <c r="O1018">
        <v>0</v>
      </c>
      <c r="P1018" s="8">
        <f>INT(Delivery_data[[#This Row],[Order Timestamp]])</f>
        <v>45171</v>
      </c>
      <c r="Q1018">
        <f ca="1">IF(Delivery_data[[#This Row],[Order Status]]="In Progress", TODAY()-Delivery_data[[#This Row],[Order Date]], "")</f>
        <v>812</v>
      </c>
      <c r="R1018">
        <f>IF(Delivery_data[[#This Row],[On Time]]=1,0,1)</f>
        <v>1</v>
      </c>
    </row>
    <row r="1019" spans="1:18" x14ac:dyDescent="0.35">
      <c r="A1019">
        <v>1235</v>
      </c>
      <c r="B1019" t="s">
        <v>1139</v>
      </c>
      <c r="C1019" s="1">
        <v>45170.342361111114</v>
      </c>
      <c r="D1019" t="s">
        <v>16</v>
      </c>
      <c r="E1019" t="s">
        <v>80</v>
      </c>
      <c r="F1019" t="s">
        <v>1125</v>
      </c>
      <c r="G1019" t="s">
        <v>233</v>
      </c>
      <c r="H1019">
        <v>194</v>
      </c>
      <c r="I1019">
        <v>19</v>
      </c>
      <c r="J1019" t="s">
        <v>35</v>
      </c>
      <c r="K1019" t="s">
        <v>33</v>
      </c>
      <c r="L1019" t="s">
        <v>42</v>
      </c>
      <c r="M1019" t="s">
        <v>23</v>
      </c>
      <c r="N1019">
        <v>0</v>
      </c>
      <c r="O1019">
        <v>1</v>
      </c>
      <c r="P1019" s="8">
        <f>INT(Delivery_data[[#This Row],[Order Timestamp]])</f>
        <v>45170</v>
      </c>
      <c r="Q1019">
        <f ca="1">IF(Delivery_data[[#This Row],[Order Status]]="In Progress", TODAY()-Delivery_data[[#This Row],[Order Date]], "")</f>
        <v>813</v>
      </c>
      <c r="R1019">
        <f>IF(Delivery_data[[#This Row],[On Time]]=1,0,1)</f>
        <v>1</v>
      </c>
    </row>
    <row r="1020" spans="1:18" x14ac:dyDescent="0.35">
      <c r="A1020">
        <v>1267</v>
      </c>
      <c r="B1020" t="s">
        <v>1140</v>
      </c>
      <c r="C1020" s="1">
        <v>45171.602083333331</v>
      </c>
      <c r="D1020" t="s">
        <v>25</v>
      </c>
      <c r="E1020" t="s">
        <v>254</v>
      </c>
      <c r="F1020" t="s">
        <v>1125</v>
      </c>
      <c r="G1020" t="s">
        <v>19</v>
      </c>
      <c r="H1020">
        <v>221</v>
      </c>
      <c r="I1020">
        <v>2</v>
      </c>
      <c r="J1020" t="s">
        <v>20</v>
      </c>
      <c r="K1020" t="s">
        <v>38</v>
      </c>
      <c r="L1020" t="s">
        <v>42</v>
      </c>
      <c r="M1020" t="s">
        <v>23</v>
      </c>
      <c r="N1020">
        <v>0</v>
      </c>
      <c r="O1020">
        <v>0</v>
      </c>
      <c r="P1020" s="8">
        <f>INT(Delivery_data[[#This Row],[Order Timestamp]])</f>
        <v>45171</v>
      </c>
      <c r="Q1020" t="str">
        <f ca="1">IF(Delivery_data[[#This Row],[Order Status]]="In Progress", TODAY()-Delivery_data[[#This Row],[Order Date]], "")</f>
        <v/>
      </c>
      <c r="R1020">
        <f>IF(Delivery_data[[#This Row],[On Time]]=1,0,1)</f>
        <v>1</v>
      </c>
    </row>
    <row r="1021" spans="1:18" x14ac:dyDescent="0.35">
      <c r="A1021">
        <v>1270</v>
      </c>
      <c r="B1021" t="s">
        <v>1141</v>
      </c>
      <c r="C1021" s="1">
        <v>45177.352777777778</v>
      </c>
      <c r="D1021" t="s">
        <v>16</v>
      </c>
      <c r="E1021" t="s">
        <v>158</v>
      </c>
      <c r="F1021" t="s">
        <v>1125</v>
      </c>
      <c r="G1021" t="s">
        <v>557</v>
      </c>
      <c r="H1021">
        <v>132</v>
      </c>
      <c r="I1021">
        <v>2</v>
      </c>
      <c r="J1021" t="s">
        <v>20</v>
      </c>
      <c r="K1021" t="s">
        <v>51</v>
      </c>
      <c r="L1021" t="s">
        <v>42</v>
      </c>
      <c r="M1021" t="s">
        <v>23</v>
      </c>
      <c r="N1021">
        <v>0</v>
      </c>
      <c r="O1021">
        <v>0</v>
      </c>
      <c r="P1021" s="8">
        <f>INT(Delivery_data[[#This Row],[Order Timestamp]])</f>
        <v>45177</v>
      </c>
      <c r="Q1021">
        <f ca="1">IF(Delivery_data[[#This Row],[Order Status]]="In Progress", TODAY()-Delivery_data[[#This Row],[Order Date]], "")</f>
        <v>806</v>
      </c>
      <c r="R1021">
        <f>IF(Delivery_data[[#This Row],[On Time]]=1,0,1)</f>
        <v>1</v>
      </c>
    </row>
    <row r="1022" spans="1:18" x14ac:dyDescent="0.35">
      <c r="A1022">
        <v>1302</v>
      </c>
      <c r="B1022" t="s">
        <v>1142</v>
      </c>
      <c r="C1022" s="1">
        <v>45171.456250000003</v>
      </c>
      <c r="D1022" t="s">
        <v>16</v>
      </c>
      <c r="E1022" t="s">
        <v>248</v>
      </c>
      <c r="F1022" t="s">
        <v>1125</v>
      </c>
      <c r="G1022" t="s">
        <v>557</v>
      </c>
      <c r="H1022">
        <v>237</v>
      </c>
      <c r="I1022">
        <v>1</v>
      </c>
      <c r="J1022" t="s">
        <v>35</v>
      </c>
      <c r="K1022" t="s">
        <v>38</v>
      </c>
      <c r="L1022" t="s">
        <v>42</v>
      </c>
      <c r="M1022" t="s">
        <v>23</v>
      </c>
      <c r="N1022">
        <v>0</v>
      </c>
      <c r="O1022">
        <v>1</v>
      </c>
      <c r="P1022" s="8">
        <f>INT(Delivery_data[[#This Row],[Order Timestamp]])</f>
        <v>45171</v>
      </c>
      <c r="Q1022">
        <f ca="1">IF(Delivery_data[[#This Row],[Order Status]]="In Progress", TODAY()-Delivery_data[[#This Row],[Order Date]], "")</f>
        <v>812</v>
      </c>
      <c r="R1022">
        <f>IF(Delivery_data[[#This Row],[On Time]]=1,0,1)</f>
        <v>1</v>
      </c>
    </row>
    <row r="1023" spans="1:18" x14ac:dyDescent="0.35">
      <c r="A1023">
        <v>1323</v>
      </c>
      <c r="B1023" t="s">
        <v>1143</v>
      </c>
      <c r="C1023" s="1">
        <v>45172.607638888891</v>
      </c>
      <c r="D1023" t="s">
        <v>25</v>
      </c>
      <c r="E1023" t="s">
        <v>89</v>
      </c>
      <c r="F1023" t="s">
        <v>1125</v>
      </c>
      <c r="G1023" t="s">
        <v>463</v>
      </c>
      <c r="H1023">
        <v>213</v>
      </c>
      <c r="I1023">
        <v>4</v>
      </c>
      <c r="J1023" t="s">
        <v>20</v>
      </c>
      <c r="K1023" t="s">
        <v>33</v>
      </c>
      <c r="L1023" t="s">
        <v>42</v>
      </c>
      <c r="M1023" t="s">
        <v>23</v>
      </c>
      <c r="N1023">
        <v>0</v>
      </c>
      <c r="O1023">
        <v>0</v>
      </c>
      <c r="P1023" s="8">
        <f>INT(Delivery_data[[#This Row],[Order Timestamp]])</f>
        <v>45172</v>
      </c>
      <c r="Q1023" t="str">
        <f ca="1">IF(Delivery_data[[#This Row],[Order Status]]="In Progress", TODAY()-Delivery_data[[#This Row],[Order Date]], "")</f>
        <v/>
      </c>
      <c r="R1023">
        <f>IF(Delivery_data[[#This Row],[On Time]]=1,0,1)</f>
        <v>1</v>
      </c>
    </row>
    <row r="1024" spans="1:18" x14ac:dyDescent="0.35">
      <c r="A1024">
        <v>1333</v>
      </c>
      <c r="B1024" t="s">
        <v>1144</v>
      </c>
      <c r="C1024" s="1">
        <v>45173.690972222219</v>
      </c>
      <c r="D1024" t="s">
        <v>25</v>
      </c>
      <c r="E1024" t="s">
        <v>254</v>
      </c>
      <c r="F1024" t="s">
        <v>1125</v>
      </c>
      <c r="G1024" t="s">
        <v>557</v>
      </c>
      <c r="H1024">
        <v>185</v>
      </c>
      <c r="I1024">
        <v>13</v>
      </c>
      <c r="J1024" t="s">
        <v>27</v>
      </c>
      <c r="K1024" t="s">
        <v>21</v>
      </c>
      <c r="L1024" t="s">
        <v>42</v>
      </c>
      <c r="M1024" t="s">
        <v>23</v>
      </c>
      <c r="N1024">
        <v>0</v>
      </c>
      <c r="O1024">
        <v>0</v>
      </c>
      <c r="P1024" s="8">
        <f>INT(Delivery_data[[#This Row],[Order Timestamp]])</f>
        <v>45173</v>
      </c>
      <c r="Q1024" t="str">
        <f ca="1">IF(Delivery_data[[#This Row],[Order Status]]="In Progress", TODAY()-Delivery_data[[#This Row],[Order Date]], "")</f>
        <v/>
      </c>
      <c r="R1024">
        <f>IF(Delivery_data[[#This Row],[On Time]]=1,0,1)</f>
        <v>1</v>
      </c>
    </row>
    <row r="1025" spans="1:18" x14ac:dyDescent="0.35">
      <c r="A1025">
        <v>1338</v>
      </c>
      <c r="B1025" t="s">
        <v>1145</v>
      </c>
      <c r="C1025" s="1">
        <v>45176.536805555559</v>
      </c>
      <c r="D1025" t="s">
        <v>16</v>
      </c>
      <c r="E1025" t="s">
        <v>134</v>
      </c>
      <c r="F1025" t="s">
        <v>1125</v>
      </c>
      <c r="G1025" t="s">
        <v>463</v>
      </c>
      <c r="H1025">
        <v>191</v>
      </c>
      <c r="I1025">
        <v>10</v>
      </c>
      <c r="J1025" t="s">
        <v>27</v>
      </c>
      <c r="K1025" t="s">
        <v>21</v>
      </c>
      <c r="L1025" t="s">
        <v>42</v>
      </c>
      <c r="M1025" t="s">
        <v>39</v>
      </c>
      <c r="N1025">
        <v>0</v>
      </c>
      <c r="O1025">
        <v>0</v>
      </c>
      <c r="P1025" s="8">
        <f>INT(Delivery_data[[#This Row],[Order Timestamp]])</f>
        <v>45176</v>
      </c>
      <c r="Q1025">
        <f ca="1">IF(Delivery_data[[#This Row],[Order Status]]="In Progress", TODAY()-Delivery_data[[#This Row],[Order Date]], "")</f>
        <v>807</v>
      </c>
      <c r="R1025">
        <f>IF(Delivery_data[[#This Row],[On Time]]=1,0,1)</f>
        <v>1</v>
      </c>
    </row>
    <row r="1026" spans="1:18" x14ac:dyDescent="0.35">
      <c r="A1026">
        <v>1352</v>
      </c>
      <c r="B1026" t="s">
        <v>1146</v>
      </c>
      <c r="C1026" s="1">
        <v>45176.37222222222</v>
      </c>
      <c r="D1026" t="s">
        <v>25</v>
      </c>
      <c r="E1026" t="s">
        <v>152</v>
      </c>
      <c r="F1026" t="s">
        <v>1125</v>
      </c>
      <c r="G1026" t="s">
        <v>19</v>
      </c>
      <c r="H1026">
        <v>130</v>
      </c>
      <c r="I1026">
        <v>14</v>
      </c>
      <c r="J1026" t="s">
        <v>35</v>
      </c>
      <c r="K1026" t="s">
        <v>51</v>
      </c>
      <c r="L1026" t="s">
        <v>42</v>
      </c>
      <c r="M1026" t="s">
        <v>39</v>
      </c>
      <c r="N1026">
        <v>0</v>
      </c>
      <c r="O1026">
        <v>1</v>
      </c>
      <c r="P1026" s="8">
        <f>INT(Delivery_data[[#This Row],[Order Timestamp]])</f>
        <v>45176</v>
      </c>
      <c r="Q1026" t="str">
        <f ca="1">IF(Delivery_data[[#This Row],[Order Status]]="In Progress", TODAY()-Delivery_data[[#This Row],[Order Date]], "")</f>
        <v/>
      </c>
      <c r="R1026">
        <f>IF(Delivery_data[[#This Row],[On Time]]=1,0,1)</f>
        <v>1</v>
      </c>
    </row>
    <row r="1027" spans="1:18" x14ac:dyDescent="0.35">
      <c r="A1027">
        <v>1369</v>
      </c>
      <c r="B1027" t="s">
        <v>1147</v>
      </c>
      <c r="C1027" s="1">
        <v>45170.597222222219</v>
      </c>
      <c r="D1027" t="s">
        <v>25</v>
      </c>
      <c r="E1027" t="s">
        <v>32</v>
      </c>
      <c r="F1027" t="s">
        <v>1125</v>
      </c>
      <c r="G1027" t="s">
        <v>233</v>
      </c>
      <c r="H1027">
        <v>155</v>
      </c>
      <c r="I1027">
        <v>2</v>
      </c>
      <c r="J1027" t="s">
        <v>27</v>
      </c>
      <c r="K1027" t="s">
        <v>33</v>
      </c>
      <c r="L1027" t="s">
        <v>42</v>
      </c>
      <c r="M1027" t="s">
        <v>39</v>
      </c>
      <c r="N1027">
        <v>0</v>
      </c>
      <c r="O1027">
        <v>0</v>
      </c>
      <c r="P1027" s="8">
        <f>INT(Delivery_data[[#This Row],[Order Timestamp]])</f>
        <v>45170</v>
      </c>
      <c r="Q1027" t="str">
        <f ca="1">IF(Delivery_data[[#This Row],[Order Status]]="In Progress", TODAY()-Delivery_data[[#This Row],[Order Date]], "")</f>
        <v/>
      </c>
      <c r="R1027">
        <f>IF(Delivery_data[[#This Row],[On Time]]=1,0,1)</f>
        <v>1</v>
      </c>
    </row>
    <row r="1028" spans="1:18" x14ac:dyDescent="0.35">
      <c r="A1028">
        <v>1387</v>
      </c>
      <c r="B1028" t="s">
        <v>1148</v>
      </c>
      <c r="C1028" s="1">
        <v>45171.530555555553</v>
      </c>
      <c r="D1028" t="s">
        <v>16</v>
      </c>
      <c r="E1028" t="s">
        <v>184</v>
      </c>
      <c r="F1028" t="s">
        <v>1125</v>
      </c>
      <c r="G1028" t="s">
        <v>557</v>
      </c>
      <c r="H1028">
        <v>93</v>
      </c>
      <c r="I1028">
        <v>28</v>
      </c>
      <c r="J1028" t="s">
        <v>27</v>
      </c>
      <c r="K1028" t="s">
        <v>28</v>
      </c>
      <c r="L1028" t="s">
        <v>42</v>
      </c>
      <c r="M1028" t="s">
        <v>23</v>
      </c>
      <c r="N1028">
        <v>0</v>
      </c>
      <c r="O1028">
        <v>0</v>
      </c>
      <c r="P1028" s="8">
        <f>INT(Delivery_data[[#This Row],[Order Timestamp]])</f>
        <v>45171</v>
      </c>
      <c r="Q1028">
        <f ca="1">IF(Delivery_data[[#This Row],[Order Status]]="In Progress", TODAY()-Delivery_data[[#This Row],[Order Date]], "")</f>
        <v>812</v>
      </c>
      <c r="R1028">
        <f>IF(Delivery_data[[#This Row],[On Time]]=1,0,1)</f>
        <v>1</v>
      </c>
    </row>
    <row r="1029" spans="1:18" x14ac:dyDescent="0.35">
      <c r="A1029">
        <v>1390</v>
      </c>
      <c r="B1029" t="s">
        <v>1149</v>
      </c>
      <c r="C1029" s="1">
        <v>45172.379861111112</v>
      </c>
      <c r="D1029" t="s">
        <v>16</v>
      </c>
      <c r="E1029" t="s">
        <v>60</v>
      </c>
      <c r="F1029" t="s">
        <v>1125</v>
      </c>
      <c r="G1029" t="s">
        <v>557</v>
      </c>
      <c r="H1029">
        <v>112</v>
      </c>
      <c r="I1029">
        <v>6</v>
      </c>
      <c r="J1029" t="s">
        <v>20</v>
      </c>
      <c r="K1029" t="s">
        <v>38</v>
      </c>
      <c r="L1029" t="s">
        <v>42</v>
      </c>
      <c r="M1029" t="s">
        <v>23</v>
      </c>
      <c r="N1029">
        <v>0</v>
      </c>
      <c r="O1029">
        <v>0</v>
      </c>
      <c r="P1029" s="8">
        <f>INT(Delivery_data[[#This Row],[Order Timestamp]])</f>
        <v>45172</v>
      </c>
      <c r="Q1029">
        <f ca="1">IF(Delivery_data[[#This Row],[Order Status]]="In Progress", TODAY()-Delivery_data[[#This Row],[Order Date]], "")</f>
        <v>811</v>
      </c>
      <c r="R1029">
        <f>IF(Delivery_data[[#This Row],[On Time]]=1,0,1)</f>
        <v>1</v>
      </c>
    </row>
    <row r="1030" spans="1:18" x14ac:dyDescent="0.35">
      <c r="A1030">
        <v>1398</v>
      </c>
      <c r="B1030" t="s">
        <v>1150</v>
      </c>
      <c r="C1030" s="1">
        <v>45172.476388888892</v>
      </c>
      <c r="D1030" t="s">
        <v>16</v>
      </c>
      <c r="E1030" t="s">
        <v>80</v>
      </c>
      <c r="F1030" t="s">
        <v>1125</v>
      </c>
      <c r="G1030" t="s">
        <v>557</v>
      </c>
      <c r="H1030">
        <v>84</v>
      </c>
      <c r="I1030">
        <v>24</v>
      </c>
      <c r="J1030" t="s">
        <v>35</v>
      </c>
      <c r="K1030" t="s">
        <v>21</v>
      </c>
      <c r="L1030" t="s">
        <v>42</v>
      </c>
      <c r="M1030" t="s">
        <v>39</v>
      </c>
      <c r="N1030">
        <v>0</v>
      </c>
      <c r="O1030">
        <v>1</v>
      </c>
      <c r="P1030" s="8">
        <f>INT(Delivery_data[[#This Row],[Order Timestamp]])</f>
        <v>45172</v>
      </c>
      <c r="Q1030">
        <f ca="1">IF(Delivery_data[[#This Row],[Order Status]]="In Progress", TODAY()-Delivery_data[[#This Row],[Order Date]], "")</f>
        <v>811</v>
      </c>
      <c r="R1030">
        <f>IF(Delivery_data[[#This Row],[On Time]]=1,0,1)</f>
        <v>1</v>
      </c>
    </row>
    <row r="1031" spans="1:18" x14ac:dyDescent="0.35">
      <c r="A1031">
        <v>1409</v>
      </c>
      <c r="B1031" t="s">
        <v>1151</v>
      </c>
      <c r="C1031" s="1">
        <v>45170.506944444445</v>
      </c>
      <c r="D1031" t="s">
        <v>16</v>
      </c>
      <c r="E1031" t="s">
        <v>267</v>
      </c>
      <c r="F1031" t="s">
        <v>1125</v>
      </c>
      <c r="G1031" t="s">
        <v>557</v>
      </c>
      <c r="H1031">
        <v>190</v>
      </c>
      <c r="I1031">
        <v>23</v>
      </c>
      <c r="J1031" t="s">
        <v>35</v>
      </c>
      <c r="K1031" t="s">
        <v>33</v>
      </c>
      <c r="L1031" t="s">
        <v>42</v>
      </c>
      <c r="M1031" t="s">
        <v>39</v>
      </c>
      <c r="N1031">
        <v>0</v>
      </c>
      <c r="O1031">
        <v>1</v>
      </c>
      <c r="P1031" s="8">
        <f>INT(Delivery_data[[#This Row],[Order Timestamp]])</f>
        <v>45170</v>
      </c>
      <c r="Q1031">
        <f ca="1">IF(Delivery_data[[#This Row],[Order Status]]="In Progress", TODAY()-Delivery_data[[#This Row],[Order Date]], "")</f>
        <v>813</v>
      </c>
      <c r="R1031">
        <f>IF(Delivery_data[[#This Row],[On Time]]=1,0,1)</f>
        <v>1</v>
      </c>
    </row>
    <row r="1032" spans="1:18" x14ac:dyDescent="0.35">
      <c r="A1032">
        <v>1433</v>
      </c>
      <c r="B1032" t="s">
        <v>1152</v>
      </c>
      <c r="C1032" s="1">
        <v>45171.53125</v>
      </c>
      <c r="D1032" t="s">
        <v>25</v>
      </c>
      <c r="E1032" t="s">
        <v>32</v>
      </c>
      <c r="F1032" t="s">
        <v>1125</v>
      </c>
      <c r="G1032" t="s">
        <v>463</v>
      </c>
      <c r="H1032">
        <v>144</v>
      </c>
      <c r="I1032">
        <v>2</v>
      </c>
      <c r="J1032" t="s">
        <v>27</v>
      </c>
      <c r="K1032" t="s">
        <v>21</v>
      </c>
      <c r="L1032" t="s">
        <v>42</v>
      </c>
      <c r="M1032" t="s">
        <v>23</v>
      </c>
      <c r="N1032">
        <v>0</v>
      </c>
      <c r="O1032">
        <v>0</v>
      </c>
      <c r="P1032" s="8">
        <f>INT(Delivery_data[[#This Row],[Order Timestamp]])</f>
        <v>45171</v>
      </c>
      <c r="Q1032" t="str">
        <f ca="1">IF(Delivery_data[[#This Row],[Order Status]]="In Progress", TODAY()-Delivery_data[[#This Row],[Order Date]], "")</f>
        <v/>
      </c>
      <c r="R1032">
        <f>IF(Delivery_data[[#This Row],[On Time]]=1,0,1)</f>
        <v>1</v>
      </c>
    </row>
    <row r="1033" spans="1:18" x14ac:dyDescent="0.35">
      <c r="A1033">
        <v>1441</v>
      </c>
      <c r="B1033" t="s">
        <v>1153</v>
      </c>
      <c r="C1033" s="1">
        <v>45170.665972222225</v>
      </c>
      <c r="D1033" t="s">
        <v>25</v>
      </c>
      <c r="E1033" t="s">
        <v>70</v>
      </c>
      <c r="F1033" t="s">
        <v>1125</v>
      </c>
      <c r="G1033" t="s">
        <v>463</v>
      </c>
      <c r="H1033">
        <v>170</v>
      </c>
      <c r="I1033">
        <v>1</v>
      </c>
      <c r="J1033" t="s">
        <v>20</v>
      </c>
      <c r="K1033" t="s">
        <v>51</v>
      </c>
      <c r="L1033" t="s">
        <v>42</v>
      </c>
      <c r="M1033" t="s">
        <v>39</v>
      </c>
      <c r="N1033">
        <v>0</v>
      </c>
      <c r="O1033">
        <v>0</v>
      </c>
      <c r="P1033" s="8">
        <f>INT(Delivery_data[[#This Row],[Order Timestamp]])</f>
        <v>45170</v>
      </c>
      <c r="Q1033" t="str">
        <f ca="1">IF(Delivery_data[[#This Row],[Order Status]]="In Progress", TODAY()-Delivery_data[[#This Row],[Order Date]], "")</f>
        <v/>
      </c>
      <c r="R1033">
        <f>IF(Delivery_data[[#This Row],[On Time]]=1,0,1)</f>
        <v>1</v>
      </c>
    </row>
    <row r="1034" spans="1:18" x14ac:dyDescent="0.35">
      <c r="A1034">
        <v>1444</v>
      </c>
      <c r="B1034" t="s">
        <v>1154</v>
      </c>
      <c r="C1034" s="1">
        <v>45176.444444444445</v>
      </c>
      <c r="D1034" t="s">
        <v>25</v>
      </c>
      <c r="E1034" t="s">
        <v>284</v>
      </c>
      <c r="F1034" t="s">
        <v>1125</v>
      </c>
      <c r="G1034" t="s">
        <v>362</v>
      </c>
      <c r="H1034">
        <v>167</v>
      </c>
      <c r="I1034">
        <v>8</v>
      </c>
      <c r="J1034" t="s">
        <v>20</v>
      </c>
      <c r="K1034" t="s">
        <v>28</v>
      </c>
      <c r="L1034" t="s">
        <v>42</v>
      </c>
      <c r="M1034" t="s">
        <v>39</v>
      </c>
      <c r="N1034">
        <v>0</v>
      </c>
      <c r="O1034">
        <v>0</v>
      </c>
      <c r="P1034" s="8">
        <f>INT(Delivery_data[[#This Row],[Order Timestamp]])</f>
        <v>45176</v>
      </c>
      <c r="Q1034" t="str">
        <f ca="1">IF(Delivery_data[[#This Row],[Order Status]]="In Progress", TODAY()-Delivery_data[[#This Row],[Order Date]], "")</f>
        <v/>
      </c>
      <c r="R1034">
        <f>IF(Delivery_data[[#This Row],[On Time]]=1,0,1)</f>
        <v>1</v>
      </c>
    </row>
    <row r="1035" spans="1:18" x14ac:dyDescent="0.35">
      <c r="A1035">
        <v>1449</v>
      </c>
      <c r="B1035" t="s">
        <v>1155</v>
      </c>
      <c r="C1035" s="1">
        <v>45176.598611111112</v>
      </c>
      <c r="D1035" t="s">
        <v>25</v>
      </c>
      <c r="E1035" t="s">
        <v>58</v>
      </c>
      <c r="F1035" t="s">
        <v>1125</v>
      </c>
      <c r="G1035" t="s">
        <v>19</v>
      </c>
      <c r="H1035">
        <v>176</v>
      </c>
      <c r="I1035">
        <v>16</v>
      </c>
      <c r="J1035" t="s">
        <v>35</v>
      </c>
      <c r="K1035" t="s">
        <v>33</v>
      </c>
      <c r="L1035" t="s">
        <v>42</v>
      </c>
      <c r="M1035" t="s">
        <v>23</v>
      </c>
      <c r="N1035">
        <v>0</v>
      </c>
      <c r="O1035">
        <v>1</v>
      </c>
      <c r="P1035" s="8">
        <f>INT(Delivery_data[[#This Row],[Order Timestamp]])</f>
        <v>45176</v>
      </c>
      <c r="Q1035" t="str">
        <f ca="1">IF(Delivery_data[[#This Row],[Order Status]]="In Progress", TODAY()-Delivery_data[[#This Row],[Order Date]], "")</f>
        <v/>
      </c>
      <c r="R1035">
        <f>IF(Delivery_data[[#This Row],[On Time]]=1,0,1)</f>
        <v>1</v>
      </c>
    </row>
    <row r="1036" spans="1:18" x14ac:dyDescent="0.35">
      <c r="A1036">
        <v>1453</v>
      </c>
      <c r="B1036" t="s">
        <v>1156</v>
      </c>
      <c r="C1036" s="1">
        <v>45171.505555555559</v>
      </c>
      <c r="D1036" t="s">
        <v>16</v>
      </c>
      <c r="E1036" t="s">
        <v>91</v>
      </c>
      <c r="F1036" t="s">
        <v>1125</v>
      </c>
      <c r="G1036" t="s">
        <v>362</v>
      </c>
      <c r="H1036">
        <v>235</v>
      </c>
      <c r="I1036">
        <v>27</v>
      </c>
      <c r="J1036" t="s">
        <v>27</v>
      </c>
      <c r="K1036" t="s">
        <v>51</v>
      </c>
      <c r="L1036" t="s">
        <v>42</v>
      </c>
      <c r="M1036" t="s">
        <v>23</v>
      </c>
      <c r="N1036">
        <v>0</v>
      </c>
      <c r="O1036">
        <v>0</v>
      </c>
      <c r="P1036" s="8">
        <f>INT(Delivery_data[[#This Row],[Order Timestamp]])</f>
        <v>45171</v>
      </c>
      <c r="Q1036">
        <f ca="1">IF(Delivery_data[[#This Row],[Order Status]]="In Progress", TODAY()-Delivery_data[[#This Row],[Order Date]], "")</f>
        <v>812</v>
      </c>
      <c r="R1036">
        <f>IF(Delivery_data[[#This Row],[On Time]]=1,0,1)</f>
        <v>1</v>
      </c>
    </row>
    <row r="1037" spans="1:18" x14ac:dyDescent="0.35">
      <c r="A1037">
        <v>1474</v>
      </c>
      <c r="B1037" t="s">
        <v>1157</v>
      </c>
      <c r="C1037" s="1">
        <v>45173.51458333333</v>
      </c>
      <c r="D1037" t="s">
        <v>16</v>
      </c>
      <c r="E1037" t="s">
        <v>32</v>
      </c>
      <c r="F1037" t="s">
        <v>1125</v>
      </c>
      <c r="G1037" t="s">
        <v>233</v>
      </c>
      <c r="H1037">
        <v>97</v>
      </c>
      <c r="I1037">
        <v>23</v>
      </c>
      <c r="J1037" t="s">
        <v>27</v>
      </c>
      <c r="K1037" t="s">
        <v>21</v>
      </c>
      <c r="L1037" t="s">
        <v>42</v>
      </c>
      <c r="M1037" t="s">
        <v>39</v>
      </c>
      <c r="N1037">
        <v>0</v>
      </c>
      <c r="O1037">
        <v>0</v>
      </c>
      <c r="P1037" s="8">
        <f>INT(Delivery_data[[#This Row],[Order Timestamp]])</f>
        <v>45173</v>
      </c>
      <c r="Q1037">
        <f ca="1">IF(Delivery_data[[#This Row],[Order Status]]="In Progress", TODAY()-Delivery_data[[#This Row],[Order Date]], "")</f>
        <v>810</v>
      </c>
      <c r="R1037">
        <f>IF(Delivery_data[[#This Row],[On Time]]=1,0,1)</f>
        <v>1</v>
      </c>
    </row>
    <row r="1038" spans="1:18" x14ac:dyDescent="0.35">
      <c r="A1038">
        <v>1488</v>
      </c>
      <c r="B1038" t="s">
        <v>1158</v>
      </c>
      <c r="C1038" s="1">
        <v>45173.395833333336</v>
      </c>
      <c r="D1038" t="s">
        <v>16</v>
      </c>
      <c r="E1038" t="s">
        <v>126</v>
      </c>
      <c r="F1038" t="s">
        <v>1125</v>
      </c>
      <c r="G1038" t="s">
        <v>233</v>
      </c>
      <c r="H1038">
        <v>193</v>
      </c>
      <c r="I1038">
        <v>28</v>
      </c>
      <c r="J1038" t="s">
        <v>35</v>
      </c>
      <c r="K1038" t="s">
        <v>28</v>
      </c>
      <c r="L1038" t="s">
        <v>42</v>
      </c>
      <c r="M1038" t="s">
        <v>23</v>
      </c>
      <c r="N1038">
        <v>0</v>
      </c>
      <c r="O1038">
        <v>1</v>
      </c>
      <c r="P1038" s="8">
        <f>INT(Delivery_data[[#This Row],[Order Timestamp]])</f>
        <v>45173</v>
      </c>
      <c r="Q1038">
        <f ca="1">IF(Delivery_data[[#This Row],[Order Status]]="In Progress", TODAY()-Delivery_data[[#This Row],[Order Date]], "")</f>
        <v>810</v>
      </c>
      <c r="R1038">
        <f>IF(Delivery_data[[#This Row],[On Time]]=1,0,1)</f>
        <v>1</v>
      </c>
    </row>
    <row r="1039" spans="1:18" x14ac:dyDescent="0.35">
      <c r="A1039">
        <v>1502</v>
      </c>
      <c r="B1039" t="s">
        <v>1159</v>
      </c>
      <c r="C1039" s="1">
        <v>45176.699305555558</v>
      </c>
      <c r="D1039" t="s">
        <v>16</v>
      </c>
      <c r="E1039" t="s">
        <v>96</v>
      </c>
      <c r="F1039" t="s">
        <v>1125</v>
      </c>
      <c r="G1039" t="s">
        <v>19</v>
      </c>
      <c r="H1039">
        <v>125</v>
      </c>
      <c r="I1039">
        <v>16</v>
      </c>
      <c r="J1039" t="s">
        <v>27</v>
      </c>
      <c r="K1039" t="s">
        <v>51</v>
      </c>
      <c r="L1039" t="s">
        <v>42</v>
      </c>
      <c r="M1039" t="s">
        <v>23</v>
      </c>
      <c r="N1039">
        <v>0</v>
      </c>
      <c r="O1039">
        <v>0</v>
      </c>
      <c r="P1039" s="8">
        <f>INT(Delivery_data[[#This Row],[Order Timestamp]])</f>
        <v>45176</v>
      </c>
      <c r="Q1039">
        <f ca="1">IF(Delivery_data[[#This Row],[Order Status]]="In Progress", TODAY()-Delivery_data[[#This Row],[Order Date]], "")</f>
        <v>807</v>
      </c>
      <c r="R1039">
        <f>IF(Delivery_data[[#This Row],[On Time]]=1,0,1)</f>
        <v>1</v>
      </c>
    </row>
    <row r="1040" spans="1:18" x14ac:dyDescent="0.35">
      <c r="A1040">
        <v>1511</v>
      </c>
      <c r="B1040" t="s">
        <v>1160</v>
      </c>
      <c r="C1040" s="1">
        <v>45173.707638888889</v>
      </c>
      <c r="D1040" t="s">
        <v>25</v>
      </c>
      <c r="E1040" t="s">
        <v>416</v>
      </c>
      <c r="F1040" t="s">
        <v>1125</v>
      </c>
      <c r="G1040" t="s">
        <v>557</v>
      </c>
      <c r="H1040">
        <v>87</v>
      </c>
      <c r="I1040">
        <v>9</v>
      </c>
      <c r="J1040" t="s">
        <v>20</v>
      </c>
      <c r="K1040" t="s">
        <v>51</v>
      </c>
      <c r="L1040" t="s">
        <v>42</v>
      </c>
      <c r="M1040" t="s">
        <v>39</v>
      </c>
      <c r="N1040">
        <v>0</v>
      </c>
      <c r="O1040">
        <v>0</v>
      </c>
      <c r="P1040" s="8">
        <f>INT(Delivery_data[[#This Row],[Order Timestamp]])</f>
        <v>45173</v>
      </c>
      <c r="Q1040" t="str">
        <f ca="1">IF(Delivery_data[[#This Row],[Order Status]]="In Progress", TODAY()-Delivery_data[[#This Row],[Order Date]], "")</f>
        <v/>
      </c>
      <c r="R1040">
        <f>IF(Delivery_data[[#This Row],[On Time]]=1,0,1)</f>
        <v>1</v>
      </c>
    </row>
    <row r="1041" spans="1:18" x14ac:dyDescent="0.35">
      <c r="A1041">
        <v>1522</v>
      </c>
      <c r="B1041" t="s">
        <v>1161</v>
      </c>
      <c r="C1041" s="1">
        <v>45176.474305555559</v>
      </c>
      <c r="D1041" t="s">
        <v>25</v>
      </c>
      <c r="E1041" t="s">
        <v>209</v>
      </c>
      <c r="F1041" t="s">
        <v>1125</v>
      </c>
      <c r="G1041" t="s">
        <v>19</v>
      </c>
      <c r="H1041">
        <v>136</v>
      </c>
      <c r="I1041">
        <v>25</v>
      </c>
      <c r="J1041" t="s">
        <v>27</v>
      </c>
      <c r="K1041" t="s">
        <v>51</v>
      </c>
      <c r="L1041" t="s">
        <v>42</v>
      </c>
      <c r="M1041" t="s">
        <v>39</v>
      </c>
      <c r="N1041">
        <v>0</v>
      </c>
      <c r="O1041">
        <v>0</v>
      </c>
      <c r="P1041" s="8">
        <f>INT(Delivery_data[[#This Row],[Order Timestamp]])</f>
        <v>45176</v>
      </c>
      <c r="Q1041" t="str">
        <f ca="1">IF(Delivery_data[[#This Row],[Order Status]]="In Progress", TODAY()-Delivery_data[[#This Row],[Order Date]], "")</f>
        <v/>
      </c>
      <c r="R1041">
        <f>IF(Delivery_data[[#This Row],[On Time]]=1,0,1)</f>
        <v>1</v>
      </c>
    </row>
    <row r="1042" spans="1:18" x14ac:dyDescent="0.35">
      <c r="A1042">
        <v>1573</v>
      </c>
      <c r="B1042" t="s">
        <v>1162</v>
      </c>
      <c r="C1042" s="1">
        <v>45176.503472222219</v>
      </c>
      <c r="D1042" t="s">
        <v>25</v>
      </c>
      <c r="E1042" t="s">
        <v>110</v>
      </c>
      <c r="F1042" t="s">
        <v>1125</v>
      </c>
      <c r="G1042" t="s">
        <v>362</v>
      </c>
      <c r="H1042">
        <v>162</v>
      </c>
      <c r="I1042">
        <v>20</v>
      </c>
      <c r="J1042" t="s">
        <v>27</v>
      </c>
      <c r="K1042" t="s">
        <v>51</v>
      </c>
      <c r="L1042" t="s">
        <v>42</v>
      </c>
      <c r="M1042" t="s">
        <v>23</v>
      </c>
      <c r="N1042">
        <v>0</v>
      </c>
      <c r="O1042">
        <v>0</v>
      </c>
      <c r="P1042" s="8">
        <f>INT(Delivery_data[[#This Row],[Order Timestamp]])</f>
        <v>45176</v>
      </c>
      <c r="Q1042" t="str">
        <f ca="1">IF(Delivery_data[[#This Row],[Order Status]]="In Progress", TODAY()-Delivery_data[[#This Row],[Order Date]], "")</f>
        <v/>
      </c>
      <c r="R1042">
        <f>IF(Delivery_data[[#This Row],[On Time]]=1,0,1)</f>
        <v>1</v>
      </c>
    </row>
    <row r="1043" spans="1:18" x14ac:dyDescent="0.35">
      <c r="A1043">
        <v>1578</v>
      </c>
      <c r="B1043" t="s">
        <v>1163</v>
      </c>
      <c r="C1043" s="1">
        <v>45172.553472222222</v>
      </c>
      <c r="D1043" t="s">
        <v>25</v>
      </c>
      <c r="E1043" t="s">
        <v>292</v>
      </c>
      <c r="F1043" t="s">
        <v>1125</v>
      </c>
      <c r="G1043" t="s">
        <v>362</v>
      </c>
      <c r="H1043">
        <v>77</v>
      </c>
      <c r="I1043">
        <v>21</v>
      </c>
      <c r="J1043" t="s">
        <v>35</v>
      </c>
      <c r="K1043" t="s">
        <v>51</v>
      </c>
      <c r="L1043" t="s">
        <v>42</v>
      </c>
      <c r="M1043" t="s">
        <v>39</v>
      </c>
      <c r="N1043">
        <v>0</v>
      </c>
      <c r="O1043">
        <v>1</v>
      </c>
      <c r="P1043" s="8">
        <f>INT(Delivery_data[[#This Row],[Order Timestamp]])</f>
        <v>45172</v>
      </c>
      <c r="Q1043" t="str">
        <f ca="1">IF(Delivery_data[[#This Row],[Order Status]]="In Progress", TODAY()-Delivery_data[[#This Row],[Order Date]], "")</f>
        <v/>
      </c>
      <c r="R1043">
        <f>IF(Delivery_data[[#This Row],[On Time]]=1,0,1)</f>
        <v>1</v>
      </c>
    </row>
    <row r="1044" spans="1:18" x14ac:dyDescent="0.35">
      <c r="A1044">
        <v>1606</v>
      </c>
      <c r="B1044" t="s">
        <v>1164</v>
      </c>
      <c r="C1044" s="1">
        <v>45170.586805555555</v>
      </c>
      <c r="D1044" t="s">
        <v>16</v>
      </c>
      <c r="E1044" t="s">
        <v>96</v>
      </c>
      <c r="F1044" t="s">
        <v>1125</v>
      </c>
      <c r="G1044" t="s">
        <v>557</v>
      </c>
      <c r="H1044">
        <v>234</v>
      </c>
      <c r="I1044">
        <v>28</v>
      </c>
      <c r="J1044" t="s">
        <v>27</v>
      </c>
      <c r="K1044" t="s">
        <v>33</v>
      </c>
      <c r="L1044" t="s">
        <v>42</v>
      </c>
      <c r="M1044" t="s">
        <v>39</v>
      </c>
      <c r="N1044">
        <v>0</v>
      </c>
      <c r="O1044">
        <v>0</v>
      </c>
      <c r="P1044" s="8">
        <f>INT(Delivery_data[[#This Row],[Order Timestamp]])</f>
        <v>45170</v>
      </c>
      <c r="Q1044">
        <f ca="1">IF(Delivery_data[[#This Row],[Order Status]]="In Progress", TODAY()-Delivery_data[[#This Row],[Order Date]], "")</f>
        <v>813</v>
      </c>
      <c r="R1044">
        <f>IF(Delivery_data[[#This Row],[On Time]]=1,0,1)</f>
        <v>1</v>
      </c>
    </row>
    <row r="1045" spans="1:18" x14ac:dyDescent="0.35">
      <c r="A1045">
        <v>1611</v>
      </c>
      <c r="B1045" t="s">
        <v>1165</v>
      </c>
      <c r="C1045" s="1">
        <v>45170.571527777778</v>
      </c>
      <c r="D1045" t="s">
        <v>25</v>
      </c>
      <c r="E1045" t="s">
        <v>598</v>
      </c>
      <c r="F1045" t="s">
        <v>1125</v>
      </c>
      <c r="G1045" t="s">
        <v>557</v>
      </c>
      <c r="H1045">
        <v>180</v>
      </c>
      <c r="I1045">
        <v>5</v>
      </c>
      <c r="J1045" t="s">
        <v>35</v>
      </c>
      <c r="K1045" t="s">
        <v>38</v>
      </c>
      <c r="L1045" t="s">
        <v>42</v>
      </c>
      <c r="M1045" t="s">
        <v>39</v>
      </c>
      <c r="N1045">
        <v>0</v>
      </c>
      <c r="O1045">
        <v>1</v>
      </c>
      <c r="P1045" s="8">
        <f>INT(Delivery_data[[#This Row],[Order Timestamp]])</f>
        <v>45170</v>
      </c>
      <c r="Q1045" t="str">
        <f ca="1">IF(Delivery_data[[#This Row],[Order Status]]="In Progress", TODAY()-Delivery_data[[#This Row],[Order Date]], "")</f>
        <v/>
      </c>
      <c r="R1045">
        <f>IF(Delivery_data[[#This Row],[On Time]]=1,0,1)</f>
        <v>1</v>
      </c>
    </row>
    <row r="1046" spans="1:18" x14ac:dyDescent="0.35">
      <c r="A1046">
        <v>1613</v>
      </c>
      <c r="B1046" t="s">
        <v>1166</v>
      </c>
      <c r="C1046" s="1">
        <v>45174.413888888892</v>
      </c>
      <c r="D1046" t="s">
        <v>25</v>
      </c>
      <c r="E1046" t="s">
        <v>230</v>
      </c>
      <c r="F1046" t="s">
        <v>1125</v>
      </c>
      <c r="G1046" t="s">
        <v>463</v>
      </c>
      <c r="H1046">
        <v>135</v>
      </c>
      <c r="I1046">
        <v>26</v>
      </c>
      <c r="J1046" t="s">
        <v>20</v>
      </c>
      <c r="K1046" t="s">
        <v>38</v>
      </c>
      <c r="L1046" t="s">
        <v>42</v>
      </c>
      <c r="M1046" t="s">
        <v>23</v>
      </c>
      <c r="N1046">
        <v>0</v>
      </c>
      <c r="O1046">
        <v>0</v>
      </c>
      <c r="P1046" s="8">
        <f>INT(Delivery_data[[#This Row],[Order Timestamp]])</f>
        <v>45174</v>
      </c>
      <c r="Q1046" t="str">
        <f ca="1">IF(Delivery_data[[#This Row],[Order Status]]="In Progress", TODAY()-Delivery_data[[#This Row],[Order Date]], "")</f>
        <v/>
      </c>
      <c r="R1046">
        <f>IF(Delivery_data[[#This Row],[On Time]]=1,0,1)</f>
        <v>1</v>
      </c>
    </row>
    <row r="1047" spans="1:18" x14ac:dyDescent="0.35">
      <c r="A1047">
        <v>1614</v>
      </c>
      <c r="B1047" t="s">
        <v>1167</v>
      </c>
      <c r="C1047" s="1">
        <v>45175.697916666664</v>
      </c>
      <c r="D1047" t="s">
        <v>25</v>
      </c>
      <c r="E1047" t="s">
        <v>94</v>
      </c>
      <c r="F1047" t="s">
        <v>1125</v>
      </c>
      <c r="G1047" t="s">
        <v>362</v>
      </c>
      <c r="H1047">
        <v>106</v>
      </c>
      <c r="I1047">
        <v>28</v>
      </c>
      <c r="J1047" t="s">
        <v>27</v>
      </c>
      <c r="K1047" t="s">
        <v>21</v>
      </c>
      <c r="L1047" t="s">
        <v>42</v>
      </c>
      <c r="M1047" t="s">
        <v>39</v>
      </c>
      <c r="N1047">
        <v>0</v>
      </c>
      <c r="O1047">
        <v>0</v>
      </c>
      <c r="P1047" s="8">
        <f>INT(Delivery_data[[#This Row],[Order Timestamp]])</f>
        <v>45175</v>
      </c>
      <c r="Q1047" t="str">
        <f ca="1">IF(Delivery_data[[#This Row],[Order Status]]="In Progress", TODAY()-Delivery_data[[#This Row],[Order Date]], "")</f>
        <v/>
      </c>
      <c r="R1047">
        <f>IF(Delivery_data[[#This Row],[On Time]]=1,0,1)</f>
        <v>1</v>
      </c>
    </row>
    <row r="1048" spans="1:18" x14ac:dyDescent="0.35">
      <c r="A1048">
        <v>1644</v>
      </c>
      <c r="B1048" t="s">
        <v>1168</v>
      </c>
      <c r="C1048" s="1">
        <v>45174.665972222225</v>
      </c>
      <c r="D1048" t="s">
        <v>25</v>
      </c>
      <c r="E1048" t="s">
        <v>83</v>
      </c>
      <c r="F1048" t="s">
        <v>1125</v>
      </c>
      <c r="G1048" t="s">
        <v>233</v>
      </c>
      <c r="H1048">
        <v>226</v>
      </c>
      <c r="I1048">
        <v>15</v>
      </c>
      <c r="J1048" t="s">
        <v>20</v>
      </c>
      <c r="K1048" t="s">
        <v>28</v>
      </c>
      <c r="L1048" t="s">
        <v>42</v>
      </c>
      <c r="M1048" t="s">
        <v>39</v>
      </c>
      <c r="N1048">
        <v>0</v>
      </c>
      <c r="O1048">
        <v>0</v>
      </c>
      <c r="P1048" s="8">
        <f>INT(Delivery_data[[#This Row],[Order Timestamp]])</f>
        <v>45174</v>
      </c>
      <c r="Q1048" t="str">
        <f ca="1">IF(Delivery_data[[#This Row],[Order Status]]="In Progress", TODAY()-Delivery_data[[#This Row],[Order Date]], "")</f>
        <v/>
      </c>
      <c r="R1048">
        <f>IF(Delivery_data[[#This Row],[On Time]]=1,0,1)</f>
        <v>1</v>
      </c>
    </row>
    <row r="1049" spans="1:18" x14ac:dyDescent="0.35">
      <c r="A1049">
        <v>1653</v>
      </c>
      <c r="B1049" t="s">
        <v>1169</v>
      </c>
      <c r="C1049" s="1">
        <v>45171.362500000003</v>
      </c>
      <c r="D1049" t="s">
        <v>16</v>
      </c>
      <c r="E1049" t="s">
        <v>360</v>
      </c>
      <c r="F1049" t="s">
        <v>1125</v>
      </c>
      <c r="G1049" t="s">
        <v>557</v>
      </c>
      <c r="H1049">
        <v>227</v>
      </c>
      <c r="I1049">
        <v>6</v>
      </c>
      <c r="J1049" t="s">
        <v>27</v>
      </c>
      <c r="K1049" t="s">
        <v>38</v>
      </c>
      <c r="L1049" t="s">
        <v>42</v>
      </c>
      <c r="M1049" t="s">
        <v>23</v>
      </c>
      <c r="N1049">
        <v>0</v>
      </c>
      <c r="O1049">
        <v>0</v>
      </c>
      <c r="P1049" s="8">
        <f>INT(Delivery_data[[#This Row],[Order Timestamp]])</f>
        <v>45171</v>
      </c>
      <c r="Q1049">
        <f ca="1">IF(Delivery_data[[#This Row],[Order Status]]="In Progress", TODAY()-Delivery_data[[#This Row],[Order Date]], "")</f>
        <v>812</v>
      </c>
      <c r="R1049">
        <f>IF(Delivery_data[[#This Row],[On Time]]=1,0,1)</f>
        <v>1</v>
      </c>
    </row>
    <row r="1050" spans="1:18" x14ac:dyDescent="0.35">
      <c r="A1050">
        <v>1680</v>
      </c>
      <c r="B1050" t="s">
        <v>1170</v>
      </c>
      <c r="C1050" s="1">
        <v>45170.377083333333</v>
      </c>
      <c r="D1050" t="s">
        <v>16</v>
      </c>
      <c r="E1050" t="s">
        <v>98</v>
      </c>
      <c r="F1050" t="s">
        <v>1125</v>
      </c>
      <c r="G1050" t="s">
        <v>233</v>
      </c>
      <c r="H1050">
        <v>145</v>
      </c>
      <c r="I1050">
        <v>9</v>
      </c>
      <c r="J1050" t="s">
        <v>20</v>
      </c>
      <c r="K1050" t="s">
        <v>51</v>
      </c>
      <c r="L1050" t="s">
        <v>42</v>
      </c>
      <c r="M1050" t="s">
        <v>23</v>
      </c>
      <c r="N1050">
        <v>0</v>
      </c>
      <c r="O1050">
        <v>0</v>
      </c>
      <c r="P1050" s="8">
        <f>INT(Delivery_data[[#This Row],[Order Timestamp]])</f>
        <v>45170</v>
      </c>
      <c r="Q1050">
        <f ca="1">IF(Delivery_data[[#This Row],[Order Status]]="In Progress", TODAY()-Delivery_data[[#This Row],[Order Date]], "")</f>
        <v>813</v>
      </c>
      <c r="R1050">
        <f>IF(Delivery_data[[#This Row],[On Time]]=1,0,1)</f>
        <v>1</v>
      </c>
    </row>
    <row r="1051" spans="1:18" x14ac:dyDescent="0.35">
      <c r="A1051">
        <v>1688</v>
      </c>
      <c r="B1051" t="s">
        <v>1171</v>
      </c>
      <c r="C1051" s="1">
        <v>45175.384722222225</v>
      </c>
      <c r="D1051" t="s">
        <v>16</v>
      </c>
      <c r="E1051" t="s">
        <v>356</v>
      </c>
      <c r="F1051" t="s">
        <v>1125</v>
      </c>
      <c r="G1051" t="s">
        <v>19</v>
      </c>
      <c r="H1051">
        <v>202</v>
      </c>
      <c r="I1051">
        <v>14</v>
      </c>
      <c r="J1051" t="s">
        <v>35</v>
      </c>
      <c r="K1051" t="s">
        <v>28</v>
      </c>
      <c r="L1051" t="s">
        <v>42</v>
      </c>
      <c r="M1051" t="s">
        <v>23</v>
      </c>
      <c r="N1051">
        <v>0</v>
      </c>
      <c r="O1051">
        <v>1</v>
      </c>
      <c r="P1051" s="8">
        <f>INT(Delivery_data[[#This Row],[Order Timestamp]])</f>
        <v>45175</v>
      </c>
      <c r="Q1051">
        <f ca="1">IF(Delivery_data[[#This Row],[Order Status]]="In Progress", TODAY()-Delivery_data[[#This Row],[Order Date]], "")</f>
        <v>808</v>
      </c>
      <c r="R1051">
        <f>IF(Delivery_data[[#This Row],[On Time]]=1,0,1)</f>
        <v>1</v>
      </c>
    </row>
    <row r="1052" spans="1:18" x14ac:dyDescent="0.35">
      <c r="A1052">
        <v>1691</v>
      </c>
      <c r="B1052" t="s">
        <v>1172</v>
      </c>
      <c r="C1052" s="1">
        <v>45175.571527777778</v>
      </c>
      <c r="D1052" t="s">
        <v>25</v>
      </c>
      <c r="E1052" t="s">
        <v>325</v>
      </c>
      <c r="F1052" t="s">
        <v>1125</v>
      </c>
      <c r="G1052" t="s">
        <v>557</v>
      </c>
      <c r="H1052">
        <v>195</v>
      </c>
      <c r="I1052">
        <v>10</v>
      </c>
      <c r="J1052" t="s">
        <v>27</v>
      </c>
      <c r="K1052" t="s">
        <v>33</v>
      </c>
      <c r="L1052" t="s">
        <v>42</v>
      </c>
      <c r="M1052" t="s">
        <v>23</v>
      </c>
      <c r="N1052">
        <v>0</v>
      </c>
      <c r="O1052">
        <v>0</v>
      </c>
      <c r="P1052" s="8">
        <f>INT(Delivery_data[[#This Row],[Order Timestamp]])</f>
        <v>45175</v>
      </c>
      <c r="Q1052" t="str">
        <f ca="1">IF(Delivery_data[[#This Row],[Order Status]]="In Progress", TODAY()-Delivery_data[[#This Row],[Order Date]], "")</f>
        <v/>
      </c>
      <c r="R1052">
        <f>IF(Delivery_data[[#This Row],[On Time]]=1,0,1)</f>
        <v>1</v>
      </c>
    </row>
    <row r="1053" spans="1:18" x14ac:dyDescent="0.35">
      <c r="A1053">
        <v>1692</v>
      </c>
      <c r="B1053" t="s">
        <v>1173</v>
      </c>
      <c r="C1053" s="1">
        <v>45175.418055555558</v>
      </c>
      <c r="D1053" t="s">
        <v>16</v>
      </c>
      <c r="E1053" t="s">
        <v>32</v>
      </c>
      <c r="F1053" t="s">
        <v>1125</v>
      </c>
      <c r="G1053" t="s">
        <v>362</v>
      </c>
      <c r="H1053">
        <v>114</v>
      </c>
      <c r="I1053">
        <v>14</v>
      </c>
      <c r="J1053" t="s">
        <v>20</v>
      </c>
      <c r="K1053" t="s">
        <v>38</v>
      </c>
      <c r="L1053" t="s">
        <v>42</v>
      </c>
      <c r="M1053" t="s">
        <v>39</v>
      </c>
      <c r="N1053">
        <v>0</v>
      </c>
      <c r="O1053">
        <v>0</v>
      </c>
      <c r="P1053" s="8">
        <f>INT(Delivery_data[[#This Row],[Order Timestamp]])</f>
        <v>45175</v>
      </c>
      <c r="Q1053">
        <f ca="1">IF(Delivery_data[[#This Row],[Order Status]]="In Progress", TODAY()-Delivery_data[[#This Row],[Order Date]], "")</f>
        <v>808</v>
      </c>
      <c r="R1053">
        <f>IF(Delivery_data[[#This Row],[On Time]]=1,0,1)</f>
        <v>1</v>
      </c>
    </row>
    <row r="1054" spans="1:18" x14ac:dyDescent="0.35">
      <c r="A1054">
        <v>1717</v>
      </c>
      <c r="B1054" t="s">
        <v>1174</v>
      </c>
      <c r="C1054" s="1">
        <v>45171.51458333333</v>
      </c>
      <c r="D1054" t="s">
        <v>25</v>
      </c>
      <c r="E1054" t="s">
        <v>113</v>
      </c>
      <c r="F1054" t="s">
        <v>1125</v>
      </c>
      <c r="G1054" t="s">
        <v>19</v>
      </c>
      <c r="H1054">
        <v>161</v>
      </c>
      <c r="I1054">
        <v>24</v>
      </c>
      <c r="J1054" t="s">
        <v>35</v>
      </c>
      <c r="K1054" t="s">
        <v>51</v>
      </c>
      <c r="L1054" t="s">
        <v>42</v>
      </c>
      <c r="M1054" t="s">
        <v>23</v>
      </c>
      <c r="N1054">
        <v>0</v>
      </c>
      <c r="O1054">
        <v>1</v>
      </c>
      <c r="P1054" s="8">
        <f>INT(Delivery_data[[#This Row],[Order Timestamp]])</f>
        <v>45171</v>
      </c>
      <c r="Q1054" t="str">
        <f ca="1">IF(Delivery_data[[#This Row],[Order Status]]="In Progress", TODAY()-Delivery_data[[#This Row],[Order Date]], "")</f>
        <v/>
      </c>
      <c r="R1054">
        <f>IF(Delivery_data[[#This Row],[On Time]]=1,0,1)</f>
        <v>1</v>
      </c>
    </row>
    <row r="1055" spans="1:18" x14ac:dyDescent="0.35">
      <c r="A1055">
        <v>1722</v>
      </c>
      <c r="B1055" t="s">
        <v>1175</v>
      </c>
      <c r="C1055" s="1">
        <v>45173.677777777775</v>
      </c>
      <c r="D1055" t="s">
        <v>25</v>
      </c>
      <c r="E1055" t="s">
        <v>209</v>
      </c>
      <c r="F1055" t="s">
        <v>1125</v>
      </c>
      <c r="G1055" t="s">
        <v>463</v>
      </c>
      <c r="H1055">
        <v>190</v>
      </c>
      <c r="I1055">
        <v>16</v>
      </c>
      <c r="J1055" t="s">
        <v>27</v>
      </c>
      <c r="K1055" t="s">
        <v>51</v>
      </c>
      <c r="L1055" t="s">
        <v>42</v>
      </c>
      <c r="M1055" t="s">
        <v>23</v>
      </c>
      <c r="N1055">
        <v>0</v>
      </c>
      <c r="O1055">
        <v>0</v>
      </c>
      <c r="P1055" s="8">
        <f>INT(Delivery_data[[#This Row],[Order Timestamp]])</f>
        <v>45173</v>
      </c>
      <c r="Q1055" t="str">
        <f ca="1">IF(Delivery_data[[#This Row],[Order Status]]="In Progress", TODAY()-Delivery_data[[#This Row],[Order Date]], "")</f>
        <v/>
      </c>
      <c r="R1055">
        <f>IF(Delivery_data[[#This Row],[On Time]]=1,0,1)</f>
        <v>1</v>
      </c>
    </row>
    <row r="1056" spans="1:18" x14ac:dyDescent="0.35">
      <c r="A1056">
        <v>1760</v>
      </c>
      <c r="B1056" t="s">
        <v>1176</v>
      </c>
      <c r="C1056" s="1">
        <v>45172.672222222223</v>
      </c>
      <c r="D1056" t="s">
        <v>25</v>
      </c>
      <c r="E1056" t="s">
        <v>44</v>
      </c>
      <c r="F1056" t="s">
        <v>1125</v>
      </c>
      <c r="G1056" t="s">
        <v>557</v>
      </c>
      <c r="H1056">
        <v>97</v>
      </c>
      <c r="I1056">
        <v>10</v>
      </c>
      <c r="J1056" t="s">
        <v>20</v>
      </c>
      <c r="K1056" t="s">
        <v>28</v>
      </c>
      <c r="L1056" t="s">
        <v>42</v>
      </c>
      <c r="M1056" t="s">
        <v>23</v>
      </c>
      <c r="N1056">
        <v>0</v>
      </c>
      <c r="O1056">
        <v>0</v>
      </c>
      <c r="P1056" s="8">
        <f>INT(Delivery_data[[#This Row],[Order Timestamp]])</f>
        <v>45172</v>
      </c>
      <c r="Q1056" t="str">
        <f ca="1">IF(Delivery_data[[#This Row],[Order Status]]="In Progress", TODAY()-Delivery_data[[#This Row],[Order Date]], "")</f>
        <v/>
      </c>
      <c r="R1056">
        <f>IF(Delivery_data[[#This Row],[On Time]]=1,0,1)</f>
        <v>1</v>
      </c>
    </row>
    <row r="1057" spans="1:18" x14ac:dyDescent="0.35">
      <c r="A1057">
        <v>1764</v>
      </c>
      <c r="B1057" t="s">
        <v>1177</v>
      </c>
      <c r="C1057" s="1">
        <v>45172.463888888888</v>
      </c>
      <c r="D1057" t="s">
        <v>25</v>
      </c>
      <c r="E1057" t="s">
        <v>346</v>
      </c>
      <c r="F1057" t="s">
        <v>1125</v>
      </c>
      <c r="G1057" t="s">
        <v>362</v>
      </c>
      <c r="H1057">
        <v>150</v>
      </c>
      <c r="I1057">
        <v>22</v>
      </c>
      <c r="J1057" t="s">
        <v>20</v>
      </c>
      <c r="K1057" t="s">
        <v>38</v>
      </c>
      <c r="L1057" t="s">
        <v>42</v>
      </c>
      <c r="M1057" t="s">
        <v>23</v>
      </c>
      <c r="N1057">
        <v>0</v>
      </c>
      <c r="O1057">
        <v>0</v>
      </c>
      <c r="P1057" s="8">
        <f>INT(Delivery_data[[#This Row],[Order Timestamp]])</f>
        <v>45172</v>
      </c>
      <c r="Q1057" t="str">
        <f ca="1">IF(Delivery_data[[#This Row],[Order Status]]="In Progress", TODAY()-Delivery_data[[#This Row],[Order Date]], "")</f>
        <v/>
      </c>
      <c r="R1057">
        <f>IF(Delivery_data[[#This Row],[On Time]]=1,0,1)</f>
        <v>1</v>
      </c>
    </row>
    <row r="1058" spans="1:18" x14ac:dyDescent="0.35">
      <c r="A1058">
        <v>1788</v>
      </c>
      <c r="B1058" t="s">
        <v>1178</v>
      </c>
      <c r="C1058" s="1">
        <v>45171.443055555559</v>
      </c>
      <c r="D1058" t="s">
        <v>16</v>
      </c>
      <c r="E1058" t="s">
        <v>172</v>
      </c>
      <c r="F1058" t="s">
        <v>1125</v>
      </c>
      <c r="G1058" t="s">
        <v>463</v>
      </c>
      <c r="H1058">
        <v>150</v>
      </c>
      <c r="I1058">
        <v>18</v>
      </c>
      <c r="J1058" t="s">
        <v>27</v>
      </c>
      <c r="K1058" t="s">
        <v>38</v>
      </c>
      <c r="L1058" t="s">
        <v>42</v>
      </c>
      <c r="M1058" t="s">
        <v>39</v>
      </c>
      <c r="N1058">
        <v>0</v>
      </c>
      <c r="O1058">
        <v>0</v>
      </c>
      <c r="P1058" s="8">
        <f>INT(Delivery_data[[#This Row],[Order Timestamp]])</f>
        <v>45171</v>
      </c>
      <c r="Q1058">
        <f ca="1">IF(Delivery_data[[#This Row],[Order Status]]="In Progress", TODAY()-Delivery_data[[#This Row],[Order Date]], "")</f>
        <v>812</v>
      </c>
      <c r="R1058">
        <f>IF(Delivery_data[[#This Row],[On Time]]=1,0,1)</f>
        <v>1</v>
      </c>
    </row>
    <row r="1059" spans="1:18" x14ac:dyDescent="0.35">
      <c r="A1059">
        <v>1796</v>
      </c>
      <c r="B1059" t="s">
        <v>1179</v>
      </c>
      <c r="C1059" s="1">
        <v>45172.590277777781</v>
      </c>
      <c r="D1059" t="s">
        <v>25</v>
      </c>
      <c r="E1059" t="s">
        <v>56</v>
      </c>
      <c r="F1059" t="s">
        <v>1125</v>
      </c>
      <c r="G1059" t="s">
        <v>463</v>
      </c>
      <c r="H1059">
        <v>151</v>
      </c>
      <c r="I1059">
        <v>2</v>
      </c>
      <c r="J1059" t="s">
        <v>27</v>
      </c>
      <c r="K1059" t="s">
        <v>28</v>
      </c>
      <c r="L1059" t="s">
        <v>42</v>
      </c>
      <c r="M1059" t="s">
        <v>23</v>
      </c>
      <c r="N1059">
        <v>0</v>
      </c>
      <c r="O1059">
        <v>0</v>
      </c>
      <c r="P1059" s="8">
        <f>INT(Delivery_data[[#This Row],[Order Timestamp]])</f>
        <v>45172</v>
      </c>
      <c r="Q1059" t="str">
        <f ca="1">IF(Delivery_data[[#This Row],[Order Status]]="In Progress", TODAY()-Delivery_data[[#This Row],[Order Date]], "")</f>
        <v/>
      </c>
      <c r="R1059">
        <f>IF(Delivery_data[[#This Row],[On Time]]=1,0,1)</f>
        <v>1</v>
      </c>
    </row>
    <row r="1060" spans="1:18" x14ac:dyDescent="0.35">
      <c r="A1060">
        <v>1798</v>
      </c>
      <c r="B1060" t="s">
        <v>1180</v>
      </c>
      <c r="C1060" s="1">
        <v>45177.393055555556</v>
      </c>
      <c r="D1060" t="s">
        <v>16</v>
      </c>
      <c r="E1060" t="s">
        <v>64</v>
      </c>
      <c r="F1060" t="s">
        <v>1125</v>
      </c>
      <c r="G1060" t="s">
        <v>557</v>
      </c>
      <c r="H1060">
        <v>201</v>
      </c>
      <c r="I1060">
        <v>10</v>
      </c>
      <c r="J1060" t="s">
        <v>27</v>
      </c>
      <c r="K1060" t="s">
        <v>33</v>
      </c>
      <c r="L1060" t="s">
        <v>42</v>
      </c>
      <c r="M1060" t="s">
        <v>23</v>
      </c>
      <c r="N1060">
        <v>0</v>
      </c>
      <c r="O1060">
        <v>0</v>
      </c>
      <c r="P1060" s="8">
        <f>INT(Delivery_data[[#This Row],[Order Timestamp]])</f>
        <v>45177</v>
      </c>
      <c r="Q1060">
        <f ca="1">IF(Delivery_data[[#This Row],[Order Status]]="In Progress", TODAY()-Delivery_data[[#This Row],[Order Date]], "")</f>
        <v>806</v>
      </c>
      <c r="R1060">
        <f>IF(Delivery_data[[#This Row],[On Time]]=1,0,1)</f>
        <v>1</v>
      </c>
    </row>
    <row r="1061" spans="1:18" x14ac:dyDescent="0.35">
      <c r="A1061">
        <v>1812</v>
      </c>
      <c r="B1061" t="s">
        <v>1181</v>
      </c>
      <c r="C1061" s="1">
        <v>45176.52847222222</v>
      </c>
      <c r="D1061" t="s">
        <v>25</v>
      </c>
      <c r="E1061" t="s">
        <v>346</v>
      </c>
      <c r="F1061" t="s">
        <v>1125</v>
      </c>
      <c r="G1061" t="s">
        <v>463</v>
      </c>
      <c r="H1061">
        <v>211</v>
      </c>
      <c r="I1061">
        <v>23</v>
      </c>
      <c r="J1061" t="s">
        <v>27</v>
      </c>
      <c r="K1061" t="s">
        <v>33</v>
      </c>
      <c r="L1061" t="s">
        <v>42</v>
      </c>
      <c r="M1061" t="s">
        <v>39</v>
      </c>
      <c r="N1061">
        <v>0</v>
      </c>
      <c r="O1061">
        <v>0</v>
      </c>
      <c r="P1061" s="8">
        <f>INT(Delivery_data[[#This Row],[Order Timestamp]])</f>
        <v>45176</v>
      </c>
      <c r="Q1061" t="str">
        <f ca="1">IF(Delivery_data[[#This Row],[Order Status]]="In Progress", TODAY()-Delivery_data[[#This Row],[Order Date]], "")</f>
        <v/>
      </c>
      <c r="R1061">
        <f>IF(Delivery_data[[#This Row],[On Time]]=1,0,1)</f>
        <v>1</v>
      </c>
    </row>
    <row r="1062" spans="1:18" x14ac:dyDescent="0.35">
      <c r="A1062">
        <v>1828</v>
      </c>
      <c r="B1062" t="s">
        <v>1182</v>
      </c>
      <c r="C1062" s="1">
        <v>45172.49722222222</v>
      </c>
      <c r="D1062" t="s">
        <v>25</v>
      </c>
      <c r="E1062" t="s">
        <v>64</v>
      </c>
      <c r="F1062" t="s">
        <v>1125</v>
      </c>
      <c r="G1062" t="s">
        <v>362</v>
      </c>
      <c r="H1062">
        <v>68</v>
      </c>
      <c r="I1062">
        <v>4</v>
      </c>
      <c r="J1062" t="s">
        <v>27</v>
      </c>
      <c r="K1062" t="s">
        <v>28</v>
      </c>
      <c r="L1062" t="s">
        <v>42</v>
      </c>
      <c r="M1062" t="s">
        <v>23</v>
      </c>
      <c r="N1062">
        <v>0</v>
      </c>
      <c r="O1062">
        <v>0</v>
      </c>
      <c r="P1062" s="8">
        <f>INT(Delivery_data[[#This Row],[Order Timestamp]])</f>
        <v>45172</v>
      </c>
      <c r="Q1062" t="str">
        <f ca="1">IF(Delivery_data[[#This Row],[Order Status]]="In Progress", TODAY()-Delivery_data[[#This Row],[Order Date]], "")</f>
        <v/>
      </c>
      <c r="R1062">
        <f>IF(Delivery_data[[#This Row],[On Time]]=1,0,1)</f>
        <v>1</v>
      </c>
    </row>
    <row r="1063" spans="1:18" x14ac:dyDescent="0.35">
      <c r="A1063">
        <v>1838</v>
      </c>
      <c r="B1063" t="s">
        <v>1183</v>
      </c>
      <c r="C1063" s="1">
        <v>45174.623611111114</v>
      </c>
      <c r="D1063" t="s">
        <v>16</v>
      </c>
      <c r="E1063" t="s">
        <v>356</v>
      </c>
      <c r="F1063" t="s">
        <v>1125</v>
      </c>
      <c r="G1063" t="s">
        <v>233</v>
      </c>
      <c r="H1063">
        <v>206</v>
      </c>
      <c r="I1063">
        <v>20</v>
      </c>
      <c r="J1063" t="s">
        <v>27</v>
      </c>
      <c r="K1063" t="s">
        <v>33</v>
      </c>
      <c r="L1063" t="s">
        <v>42</v>
      </c>
      <c r="M1063" t="s">
        <v>39</v>
      </c>
      <c r="N1063">
        <v>0</v>
      </c>
      <c r="O1063">
        <v>0</v>
      </c>
      <c r="P1063" s="8">
        <f>INT(Delivery_data[[#This Row],[Order Timestamp]])</f>
        <v>45174</v>
      </c>
      <c r="Q1063">
        <f ca="1">IF(Delivery_data[[#This Row],[Order Status]]="In Progress", TODAY()-Delivery_data[[#This Row],[Order Date]], "")</f>
        <v>809</v>
      </c>
      <c r="R1063">
        <f>IF(Delivery_data[[#This Row],[On Time]]=1,0,1)</f>
        <v>1</v>
      </c>
    </row>
    <row r="1064" spans="1:18" x14ac:dyDescent="0.35">
      <c r="A1064">
        <v>1839</v>
      </c>
      <c r="B1064" t="s">
        <v>1184</v>
      </c>
      <c r="C1064" s="1">
        <v>45177.63958333333</v>
      </c>
      <c r="D1064" t="s">
        <v>25</v>
      </c>
      <c r="E1064" t="s">
        <v>56</v>
      </c>
      <c r="F1064" t="s">
        <v>1125</v>
      </c>
      <c r="G1064" t="s">
        <v>557</v>
      </c>
      <c r="H1064">
        <v>140</v>
      </c>
      <c r="I1064">
        <v>18</v>
      </c>
      <c r="J1064" t="s">
        <v>35</v>
      </c>
      <c r="K1064" t="s">
        <v>28</v>
      </c>
      <c r="L1064" t="s">
        <v>42</v>
      </c>
      <c r="M1064" t="s">
        <v>23</v>
      </c>
      <c r="N1064">
        <v>0</v>
      </c>
      <c r="O1064">
        <v>1</v>
      </c>
      <c r="P1064" s="8">
        <f>INT(Delivery_data[[#This Row],[Order Timestamp]])</f>
        <v>45177</v>
      </c>
      <c r="Q1064" t="str">
        <f ca="1">IF(Delivery_data[[#This Row],[Order Status]]="In Progress", TODAY()-Delivery_data[[#This Row],[Order Date]], "")</f>
        <v/>
      </c>
      <c r="R1064">
        <f>IF(Delivery_data[[#This Row],[On Time]]=1,0,1)</f>
        <v>1</v>
      </c>
    </row>
    <row r="1065" spans="1:18" x14ac:dyDescent="0.35">
      <c r="A1065">
        <v>1849</v>
      </c>
      <c r="B1065" t="s">
        <v>1185</v>
      </c>
      <c r="C1065" s="1">
        <v>45174.582638888889</v>
      </c>
      <c r="D1065" t="s">
        <v>16</v>
      </c>
      <c r="E1065" t="s">
        <v>666</v>
      </c>
      <c r="F1065" t="s">
        <v>1125</v>
      </c>
      <c r="G1065" t="s">
        <v>19</v>
      </c>
      <c r="H1065">
        <v>168</v>
      </c>
      <c r="I1065">
        <v>27</v>
      </c>
      <c r="J1065" t="s">
        <v>20</v>
      </c>
      <c r="K1065" t="s">
        <v>28</v>
      </c>
      <c r="L1065" t="s">
        <v>42</v>
      </c>
      <c r="M1065" t="s">
        <v>23</v>
      </c>
      <c r="N1065">
        <v>0</v>
      </c>
      <c r="O1065">
        <v>0</v>
      </c>
      <c r="P1065" s="8">
        <f>INT(Delivery_data[[#This Row],[Order Timestamp]])</f>
        <v>45174</v>
      </c>
      <c r="Q1065">
        <f ca="1">IF(Delivery_data[[#This Row],[Order Status]]="In Progress", TODAY()-Delivery_data[[#This Row],[Order Date]], "")</f>
        <v>809</v>
      </c>
      <c r="R1065">
        <f>IF(Delivery_data[[#This Row],[On Time]]=1,0,1)</f>
        <v>1</v>
      </c>
    </row>
    <row r="1066" spans="1:18" x14ac:dyDescent="0.35">
      <c r="A1066">
        <v>1857</v>
      </c>
      <c r="B1066" t="s">
        <v>1186</v>
      </c>
      <c r="C1066" s="1">
        <v>45171.575694444444</v>
      </c>
      <c r="D1066" t="s">
        <v>25</v>
      </c>
      <c r="E1066" t="s">
        <v>178</v>
      </c>
      <c r="F1066" t="s">
        <v>1125</v>
      </c>
      <c r="G1066" t="s">
        <v>233</v>
      </c>
      <c r="H1066">
        <v>141</v>
      </c>
      <c r="I1066">
        <v>7</v>
      </c>
      <c r="J1066" t="s">
        <v>27</v>
      </c>
      <c r="K1066" t="s">
        <v>51</v>
      </c>
      <c r="L1066" t="s">
        <v>42</v>
      </c>
      <c r="M1066" t="s">
        <v>23</v>
      </c>
      <c r="N1066">
        <v>0</v>
      </c>
      <c r="O1066">
        <v>0</v>
      </c>
      <c r="P1066" s="8">
        <f>INT(Delivery_data[[#This Row],[Order Timestamp]])</f>
        <v>45171</v>
      </c>
      <c r="Q1066" t="str">
        <f ca="1">IF(Delivery_data[[#This Row],[Order Status]]="In Progress", TODAY()-Delivery_data[[#This Row],[Order Date]], "")</f>
        <v/>
      </c>
      <c r="R1066">
        <f>IF(Delivery_data[[#This Row],[On Time]]=1,0,1)</f>
        <v>1</v>
      </c>
    </row>
    <row r="1067" spans="1:18" x14ac:dyDescent="0.35">
      <c r="A1067">
        <v>1865</v>
      </c>
      <c r="B1067" t="s">
        <v>1187</v>
      </c>
      <c r="C1067" s="1">
        <v>45170.509027777778</v>
      </c>
      <c r="D1067" t="s">
        <v>16</v>
      </c>
      <c r="E1067" t="s">
        <v>165</v>
      </c>
      <c r="F1067" t="s">
        <v>1125</v>
      </c>
      <c r="G1067" t="s">
        <v>362</v>
      </c>
      <c r="H1067">
        <v>119</v>
      </c>
      <c r="I1067">
        <v>26</v>
      </c>
      <c r="J1067" t="s">
        <v>20</v>
      </c>
      <c r="K1067" t="s">
        <v>51</v>
      </c>
      <c r="L1067" t="s">
        <v>42</v>
      </c>
      <c r="M1067" t="s">
        <v>23</v>
      </c>
      <c r="N1067">
        <v>0</v>
      </c>
      <c r="O1067">
        <v>0</v>
      </c>
      <c r="P1067" s="8">
        <f>INT(Delivery_data[[#This Row],[Order Timestamp]])</f>
        <v>45170</v>
      </c>
      <c r="Q1067">
        <f ca="1">IF(Delivery_data[[#This Row],[Order Status]]="In Progress", TODAY()-Delivery_data[[#This Row],[Order Date]], "")</f>
        <v>813</v>
      </c>
      <c r="R1067">
        <f>IF(Delivery_data[[#This Row],[On Time]]=1,0,1)</f>
        <v>1</v>
      </c>
    </row>
    <row r="1068" spans="1:18" x14ac:dyDescent="0.35">
      <c r="A1068">
        <v>1868</v>
      </c>
      <c r="B1068" t="s">
        <v>1188</v>
      </c>
      <c r="C1068" s="1">
        <v>45170.462500000001</v>
      </c>
      <c r="D1068" t="s">
        <v>16</v>
      </c>
      <c r="E1068" t="s">
        <v>152</v>
      </c>
      <c r="F1068" t="s">
        <v>1125</v>
      </c>
      <c r="G1068" t="s">
        <v>557</v>
      </c>
      <c r="H1068">
        <v>115</v>
      </c>
      <c r="I1068">
        <v>7</v>
      </c>
      <c r="J1068" t="s">
        <v>35</v>
      </c>
      <c r="K1068" t="s">
        <v>38</v>
      </c>
      <c r="L1068" t="s">
        <v>42</v>
      </c>
      <c r="M1068" t="s">
        <v>39</v>
      </c>
      <c r="N1068">
        <v>0</v>
      </c>
      <c r="O1068">
        <v>1</v>
      </c>
      <c r="P1068" s="8">
        <f>INT(Delivery_data[[#This Row],[Order Timestamp]])</f>
        <v>45170</v>
      </c>
      <c r="Q1068">
        <f ca="1">IF(Delivery_data[[#This Row],[Order Status]]="In Progress", TODAY()-Delivery_data[[#This Row],[Order Date]], "")</f>
        <v>813</v>
      </c>
      <c r="R1068">
        <f>IF(Delivery_data[[#This Row],[On Time]]=1,0,1)</f>
        <v>1</v>
      </c>
    </row>
    <row r="1069" spans="1:18" x14ac:dyDescent="0.35">
      <c r="A1069">
        <v>1871</v>
      </c>
      <c r="B1069" t="s">
        <v>1189</v>
      </c>
      <c r="C1069" s="1">
        <v>45171.42291666667</v>
      </c>
      <c r="D1069" t="s">
        <v>16</v>
      </c>
      <c r="E1069" t="s">
        <v>267</v>
      </c>
      <c r="F1069" t="s">
        <v>1125</v>
      </c>
      <c r="G1069" t="s">
        <v>557</v>
      </c>
      <c r="H1069">
        <v>202</v>
      </c>
      <c r="I1069">
        <v>16</v>
      </c>
      <c r="J1069" t="s">
        <v>27</v>
      </c>
      <c r="K1069" t="s">
        <v>33</v>
      </c>
      <c r="L1069" t="s">
        <v>42</v>
      </c>
      <c r="M1069" t="s">
        <v>39</v>
      </c>
      <c r="N1069">
        <v>0</v>
      </c>
      <c r="O1069">
        <v>0</v>
      </c>
      <c r="P1069" s="8">
        <f>INT(Delivery_data[[#This Row],[Order Timestamp]])</f>
        <v>45171</v>
      </c>
      <c r="Q1069">
        <f ca="1">IF(Delivery_data[[#This Row],[Order Status]]="In Progress", TODAY()-Delivery_data[[#This Row],[Order Date]], "")</f>
        <v>812</v>
      </c>
      <c r="R1069">
        <f>IF(Delivery_data[[#This Row],[On Time]]=1,0,1)</f>
        <v>1</v>
      </c>
    </row>
    <row r="1070" spans="1:18" x14ac:dyDescent="0.35">
      <c r="A1070">
        <v>1874</v>
      </c>
      <c r="B1070" t="s">
        <v>1190</v>
      </c>
      <c r="C1070" s="1">
        <v>45173.548611111109</v>
      </c>
      <c r="D1070" t="s">
        <v>16</v>
      </c>
      <c r="E1070" t="s">
        <v>85</v>
      </c>
      <c r="F1070" t="s">
        <v>1125</v>
      </c>
      <c r="G1070" t="s">
        <v>19</v>
      </c>
      <c r="H1070">
        <v>227</v>
      </c>
      <c r="I1070">
        <v>28</v>
      </c>
      <c r="J1070" t="s">
        <v>35</v>
      </c>
      <c r="K1070" t="s">
        <v>33</v>
      </c>
      <c r="L1070" t="s">
        <v>42</v>
      </c>
      <c r="M1070" t="s">
        <v>23</v>
      </c>
      <c r="N1070">
        <v>0</v>
      </c>
      <c r="O1070">
        <v>1</v>
      </c>
      <c r="P1070" s="8">
        <f>INT(Delivery_data[[#This Row],[Order Timestamp]])</f>
        <v>45173</v>
      </c>
      <c r="Q1070">
        <f ca="1">IF(Delivery_data[[#This Row],[Order Status]]="In Progress", TODAY()-Delivery_data[[#This Row],[Order Date]], "")</f>
        <v>810</v>
      </c>
      <c r="R1070">
        <f>IF(Delivery_data[[#This Row],[On Time]]=1,0,1)</f>
        <v>1</v>
      </c>
    </row>
    <row r="1071" spans="1:18" x14ac:dyDescent="0.35">
      <c r="A1071">
        <v>1942</v>
      </c>
      <c r="B1071" t="s">
        <v>1191</v>
      </c>
      <c r="C1071" s="1">
        <v>45176.585416666669</v>
      </c>
      <c r="D1071" t="s">
        <v>25</v>
      </c>
      <c r="E1071" t="s">
        <v>53</v>
      </c>
      <c r="F1071" t="s">
        <v>1125</v>
      </c>
      <c r="G1071" t="s">
        <v>557</v>
      </c>
      <c r="H1071">
        <v>161</v>
      </c>
      <c r="I1071">
        <v>6</v>
      </c>
      <c r="J1071" t="s">
        <v>20</v>
      </c>
      <c r="K1071" t="s">
        <v>51</v>
      </c>
      <c r="L1071" t="s">
        <v>42</v>
      </c>
      <c r="M1071" t="s">
        <v>23</v>
      </c>
      <c r="N1071">
        <v>0</v>
      </c>
      <c r="O1071">
        <v>0</v>
      </c>
      <c r="P1071" s="8">
        <f>INT(Delivery_data[[#This Row],[Order Timestamp]])</f>
        <v>45176</v>
      </c>
      <c r="Q1071" t="str">
        <f ca="1">IF(Delivery_data[[#This Row],[Order Status]]="In Progress", TODAY()-Delivery_data[[#This Row],[Order Date]], "")</f>
        <v/>
      </c>
      <c r="R1071">
        <f>IF(Delivery_data[[#This Row],[On Time]]=1,0,1)</f>
        <v>1</v>
      </c>
    </row>
    <row r="1072" spans="1:18" x14ac:dyDescent="0.35">
      <c r="A1072">
        <v>1947</v>
      </c>
      <c r="B1072" t="s">
        <v>1192</v>
      </c>
      <c r="C1072" s="1">
        <v>45174.668749999997</v>
      </c>
      <c r="D1072" t="s">
        <v>16</v>
      </c>
      <c r="E1072" t="s">
        <v>225</v>
      </c>
      <c r="F1072" t="s">
        <v>1125</v>
      </c>
      <c r="G1072" t="s">
        <v>463</v>
      </c>
      <c r="H1072">
        <v>109</v>
      </c>
      <c r="I1072">
        <v>12</v>
      </c>
      <c r="J1072" t="s">
        <v>20</v>
      </c>
      <c r="K1072" t="s">
        <v>28</v>
      </c>
      <c r="L1072" t="s">
        <v>42</v>
      </c>
      <c r="M1072" t="s">
        <v>39</v>
      </c>
      <c r="N1072">
        <v>0</v>
      </c>
      <c r="O1072">
        <v>0</v>
      </c>
      <c r="P1072" s="8">
        <f>INT(Delivery_data[[#This Row],[Order Timestamp]])</f>
        <v>45174</v>
      </c>
      <c r="Q1072">
        <f ca="1">IF(Delivery_data[[#This Row],[Order Status]]="In Progress", TODAY()-Delivery_data[[#This Row],[Order Date]], "")</f>
        <v>809</v>
      </c>
      <c r="R1072">
        <f>IF(Delivery_data[[#This Row],[On Time]]=1,0,1)</f>
        <v>1</v>
      </c>
    </row>
    <row r="1073" spans="1:18" x14ac:dyDescent="0.35">
      <c r="A1073">
        <v>1956</v>
      </c>
      <c r="B1073" t="s">
        <v>1193</v>
      </c>
      <c r="C1073" s="1">
        <v>45174.701388888891</v>
      </c>
      <c r="D1073" t="s">
        <v>16</v>
      </c>
      <c r="E1073" t="s">
        <v>85</v>
      </c>
      <c r="F1073" t="s">
        <v>1125</v>
      </c>
      <c r="G1073" t="s">
        <v>19</v>
      </c>
      <c r="H1073">
        <v>101</v>
      </c>
      <c r="I1073">
        <v>26</v>
      </c>
      <c r="J1073" t="s">
        <v>27</v>
      </c>
      <c r="K1073" t="s">
        <v>51</v>
      </c>
      <c r="L1073" t="s">
        <v>42</v>
      </c>
      <c r="M1073" t="s">
        <v>23</v>
      </c>
      <c r="N1073">
        <v>0</v>
      </c>
      <c r="O1073">
        <v>0</v>
      </c>
      <c r="P1073" s="8">
        <f>INT(Delivery_data[[#This Row],[Order Timestamp]])</f>
        <v>45174</v>
      </c>
      <c r="Q1073">
        <f ca="1">IF(Delivery_data[[#This Row],[Order Status]]="In Progress", TODAY()-Delivery_data[[#This Row],[Order Date]], "")</f>
        <v>809</v>
      </c>
      <c r="R1073">
        <f>IF(Delivery_data[[#This Row],[On Time]]=1,0,1)</f>
        <v>1</v>
      </c>
    </row>
    <row r="1074" spans="1:18" x14ac:dyDescent="0.35">
      <c r="A1074">
        <v>1962</v>
      </c>
      <c r="B1074" t="s">
        <v>1194</v>
      </c>
      <c r="C1074" s="1">
        <v>45171.457638888889</v>
      </c>
      <c r="D1074" t="s">
        <v>25</v>
      </c>
      <c r="E1074" t="s">
        <v>260</v>
      </c>
      <c r="F1074" t="s">
        <v>1125</v>
      </c>
      <c r="G1074" t="s">
        <v>19</v>
      </c>
      <c r="H1074">
        <v>224</v>
      </c>
      <c r="I1074">
        <v>10</v>
      </c>
      <c r="J1074" t="s">
        <v>27</v>
      </c>
      <c r="K1074" t="s">
        <v>38</v>
      </c>
      <c r="L1074" t="s">
        <v>42</v>
      </c>
      <c r="M1074" t="s">
        <v>23</v>
      </c>
      <c r="N1074">
        <v>0</v>
      </c>
      <c r="O1074">
        <v>0</v>
      </c>
      <c r="P1074" s="8">
        <f>INT(Delivery_data[[#This Row],[Order Timestamp]])</f>
        <v>45171</v>
      </c>
      <c r="Q1074" t="str">
        <f ca="1">IF(Delivery_data[[#This Row],[Order Status]]="In Progress", TODAY()-Delivery_data[[#This Row],[Order Date]], "")</f>
        <v/>
      </c>
      <c r="R1074">
        <f>IF(Delivery_data[[#This Row],[On Time]]=1,0,1)</f>
        <v>1</v>
      </c>
    </row>
    <row r="1075" spans="1:18" x14ac:dyDescent="0.35">
      <c r="A1075">
        <v>1970</v>
      </c>
      <c r="B1075" t="s">
        <v>1195</v>
      </c>
      <c r="C1075" s="1">
        <v>45170.354166666664</v>
      </c>
      <c r="D1075" t="s">
        <v>16</v>
      </c>
      <c r="E1075" t="s">
        <v>653</v>
      </c>
      <c r="F1075" t="s">
        <v>1125</v>
      </c>
      <c r="G1075" t="s">
        <v>19</v>
      </c>
      <c r="H1075">
        <v>78</v>
      </c>
      <c r="I1075">
        <v>3</v>
      </c>
      <c r="J1075" t="s">
        <v>20</v>
      </c>
      <c r="K1075" t="s">
        <v>28</v>
      </c>
      <c r="L1075" t="s">
        <v>42</v>
      </c>
      <c r="M1075" t="s">
        <v>39</v>
      </c>
      <c r="N1075">
        <v>0</v>
      </c>
      <c r="O1075">
        <v>0</v>
      </c>
      <c r="P1075" s="8">
        <f>INT(Delivery_data[[#This Row],[Order Timestamp]])</f>
        <v>45170</v>
      </c>
      <c r="Q1075">
        <f ca="1">IF(Delivery_data[[#This Row],[Order Status]]="In Progress", TODAY()-Delivery_data[[#This Row],[Order Date]], "")</f>
        <v>813</v>
      </c>
      <c r="R1075">
        <f>IF(Delivery_data[[#This Row],[On Time]]=1,0,1)</f>
        <v>1</v>
      </c>
    </row>
    <row r="1076" spans="1:18" x14ac:dyDescent="0.35">
      <c r="A1076">
        <v>1972</v>
      </c>
      <c r="B1076" t="s">
        <v>1196</v>
      </c>
      <c r="C1076" s="1">
        <v>45172.435416666667</v>
      </c>
      <c r="D1076" t="s">
        <v>16</v>
      </c>
      <c r="E1076" t="s">
        <v>87</v>
      </c>
      <c r="F1076" t="s">
        <v>1125</v>
      </c>
      <c r="G1076" t="s">
        <v>362</v>
      </c>
      <c r="H1076">
        <v>93</v>
      </c>
      <c r="I1076">
        <v>6</v>
      </c>
      <c r="J1076" t="s">
        <v>35</v>
      </c>
      <c r="K1076" t="s">
        <v>28</v>
      </c>
      <c r="L1076" t="s">
        <v>42</v>
      </c>
      <c r="M1076" t="s">
        <v>23</v>
      </c>
      <c r="N1076">
        <v>0</v>
      </c>
      <c r="O1076">
        <v>1</v>
      </c>
      <c r="P1076" s="8">
        <f>INT(Delivery_data[[#This Row],[Order Timestamp]])</f>
        <v>45172</v>
      </c>
      <c r="Q1076">
        <f ca="1">IF(Delivery_data[[#This Row],[Order Status]]="In Progress", TODAY()-Delivery_data[[#This Row],[Order Date]], "")</f>
        <v>811</v>
      </c>
      <c r="R1076">
        <f>IF(Delivery_data[[#This Row],[On Time]]=1,0,1)</f>
        <v>1</v>
      </c>
    </row>
    <row r="1077" spans="1:18" x14ac:dyDescent="0.35">
      <c r="A1077">
        <v>1976</v>
      </c>
      <c r="B1077" t="s">
        <v>1197</v>
      </c>
      <c r="C1077" s="1">
        <v>45173.48333333333</v>
      </c>
      <c r="D1077" t="s">
        <v>16</v>
      </c>
      <c r="E1077" t="s">
        <v>144</v>
      </c>
      <c r="F1077" t="s">
        <v>1125</v>
      </c>
      <c r="G1077" t="s">
        <v>362</v>
      </c>
      <c r="H1077">
        <v>150</v>
      </c>
      <c r="I1077">
        <v>6</v>
      </c>
      <c r="J1077" t="s">
        <v>27</v>
      </c>
      <c r="K1077" t="s">
        <v>28</v>
      </c>
      <c r="L1077" t="s">
        <v>42</v>
      </c>
      <c r="M1077" t="s">
        <v>39</v>
      </c>
      <c r="N1077">
        <v>0</v>
      </c>
      <c r="O1077">
        <v>0</v>
      </c>
      <c r="P1077" s="8">
        <f>INT(Delivery_data[[#This Row],[Order Timestamp]])</f>
        <v>45173</v>
      </c>
      <c r="Q1077">
        <f ca="1">IF(Delivery_data[[#This Row],[Order Status]]="In Progress", TODAY()-Delivery_data[[#This Row],[Order Date]], "")</f>
        <v>810</v>
      </c>
      <c r="R1077">
        <f>IF(Delivery_data[[#This Row],[On Time]]=1,0,1)</f>
        <v>1</v>
      </c>
    </row>
    <row r="1078" spans="1:18" x14ac:dyDescent="0.35">
      <c r="A1078">
        <v>1983</v>
      </c>
      <c r="B1078" t="s">
        <v>1198</v>
      </c>
      <c r="C1078" s="1">
        <v>45176.436111111114</v>
      </c>
      <c r="D1078" t="s">
        <v>25</v>
      </c>
      <c r="E1078" t="s">
        <v>26</v>
      </c>
      <c r="F1078" t="s">
        <v>1125</v>
      </c>
      <c r="G1078" t="s">
        <v>463</v>
      </c>
      <c r="H1078">
        <v>203</v>
      </c>
      <c r="I1078">
        <v>24</v>
      </c>
      <c r="J1078" t="s">
        <v>35</v>
      </c>
      <c r="K1078" t="s">
        <v>33</v>
      </c>
      <c r="L1078" t="s">
        <v>42</v>
      </c>
      <c r="M1078" t="s">
        <v>23</v>
      </c>
      <c r="N1078">
        <v>0</v>
      </c>
      <c r="O1078">
        <v>1</v>
      </c>
      <c r="P1078" s="8">
        <f>INT(Delivery_data[[#This Row],[Order Timestamp]])</f>
        <v>45176</v>
      </c>
      <c r="Q1078" t="str">
        <f ca="1">IF(Delivery_data[[#This Row],[Order Status]]="In Progress", TODAY()-Delivery_data[[#This Row],[Order Date]], "")</f>
        <v/>
      </c>
      <c r="R1078">
        <f>IF(Delivery_data[[#This Row],[On Time]]=1,0,1)</f>
        <v>1</v>
      </c>
    </row>
    <row r="1079" spans="1:18" x14ac:dyDescent="0.35">
      <c r="A1079">
        <v>2000</v>
      </c>
      <c r="B1079" t="s">
        <v>1199</v>
      </c>
      <c r="C1079" s="1">
        <v>45177.607638888891</v>
      </c>
      <c r="D1079" t="s">
        <v>25</v>
      </c>
      <c r="E1079" t="s">
        <v>56</v>
      </c>
      <c r="F1079" t="s">
        <v>1125</v>
      </c>
      <c r="G1079" t="s">
        <v>463</v>
      </c>
      <c r="H1079">
        <v>138</v>
      </c>
      <c r="I1079">
        <v>25</v>
      </c>
      <c r="J1079" t="s">
        <v>20</v>
      </c>
      <c r="K1079" t="s">
        <v>28</v>
      </c>
      <c r="L1079" t="s">
        <v>42</v>
      </c>
      <c r="M1079" t="s">
        <v>23</v>
      </c>
      <c r="N1079">
        <v>0</v>
      </c>
      <c r="O1079">
        <v>0</v>
      </c>
      <c r="P1079" s="8">
        <f>INT(Delivery_data[[#This Row],[Order Timestamp]])</f>
        <v>45177</v>
      </c>
      <c r="Q1079" t="str">
        <f ca="1">IF(Delivery_data[[#This Row],[Order Status]]="In Progress", TODAY()-Delivery_data[[#This Row],[Order Date]], "")</f>
        <v/>
      </c>
      <c r="R1079">
        <f>IF(Delivery_data[[#This Row],[On Time]]=1,0,1)</f>
        <v>1</v>
      </c>
    </row>
    <row r="1080" spans="1:18" x14ac:dyDescent="0.35">
      <c r="A1080">
        <v>2023</v>
      </c>
      <c r="B1080" t="s">
        <v>1200</v>
      </c>
      <c r="C1080" s="1">
        <v>45173.643055555556</v>
      </c>
      <c r="D1080" t="s">
        <v>25</v>
      </c>
      <c r="E1080" t="s">
        <v>158</v>
      </c>
      <c r="F1080" t="s">
        <v>1125</v>
      </c>
      <c r="G1080" t="s">
        <v>233</v>
      </c>
      <c r="H1080">
        <v>205</v>
      </c>
      <c r="I1080">
        <v>10</v>
      </c>
      <c r="J1080" t="s">
        <v>27</v>
      </c>
      <c r="K1080" t="s">
        <v>33</v>
      </c>
      <c r="L1080" t="s">
        <v>42</v>
      </c>
      <c r="M1080" t="s">
        <v>39</v>
      </c>
      <c r="N1080">
        <v>0</v>
      </c>
      <c r="O1080">
        <v>0</v>
      </c>
      <c r="P1080" s="8">
        <f>INT(Delivery_data[[#This Row],[Order Timestamp]])</f>
        <v>45173</v>
      </c>
      <c r="Q1080" t="str">
        <f ca="1">IF(Delivery_data[[#This Row],[Order Status]]="In Progress", TODAY()-Delivery_data[[#This Row],[Order Date]], "")</f>
        <v/>
      </c>
      <c r="R1080">
        <f>IF(Delivery_data[[#This Row],[On Time]]=1,0,1)</f>
        <v>1</v>
      </c>
    </row>
    <row r="1081" spans="1:18" x14ac:dyDescent="0.35">
      <c r="A1081">
        <v>2065</v>
      </c>
      <c r="B1081" t="s">
        <v>1201</v>
      </c>
      <c r="C1081" s="1">
        <v>45173.415972222225</v>
      </c>
      <c r="D1081" t="s">
        <v>16</v>
      </c>
      <c r="E1081" t="s">
        <v>129</v>
      </c>
      <c r="F1081" t="s">
        <v>1125</v>
      </c>
      <c r="G1081" t="s">
        <v>19</v>
      </c>
      <c r="H1081">
        <v>203</v>
      </c>
      <c r="I1081">
        <v>24</v>
      </c>
      <c r="J1081" t="s">
        <v>35</v>
      </c>
      <c r="K1081" t="s">
        <v>51</v>
      </c>
      <c r="L1081" t="s">
        <v>42</v>
      </c>
      <c r="M1081" t="s">
        <v>23</v>
      </c>
      <c r="N1081">
        <v>0</v>
      </c>
      <c r="O1081">
        <v>1</v>
      </c>
      <c r="P1081" s="8">
        <f>INT(Delivery_data[[#This Row],[Order Timestamp]])</f>
        <v>45173</v>
      </c>
      <c r="Q1081">
        <f ca="1">IF(Delivery_data[[#This Row],[Order Status]]="In Progress", TODAY()-Delivery_data[[#This Row],[Order Date]], "")</f>
        <v>810</v>
      </c>
      <c r="R1081">
        <f>IF(Delivery_data[[#This Row],[On Time]]=1,0,1)</f>
        <v>1</v>
      </c>
    </row>
    <row r="1082" spans="1:18" x14ac:dyDescent="0.35">
      <c r="A1082">
        <v>2071</v>
      </c>
      <c r="B1082" t="s">
        <v>1202</v>
      </c>
      <c r="C1082" s="1">
        <v>45175.690972222219</v>
      </c>
      <c r="D1082" t="s">
        <v>16</v>
      </c>
      <c r="E1082" t="s">
        <v>161</v>
      </c>
      <c r="F1082" t="s">
        <v>1125</v>
      </c>
      <c r="G1082" t="s">
        <v>362</v>
      </c>
      <c r="H1082">
        <v>202</v>
      </c>
      <c r="I1082">
        <v>1</v>
      </c>
      <c r="J1082" t="s">
        <v>20</v>
      </c>
      <c r="K1082" t="s">
        <v>21</v>
      </c>
      <c r="L1082" t="s">
        <v>42</v>
      </c>
      <c r="M1082" t="s">
        <v>39</v>
      </c>
      <c r="N1082">
        <v>0</v>
      </c>
      <c r="O1082">
        <v>0</v>
      </c>
      <c r="P1082" s="8">
        <f>INT(Delivery_data[[#This Row],[Order Timestamp]])</f>
        <v>45175</v>
      </c>
      <c r="Q1082">
        <f ca="1">IF(Delivery_data[[#This Row],[Order Status]]="In Progress", TODAY()-Delivery_data[[#This Row],[Order Date]], "")</f>
        <v>808</v>
      </c>
      <c r="R1082">
        <f>IF(Delivery_data[[#This Row],[On Time]]=1,0,1)</f>
        <v>1</v>
      </c>
    </row>
    <row r="1083" spans="1:18" x14ac:dyDescent="0.35">
      <c r="A1083">
        <v>2084</v>
      </c>
      <c r="B1083" t="s">
        <v>1203</v>
      </c>
      <c r="C1083" s="1">
        <v>45175.357638888891</v>
      </c>
      <c r="D1083" t="s">
        <v>25</v>
      </c>
      <c r="E1083" t="s">
        <v>41</v>
      </c>
      <c r="F1083" t="s">
        <v>1125</v>
      </c>
      <c r="G1083" t="s">
        <v>362</v>
      </c>
      <c r="H1083">
        <v>84</v>
      </c>
      <c r="I1083">
        <v>29</v>
      </c>
      <c r="J1083" t="s">
        <v>20</v>
      </c>
      <c r="K1083" t="s">
        <v>21</v>
      </c>
      <c r="L1083" t="s">
        <v>42</v>
      </c>
      <c r="M1083" t="s">
        <v>23</v>
      </c>
      <c r="N1083">
        <v>0</v>
      </c>
      <c r="O1083">
        <v>0</v>
      </c>
      <c r="P1083" s="8">
        <f>INT(Delivery_data[[#This Row],[Order Timestamp]])</f>
        <v>45175</v>
      </c>
      <c r="Q1083" t="str">
        <f ca="1">IF(Delivery_data[[#This Row],[Order Status]]="In Progress", TODAY()-Delivery_data[[#This Row],[Order Date]], "")</f>
        <v/>
      </c>
      <c r="R1083">
        <f>IF(Delivery_data[[#This Row],[On Time]]=1,0,1)</f>
        <v>1</v>
      </c>
    </row>
    <row r="1084" spans="1:18" x14ac:dyDescent="0.35">
      <c r="A1084">
        <v>2090</v>
      </c>
      <c r="B1084" t="s">
        <v>1204</v>
      </c>
      <c r="C1084" s="1">
        <v>45174.459722222222</v>
      </c>
      <c r="D1084" t="s">
        <v>16</v>
      </c>
      <c r="E1084" t="s">
        <v>181</v>
      </c>
      <c r="F1084" t="s">
        <v>1125</v>
      </c>
      <c r="G1084" t="s">
        <v>19</v>
      </c>
      <c r="H1084">
        <v>119</v>
      </c>
      <c r="I1084">
        <v>9</v>
      </c>
      <c r="J1084" t="s">
        <v>27</v>
      </c>
      <c r="K1084" t="s">
        <v>38</v>
      </c>
      <c r="L1084" t="s">
        <v>42</v>
      </c>
      <c r="M1084" t="s">
        <v>23</v>
      </c>
      <c r="N1084">
        <v>0</v>
      </c>
      <c r="O1084">
        <v>0</v>
      </c>
      <c r="P1084" s="8">
        <f>INT(Delivery_data[[#This Row],[Order Timestamp]])</f>
        <v>45174</v>
      </c>
      <c r="Q1084">
        <f ca="1">IF(Delivery_data[[#This Row],[Order Status]]="In Progress", TODAY()-Delivery_data[[#This Row],[Order Date]], "")</f>
        <v>809</v>
      </c>
      <c r="R1084">
        <f>IF(Delivery_data[[#This Row],[On Time]]=1,0,1)</f>
        <v>1</v>
      </c>
    </row>
    <row r="1085" spans="1:18" x14ac:dyDescent="0.35">
      <c r="A1085">
        <v>2107</v>
      </c>
      <c r="B1085" t="s">
        <v>1205</v>
      </c>
      <c r="C1085" s="1">
        <v>45176.404166666667</v>
      </c>
      <c r="D1085" t="s">
        <v>16</v>
      </c>
      <c r="E1085" t="s">
        <v>447</v>
      </c>
      <c r="F1085" t="s">
        <v>1125</v>
      </c>
      <c r="G1085" t="s">
        <v>233</v>
      </c>
      <c r="H1085">
        <v>98</v>
      </c>
      <c r="I1085">
        <v>26</v>
      </c>
      <c r="J1085" t="s">
        <v>27</v>
      </c>
      <c r="K1085" t="s">
        <v>38</v>
      </c>
      <c r="L1085" t="s">
        <v>42</v>
      </c>
      <c r="M1085" t="s">
        <v>39</v>
      </c>
      <c r="N1085">
        <v>0</v>
      </c>
      <c r="O1085">
        <v>0</v>
      </c>
      <c r="P1085" s="8">
        <f>INT(Delivery_data[[#This Row],[Order Timestamp]])</f>
        <v>45176</v>
      </c>
      <c r="Q1085">
        <f ca="1">IF(Delivery_data[[#This Row],[Order Status]]="In Progress", TODAY()-Delivery_data[[#This Row],[Order Date]], "")</f>
        <v>807</v>
      </c>
      <c r="R1085">
        <f>IF(Delivery_data[[#This Row],[On Time]]=1,0,1)</f>
        <v>1</v>
      </c>
    </row>
    <row r="1086" spans="1:18" x14ac:dyDescent="0.35">
      <c r="A1086">
        <v>2110</v>
      </c>
      <c r="B1086" t="s">
        <v>1206</v>
      </c>
      <c r="C1086" s="1">
        <v>45177.450694444444</v>
      </c>
      <c r="D1086" t="s">
        <v>25</v>
      </c>
      <c r="E1086" t="s">
        <v>83</v>
      </c>
      <c r="F1086" t="s">
        <v>1125</v>
      </c>
      <c r="G1086" t="s">
        <v>362</v>
      </c>
      <c r="H1086">
        <v>238</v>
      </c>
      <c r="I1086">
        <v>16</v>
      </c>
      <c r="J1086" t="s">
        <v>27</v>
      </c>
      <c r="K1086" t="s">
        <v>21</v>
      </c>
      <c r="L1086" t="s">
        <v>42</v>
      </c>
      <c r="M1086" t="s">
        <v>39</v>
      </c>
      <c r="N1086">
        <v>0</v>
      </c>
      <c r="O1086">
        <v>0</v>
      </c>
      <c r="P1086" s="8">
        <f>INT(Delivery_data[[#This Row],[Order Timestamp]])</f>
        <v>45177</v>
      </c>
      <c r="Q1086" t="str">
        <f ca="1">IF(Delivery_data[[#This Row],[Order Status]]="In Progress", TODAY()-Delivery_data[[#This Row],[Order Date]], "")</f>
        <v/>
      </c>
      <c r="R1086">
        <f>IF(Delivery_data[[#This Row],[On Time]]=1,0,1)</f>
        <v>1</v>
      </c>
    </row>
    <row r="1087" spans="1:18" x14ac:dyDescent="0.35">
      <c r="A1087">
        <v>2134</v>
      </c>
      <c r="B1087" t="s">
        <v>1207</v>
      </c>
      <c r="C1087" s="1">
        <v>45171.431250000001</v>
      </c>
      <c r="D1087" t="s">
        <v>16</v>
      </c>
      <c r="E1087" t="s">
        <v>26</v>
      </c>
      <c r="F1087" t="s">
        <v>1125</v>
      </c>
      <c r="G1087" t="s">
        <v>362</v>
      </c>
      <c r="H1087">
        <v>64</v>
      </c>
      <c r="I1087">
        <v>18</v>
      </c>
      <c r="J1087" t="s">
        <v>27</v>
      </c>
      <c r="K1087" t="s">
        <v>51</v>
      </c>
      <c r="L1087" t="s">
        <v>42</v>
      </c>
      <c r="M1087" t="s">
        <v>39</v>
      </c>
      <c r="N1087">
        <v>0</v>
      </c>
      <c r="O1087">
        <v>0</v>
      </c>
      <c r="P1087" s="8">
        <f>INT(Delivery_data[[#This Row],[Order Timestamp]])</f>
        <v>45171</v>
      </c>
      <c r="Q1087">
        <f ca="1">IF(Delivery_data[[#This Row],[Order Status]]="In Progress", TODAY()-Delivery_data[[#This Row],[Order Date]], "")</f>
        <v>812</v>
      </c>
      <c r="R1087">
        <f>IF(Delivery_data[[#This Row],[On Time]]=1,0,1)</f>
        <v>1</v>
      </c>
    </row>
    <row r="1088" spans="1:18" x14ac:dyDescent="0.35">
      <c r="A1088">
        <v>2141</v>
      </c>
      <c r="B1088" t="s">
        <v>1208</v>
      </c>
      <c r="C1088" s="1">
        <v>45172.42083333333</v>
      </c>
      <c r="D1088" t="s">
        <v>16</v>
      </c>
      <c r="E1088" t="s">
        <v>139</v>
      </c>
      <c r="F1088" t="s">
        <v>1125</v>
      </c>
      <c r="G1088" t="s">
        <v>233</v>
      </c>
      <c r="H1088">
        <v>232</v>
      </c>
      <c r="I1088">
        <v>10</v>
      </c>
      <c r="J1088" t="s">
        <v>20</v>
      </c>
      <c r="K1088" t="s">
        <v>21</v>
      </c>
      <c r="L1088" t="s">
        <v>42</v>
      </c>
      <c r="M1088" t="s">
        <v>39</v>
      </c>
      <c r="N1088">
        <v>0</v>
      </c>
      <c r="O1088">
        <v>0</v>
      </c>
      <c r="P1088" s="8">
        <f>INT(Delivery_data[[#This Row],[Order Timestamp]])</f>
        <v>45172</v>
      </c>
      <c r="Q1088">
        <f ca="1">IF(Delivery_data[[#This Row],[Order Status]]="In Progress", TODAY()-Delivery_data[[#This Row],[Order Date]], "")</f>
        <v>811</v>
      </c>
      <c r="R1088">
        <f>IF(Delivery_data[[#This Row],[On Time]]=1,0,1)</f>
        <v>1</v>
      </c>
    </row>
    <row r="1089" spans="1:18" x14ac:dyDescent="0.35">
      <c r="A1089">
        <v>2153</v>
      </c>
      <c r="B1089" t="s">
        <v>1209</v>
      </c>
      <c r="C1089" s="1">
        <v>45172.424305555556</v>
      </c>
      <c r="D1089" t="s">
        <v>25</v>
      </c>
      <c r="E1089" t="s">
        <v>447</v>
      </c>
      <c r="F1089" t="s">
        <v>1125</v>
      </c>
      <c r="G1089" t="s">
        <v>362</v>
      </c>
      <c r="H1089">
        <v>181</v>
      </c>
      <c r="I1089">
        <v>16</v>
      </c>
      <c r="J1089" t="s">
        <v>27</v>
      </c>
      <c r="K1089" t="s">
        <v>38</v>
      </c>
      <c r="L1089" t="s">
        <v>42</v>
      </c>
      <c r="M1089" t="s">
        <v>23</v>
      </c>
      <c r="N1089">
        <v>0</v>
      </c>
      <c r="O1089">
        <v>0</v>
      </c>
      <c r="P1089" s="8">
        <f>INT(Delivery_data[[#This Row],[Order Timestamp]])</f>
        <v>45172</v>
      </c>
      <c r="Q1089" t="str">
        <f ca="1">IF(Delivery_data[[#This Row],[Order Status]]="In Progress", TODAY()-Delivery_data[[#This Row],[Order Date]], "")</f>
        <v/>
      </c>
      <c r="R1089">
        <f>IF(Delivery_data[[#This Row],[On Time]]=1,0,1)</f>
        <v>1</v>
      </c>
    </row>
    <row r="1090" spans="1:18" x14ac:dyDescent="0.35">
      <c r="A1090">
        <v>2154</v>
      </c>
      <c r="B1090" t="s">
        <v>1210</v>
      </c>
      <c r="C1090" s="1">
        <v>45174.64166666667</v>
      </c>
      <c r="D1090" t="s">
        <v>25</v>
      </c>
      <c r="E1090" t="s">
        <v>216</v>
      </c>
      <c r="F1090" t="s">
        <v>1125</v>
      </c>
      <c r="G1090" t="s">
        <v>362</v>
      </c>
      <c r="H1090">
        <v>188</v>
      </c>
      <c r="I1090">
        <v>26</v>
      </c>
      <c r="J1090" t="s">
        <v>35</v>
      </c>
      <c r="K1090" t="s">
        <v>33</v>
      </c>
      <c r="L1090" t="s">
        <v>42</v>
      </c>
      <c r="M1090" t="s">
        <v>23</v>
      </c>
      <c r="N1090">
        <v>0</v>
      </c>
      <c r="O1090">
        <v>1</v>
      </c>
      <c r="P1090" s="8">
        <f>INT(Delivery_data[[#This Row],[Order Timestamp]])</f>
        <v>45174</v>
      </c>
      <c r="Q1090" t="str">
        <f ca="1">IF(Delivery_data[[#This Row],[Order Status]]="In Progress", TODAY()-Delivery_data[[#This Row],[Order Date]], "")</f>
        <v/>
      </c>
      <c r="R1090">
        <f>IF(Delivery_data[[#This Row],[On Time]]=1,0,1)</f>
        <v>1</v>
      </c>
    </row>
    <row r="1091" spans="1:18" x14ac:dyDescent="0.35">
      <c r="A1091">
        <v>2163</v>
      </c>
      <c r="B1091" t="s">
        <v>1211</v>
      </c>
      <c r="C1091" s="1">
        <v>45173.702777777777</v>
      </c>
      <c r="D1091" t="s">
        <v>25</v>
      </c>
      <c r="E1091" t="s">
        <v>100</v>
      </c>
      <c r="F1091" t="s">
        <v>1125</v>
      </c>
      <c r="G1091" t="s">
        <v>362</v>
      </c>
      <c r="H1091">
        <v>72</v>
      </c>
      <c r="I1091">
        <v>28</v>
      </c>
      <c r="J1091" t="s">
        <v>27</v>
      </c>
      <c r="K1091" t="s">
        <v>38</v>
      </c>
      <c r="L1091" t="s">
        <v>42</v>
      </c>
      <c r="M1091" t="s">
        <v>39</v>
      </c>
      <c r="N1091">
        <v>0</v>
      </c>
      <c r="O1091">
        <v>0</v>
      </c>
      <c r="P1091" s="8">
        <f>INT(Delivery_data[[#This Row],[Order Timestamp]])</f>
        <v>45173</v>
      </c>
      <c r="Q1091" t="str">
        <f ca="1">IF(Delivery_data[[#This Row],[Order Status]]="In Progress", TODAY()-Delivery_data[[#This Row],[Order Date]], "")</f>
        <v/>
      </c>
      <c r="R1091">
        <f>IF(Delivery_data[[#This Row],[On Time]]=1,0,1)</f>
        <v>1</v>
      </c>
    </row>
    <row r="1092" spans="1:18" x14ac:dyDescent="0.35">
      <c r="A1092">
        <v>2167</v>
      </c>
      <c r="B1092" t="s">
        <v>1212</v>
      </c>
      <c r="C1092" s="1">
        <v>45175.693055555559</v>
      </c>
      <c r="D1092" t="s">
        <v>16</v>
      </c>
      <c r="E1092" t="s">
        <v>271</v>
      </c>
      <c r="F1092" t="s">
        <v>1125</v>
      </c>
      <c r="G1092" t="s">
        <v>362</v>
      </c>
      <c r="H1092">
        <v>169</v>
      </c>
      <c r="I1092">
        <v>24</v>
      </c>
      <c r="J1092" t="s">
        <v>20</v>
      </c>
      <c r="K1092" t="s">
        <v>28</v>
      </c>
      <c r="L1092" t="s">
        <v>42</v>
      </c>
      <c r="M1092" t="s">
        <v>23</v>
      </c>
      <c r="N1092">
        <v>0</v>
      </c>
      <c r="O1092">
        <v>0</v>
      </c>
      <c r="P1092" s="8">
        <f>INT(Delivery_data[[#This Row],[Order Timestamp]])</f>
        <v>45175</v>
      </c>
      <c r="Q1092">
        <f ca="1">IF(Delivery_data[[#This Row],[Order Status]]="In Progress", TODAY()-Delivery_data[[#This Row],[Order Date]], "")</f>
        <v>808</v>
      </c>
      <c r="R1092">
        <f>IF(Delivery_data[[#This Row],[On Time]]=1,0,1)</f>
        <v>1</v>
      </c>
    </row>
    <row r="1093" spans="1:18" x14ac:dyDescent="0.35">
      <c r="A1093">
        <v>2178</v>
      </c>
      <c r="B1093" t="s">
        <v>1213</v>
      </c>
      <c r="C1093" s="1">
        <v>45177.436111111114</v>
      </c>
      <c r="D1093" t="s">
        <v>16</v>
      </c>
      <c r="E1093" t="s">
        <v>352</v>
      </c>
      <c r="F1093" t="s">
        <v>1125</v>
      </c>
      <c r="G1093" t="s">
        <v>19</v>
      </c>
      <c r="H1093">
        <v>114</v>
      </c>
      <c r="I1093">
        <v>23</v>
      </c>
      <c r="J1093" t="s">
        <v>27</v>
      </c>
      <c r="K1093" t="s">
        <v>38</v>
      </c>
      <c r="L1093" t="s">
        <v>42</v>
      </c>
      <c r="M1093" t="s">
        <v>39</v>
      </c>
      <c r="N1093">
        <v>0</v>
      </c>
      <c r="O1093">
        <v>0</v>
      </c>
      <c r="P1093" s="8">
        <f>INT(Delivery_data[[#This Row],[Order Timestamp]])</f>
        <v>45177</v>
      </c>
      <c r="Q1093">
        <f ca="1">IF(Delivery_data[[#This Row],[Order Status]]="In Progress", TODAY()-Delivery_data[[#This Row],[Order Date]], "")</f>
        <v>806</v>
      </c>
      <c r="R1093">
        <f>IF(Delivery_data[[#This Row],[On Time]]=1,0,1)</f>
        <v>1</v>
      </c>
    </row>
    <row r="1094" spans="1:18" x14ac:dyDescent="0.35">
      <c r="A1094">
        <v>2197</v>
      </c>
      <c r="B1094" t="s">
        <v>1214</v>
      </c>
      <c r="C1094" s="1">
        <v>45171.681250000001</v>
      </c>
      <c r="D1094" t="s">
        <v>16</v>
      </c>
      <c r="E1094" t="s">
        <v>139</v>
      </c>
      <c r="F1094" t="s">
        <v>1125</v>
      </c>
      <c r="G1094" t="s">
        <v>233</v>
      </c>
      <c r="H1094">
        <v>189</v>
      </c>
      <c r="I1094">
        <v>22</v>
      </c>
      <c r="J1094" t="s">
        <v>20</v>
      </c>
      <c r="K1094" t="s">
        <v>51</v>
      </c>
      <c r="L1094" t="s">
        <v>42</v>
      </c>
      <c r="M1094" t="s">
        <v>39</v>
      </c>
      <c r="N1094">
        <v>0</v>
      </c>
      <c r="O1094">
        <v>0</v>
      </c>
      <c r="P1094" s="8">
        <f>INT(Delivery_data[[#This Row],[Order Timestamp]])</f>
        <v>45171</v>
      </c>
      <c r="Q1094">
        <f ca="1">IF(Delivery_data[[#This Row],[Order Status]]="In Progress", TODAY()-Delivery_data[[#This Row],[Order Date]], "")</f>
        <v>812</v>
      </c>
      <c r="R1094">
        <f>IF(Delivery_data[[#This Row],[On Time]]=1,0,1)</f>
        <v>1</v>
      </c>
    </row>
    <row r="1095" spans="1:18" x14ac:dyDescent="0.35">
      <c r="A1095">
        <v>2214</v>
      </c>
      <c r="B1095" t="s">
        <v>1215</v>
      </c>
      <c r="C1095" s="1">
        <v>45170.453472222223</v>
      </c>
      <c r="D1095" t="s">
        <v>16</v>
      </c>
      <c r="E1095" t="s">
        <v>62</v>
      </c>
      <c r="F1095" t="s">
        <v>1125</v>
      </c>
      <c r="G1095" t="s">
        <v>233</v>
      </c>
      <c r="H1095">
        <v>76</v>
      </c>
      <c r="I1095">
        <v>19</v>
      </c>
      <c r="J1095" t="s">
        <v>27</v>
      </c>
      <c r="K1095" t="s">
        <v>33</v>
      </c>
      <c r="L1095" t="s">
        <v>42</v>
      </c>
      <c r="M1095" t="s">
        <v>23</v>
      </c>
      <c r="N1095">
        <v>0</v>
      </c>
      <c r="O1095">
        <v>0</v>
      </c>
      <c r="P1095" s="8">
        <f>INT(Delivery_data[[#This Row],[Order Timestamp]])</f>
        <v>45170</v>
      </c>
      <c r="Q1095">
        <f ca="1">IF(Delivery_data[[#This Row],[Order Status]]="In Progress", TODAY()-Delivery_data[[#This Row],[Order Date]], "")</f>
        <v>813</v>
      </c>
      <c r="R1095">
        <f>IF(Delivery_data[[#This Row],[On Time]]=1,0,1)</f>
        <v>1</v>
      </c>
    </row>
    <row r="1096" spans="1:18" x14ac:dyDescent="0.35">
      <c r="A1096">
        <v>2253</v>
      </c>
      <c r="B1096" t="s">
        <v>1216</v>
      </c>
      <c r="C1096" s="1">
        <v>45177.452777777777</v>
      </c>
      <c r="D1096" t="s">
        <v>25</v>
      </c>
      <c r="E1096" t="s">
        <v>356</v>
      </c>
      <c r="F1096" t="s">
        <v>1125</v>
      </c>
      <c r="G1096" t="s">
        <v>557</v>
      </c>
      <c r="H1096">
        <v>216</v>
      </c>
      <c r="I1096">
        <v>24</v>
      </c>
      <c r="J1096" t="s">
        <v>27</v>
      </c>
      <c r="K1096" t="s">
        <v>38</v>
      </c>
      <c r="L1096" t="s">
        <v>42</v>
      </c>
      <c r="M1096" t="s">
        <v>39</v>
      </c>
      <c r="N1096">
        <v>0</v>
      </c>
      <c r="O1096">
        <v>0</v>
      </c>
      <c r="P1096" s="8">
        <f>INT(Delivery_data[[#This Row],[Order Timestamp]])</f>
        <v>45177</v>
      </c>
      <c r="Q1096" t="str">
        <f ca="1">IF(Delivery_data[[#This Row],[Order Status]]="In Progress", TODAY()-Delivery_data[[#This Row],[Order Date]], "")</f>
        <v/>
      </c>
      <c r="R1096">
        <f>IF(Delivery_data[[#This Row],[On Time]]=1,0,1)</f>
        <v>1</v>
      </c>
    </row>
    <row r="1097" spans="1:18" x14ac:dyDescent="0.35">
      <c r="A1097">
        <v>2264</v>
      </c>
      <c r="B1097" t="s">
        <v>1217</v>
      </c>
      <c r="C1097" s="1">
        <v>45173.336111111108</v>
      </c>
      <c r="D1097" t="s">
        <v>25</v>
      </c>
      <c r="E1097" t="s">
        <v>108</v>
      </c>
      <c r="F1097" t="s">
        <v>1125</v>
      </c>
      <c r="G1097" t="s">
        <v>557</v>
      </c>
      <c r="H1097">
        <v>235</v>
      </c>
      <c r="I1097">
        <v>11</v>
      </c>
      <c r="J1097" t="s">
        <v>35</v>
      </c>
      <c r="K1097" t="s">
        <v>21</v>
      </c>
      <c r="L1097" t="s">
        <v>42</v>
      </c>
      <c r="M1097" t="s">
        <v>39</v>
      </c>
      <c r="N1097">
        <v>0</v>
      </c>
      <c r="O1097">
        <v>1</v>
      </c>
      <c r="P1097" s="8">
        <f>INT(Delivery_data[[#This Row],[Order Timestamp]])</f>
        <v>45173</v>
      </c>
      <c r="Q1097" t="str">
        <f ca="1">IF(Delivery_data[[#This Row],[Order Status]]="In Progress", TODAY()-Delivery_data[[#This Row],[Order Date]], "")</f>
        <v/>
      </c>
      <c r="R1097">
        <f>IF(Delivery_data[[#This Row],[On Time]]=1,0,1)</f>
        <v>1</v>
      </c>
    </row>
    <row r="1098" spans="1:18" x14ac:dyDescent="0.35">
      <c r="A1098">
        <v>2278</v>
      </c>
      <c r="B1098" t="s">
        <v>1218</v>
      </c>
      <c r="C1098" s="1">
        <v>45171.697222222225</v>
      </c>
      <c r="D1098" t="s">
        <v>25</v>
      </c>
      <c r="E1098" t="s">
        <v>48</v>
      </c>
      <c r="F1098" t="s">
        <v>1125</v>
      </c>
      <c r="G1098" t="s">
        <v>362</v>
      </c>
      <c r="H1098">
        <v>234</v>
      </c>
      <c r="I1098">
        <v>6</v>
      </c>
      <c r="J1098" t="s">
        <v>20</v>
      </c>
      <c r="K1098" t="s">
        <v>21</v>
      </c>
      <c r="L1098" t="s">
        <v>42</v>
      </c>
      <c r="M1098" t="s">
        <v>39</v>
      </c>
      <c r="N1098">
        <v>0</v>
      </c>
      <c r="O1098">
        <v>0</v>
      </c>
      <c r="P1098" s="8">
        <f>INT(Delivery_data[[#This Row],[Order Timestamp]])</f>
        <v>45171</v>
      </c>
      <c r="Q1098" t="str">
        <f ca="1">IF(Delivery_data[[#This Row],[Order Status]]="In Progress", TODAY()-Delivery_data[[#This Row],[Order Date]], "")</f>
        <v/>
      </c>
      <c r="R1098">
        <f>IF(Delivery_data[[#This Row],[On Time]]=1,0,1)</f>
        <v>1</v>
      </c>
    </row>
    <row r="1099" spans="1:18" x14ac:dyDescent="0.35">
      <c r="A1099">
        <v>2287</v>
      </c>
      <c r="B1099" t="s">
        <v>1219</v>
      </c>
      <c r="C1099" s="1">
        <v>45171.566666666666</v>
      </c>
      <c r="D1099" t="s">
        <v>25</v>
      </c>
      <c r="E1099" t="s">
        <v>511</v>
      </c>
      <c r="F1099" t="s">
        <v>1125</v>
      </c>
      <c r="G1099" t="s">
        <v>557</v>
      </c>
      <c r="H1099">
        <v>77</v>
      </c>
      <c r="I1099">
        <v>22</v>
      </c>
      <c r="J1099" t="s">
        <v>27</v>
      </c>
      <c r="K1099" t="s">
        <v>28</v>
      </c>
      <c r="L1099" t="s">
        <v>42</v>
      </c>
      <c r="M1099" t="s">
        <v>23</v>
      </c>
      <c r="N1099">
        <v>0</v>
      </c>
      <c r="O1099">
        <v>0</v>
      </c>
      <c r="P1099" s="8">
        <f>INT(Delivery_data[[#This Row],[Order Timestamp]])</f>
        <v>45171</v>
      </c>
      <c r="Q1099" t="str">
        <f ca="1">IF(Delivery_data[[#This Row],[Order Status]]="In Progress", TODAY()-Delivery_data[[#This Row],[Order Date]], "")</f>
        <v/>
      </c>
      <c r="R1099">
        <f>IF(Delivery_data[[#This Row],[On Time]]=1,0,1)</f>
        <v>1</v>
      </c>
    </row>
    <row r="1100" spans="1:18" x14ac:dyDescent="0.35">
      <c r="A1100">
        <v>2309</v>
      </c>
      <c r="B1100" t="s">
        <v>1220</v>
      </c>
      <c r="C1100" s="1">
        <v>45170.595833333333</v>
      </c>
      <c r="D1100" t="s">
        <v>25</v>
      </c>
      <c r="E1100" t="s">
        <v>245</v>
      </c>
      <c r="F1100" t="s">
        <v>1125</v>
      </c>
      <c r="G1100" t="s">
        <v>557</v>
      </c>
      <c r="H1100">
        <v>225</v>
      </c>
      <c r="I1100">
        <v>9</v>
      </c>
      <c r="J1100" t="s">
        <v>20</v>
      </c>
      <c r="K1100" t="s">
        <v>38</v>
      </c>
      <c r="L1100" t="s">
        <v>42</v>
      </c>
      <c r="M1100" t="s">
        <v>39</v>
      </c>
      <c r="N1100">
        <v>0</v>
      </c>
      <c r="O1100">
        <v>0</v>
      </c>
      <c r="P1100" s="8">
        <f>INT(Delivery_data[[#This Row],[Order Timestamp]])</f>
        <v>45170</v>
      </c>
      <c r="Q1100" t="str">
        <f ca="1">IF(Delivery_data[[#This Row],[Order Status]]="In Progress", TODAY()-Delivery_data[[#This Row],[Order Date]], "")</f>
        <v/>
      </c>
      <c r="R1100">
        <f>IF(Delivery_data[[#This Row],[On Time]]=1,0,1)</f>
        <v>1</v>
      </c>
    </row>
    <row r="1101" spans="1:18" x14ac:dyDescent="0.35">
      <c r="A1101">
        <v>2319</v>
      </c>
      <c r="B1101" t="s">
        <v>1221</v>
      </c>
      <c r="C1101" s="1">
        <v>45174.523611111108</v>
      </c>
      <c r="D1101" t="s">
        <v>25</v>
      </c>
      <c r="E1101" t="s">
        <v>292</v>
      </c>
      <c r="F1101" t="s">
        <v>1125</v>
      </c>
      <c r="G1101" t="s">
        <v>233</v>
      </c>
      <c r="H1101">
        <v>71</v>
      </c>
      <c r="I1101">
        <v>1</v>
      </c>
      <c r="J1101" t="s">
        <v>20</v>
      </c>
      <c r="K1101" t="s">
        <v>51</v>
      </c>
      <c r="L1101" t="s">
        <v>42</v>
      </c>
      <c r="M1101" t="s">
        <v>23</v>
      </c>
      <c r="N1101">
        <v>0</v>
      </c>
      <c r="O1101">
        <v>0</v>
      </c>
      <c r="P1101" s="8">
        <f>INT(Delivery_data[[#This Row],[Order Timestamp]])</f>
        <v>45174</v>
      </c>
      <c r="Q1101" t="str">
        <f ca="1">IF(Delivery_data[[#This Row],[Order Status]]="In Progress", TODAY()-Delivery_data[[#This Row],[Order Date]], "")</f>
        <v/>
      </c>
      <c r="R1101">
        <f>IF(Delivery_data[[#This Row],[On Time]]=1,0,1)</f>
        <v>1</v>
      </c>
    </row>
    <row r="1102" spans="1:18" x14ac:dyDescent="0.35">
      <c r="A1102">
        <v>2336</v>
      </c>
      <c r="B1102" t="s">
        <v>1222</v>
      </c>
      <c r="C1102" s="1">
        <v>45170.602777777778</v>
      </c>
      <c r="D1102" t="s">
        <v>16</v>
      </c>
      <c r="E1102" t="s">
        <v>37</v>
      </c>
      <c r="F1102" t="s">
        <v>1125</v>
      </c>
      <c r="G1102" t="s">
        <v>362</v>
      </c>
      <c r="H1102">
        <v>122</v>
      </c>
      <c r="I1102">
        <v>1</v>
      </c>
      <c r="J1102" t="s">
        <v>35</v>
      </c>
      <c r="K1102" t="s">
        <v>51</v>
      </c>
      <c r="L1102" t="s">
        <v>42</v>
      </c>
      <c r="M1102" t="s">
        <v>23</v>
      </c>
      <c r="N1102">
        <v>0</v>
      </c>
      <c r="O1102">
        <v>1</v>
      </c>
      <c r="P1102" s="8">
        <f>INT(Delivery_data[[#This Row],[Order Timestamp]])</f>
        <v>45170</v>
      </c>
      <c r="Q1102">
        <f ca="1">IF(Delivery_data[[#This Row],[Order Status]]="In Progress", TODAY()-Delivery_data[[#This Row],[Order Date]], "")</f>
        <v>813</v>
      </c>
      <c r="R1102">
        <f>IF(Delivery_data[[#This Row],[On Time]]=1,0,1)</f>
        <v>1</v>
      </c>
    </row>
    <row r="1103" spans="1:18" x14ac:dyDescent="0.35">
      <c r="A1103">
        <v>2343</v>
      </c>
      <c r="B1103" t="s">
        <v>1223</v>
      </c>
      <c r="C1103" s="1">
        <v>45174.343055555553</v>
      </c>
      <c r="D1103" t="s">
        <v>16</v>
      </c>
      <c r="E1103" t="s">
        <v>155</v>
      </c>
      <c r="F1103" t="s">
        <v>1125</v>
      </c>
      <c r="G1103" t="s">
        <v>362</v>
      </c>
      <c r="H1103">
        <v>125</v>
      </c>
      <c r="I1103">
        <v>22</v>
      </c>
      <c r="J1103" t="s">
        <v>35</v>
      </c>
      <c r="K1103" t="s">
        <v>33</v>
      </c>
      <c r="L1103" t="s">
        <v>42</v>
      </c>
      <c r="M1103" t="s">
        <v>23</v>
      </c>
      <c r="N1103">
        <v>0</v>
      </c>
      <c r="O1103">
        <v>1</v>
      </c>
      <c r="P1103" s="8">
        <f>INT(Delivery_data[[#This Row],[Order Timestamp]])</f>
        <v>45174</v>
      </c>
      <c r="Q1103">
        <f ca="1">IF(Delivery_data[[#This Row],[Order Status]]="In Progress", TODAY()-Delivery_data[[#This Row],[Order Date]], "")</f>
        <v>809</v>
      </c>
      <c r="R1103">
        <f>IF(Delivery_data[[#This Row],[On Time]]=1,0,1)</f>
        <v>1</v>
      </c>
    </row>
    <row r="1104" spans="1:18" x14ac:dyDescent="0.35">
      <c r="A1104">
        <v>2351</v>
      </c>
      <c r="B1104" t="s">
        <v>1224</v>
      </c>
      <c r="C1104" s="1">
        <v>45176.568749999999</v>
      </c>
      <c r="D1104" t="s">
        <v>25</v>
      </c>
      <c r="E1104" t="s">
        <v>152</v>
      </c>
      <c r="F1104" t="s">
        <v>1125</v>
      </c>
      <c r="G1104" t="s">
        <v>362</v>
      </c>
      <c r="H1104">
        <v>207</v>
      </c>
      <c r="I1104">
        <v>28</v>
      </c>
      <c r="J1104" t="s">
        <v>20</v>
      </c>
      <c r="K1104" t="s">
        <v>28</v>
      </c>
      <c r="L1104" t="s">
        <v>42</v>
      </c>
      <c r="M1104" t="s">
        <v>23</v>
      </c>
      <c r="N1104">
        <v>0</v>
      </c>
      <c r="O1104">
        <v>0</v>
      </c>
      <c r="P1104" s="8">
        <f>INT(Delivery_data[[#This Row],[Order Timestamp]])</f>
        <v>45176</v>
      </c>
      <c r="Q1104" t="str">
        <f ca="1">IF(Delivery_data[[#This Row],[Order Status]]="In Progress", TODAY()-Delivery_data[[#This Row],[Order Date]], "")</f>
        <v/>
      </c>
      <c r="R1104">
        <f>IF(Delivery_data[[#This Row],[On Time]]=1,0,1)</f>
        <v>1</v>
      </c>
    </row>
    <row r="1105" spans="1:18" x14ac:dyDescent="0.35">
      <c r="A1105">
        <v>2373</v>
      </c>
      <c r="B1105" t="s">
        <v>1225</v>
      </c>
      <c r="C1105" s="1">
        <v>45172.646527777775</v>
      </c>
      <c r="D1105" t="s">
        <v>16</v>
      </c>
      <c r="E1105" t="s">
        <v>64</v>
      </c>
      <c r="F1105" t="s">
        <v>1125</v>
      </c>
      <c r="G1105" t="s">
        <v>19</v>
      </c>
      <c r="H1105">
        <v>207</v>
      </c>
      <c r="I1105">
        <v>22</v>
      </c>
      <c r="J1105" t="s">
        <v>20</v>
      </c>
      <c r="K1105" t="s">
        <v>51</v>
      </c>
      <c r="L1105" t="s">
        <v>42</v>
      </c>
      <c r="M1105" t="s">
        <v>23</v>
      </c>
      <c r="N1105">
        <v>0</v>
      </c>
      <c r="O1105">
        <v>0</v>
      </c>
      <c r="P1105" s="8">
        <f>INT(Delivery_data[[#This Row],[Order Timestamp]])</f>
        <v>45172</v>
      </c>
      <c r="Q1105">
        <f ca="1">IF(Delivery_data[[#This Row],[Order Status]]="In Progress", TODAY()-Delivery_data[[#This Row],[Order Date]], "")</f>
        <v>811</v>
      </c>
      <c r="R1105">
        <f>IF(Delivery_data[[#This Row],[On Time]]=1,0,1)</f>
        <v>1</v>
      </c>
    </row>
    <row r="1106" spans="1:18" x14ac:dyDescent="0.35">
      <c r="A1106">
        <v>2380</v>
      </c>
      <c r="B1106" t="s">
        <v>1226</v>
      </c>
      <c r="C1106" s="1">
        <v>45175.447916666664</v>
      </c>
      <c r="D1106" t="s">
        <v>16</v>
      </c>
      <c r="E1106" t="s">
        <v>214</v>
      </c>
      <c r="F1106" t="s">
        <v>1125</v>
      </c>
      <c r="G1106" t="s">
        <v>19</v>
      </c>
      <c r="H1106">
        <v>117</v>
      </c>
      <c r="I1106">
        <v>2</v>
      </c>
      <c r="J1106" t="s">
        <v>27</v>
      </c>
      <c r="K1106" t="s">
        <v>51</v>
      </c>
      <c r="L1106" t="s">
        <v>42</v>
      </c>
      <c r="M1106" t="s">
        <v>23</v>
      </c>
      <c r="N1106">
        <v>0</v>
      </c>
      <c r="O1106">
        <v>0</v>
      </c>
      <c r="P1106" s="8">
        <f>INT(Delivery_data[[#This Row],[Order Timestamp]])</f>
        <v>45175</v>
      </c>
      <c r="Q1106">
        <f ca="1">IF(Delivery_data[[#This Row],[Order Status]]="In Progress", TODAY()-Delivery_data[[#This Row],[Order Date]], "")</f>
        <v>808</v>
      </c>
      <c r="R1106">
        <f>IF(Delivery_data[[#This Row],[On Time]]=1,0,1)</f>
        <v>1</v>
      </c>
    </row>
    <row r="1107" spans="1:18" x14ac:dyDescent="0.35">
      <c r="A1107">
        <v>2394</v>
      </c>
      <c r="B1107" t="s">
        <v>1227</v>
      </c>
      <c r="C1107" s="1">
        <v>45174.390277777777</v>
      </c>
      <c r="D1107" t="s">
        <v>25</v>
      </c>
      <c r="E1107" t="s">
        <v>209</v>
      </c>
      <c r="F1107" t="s">
        <v>1125</v>
      </c>
      <c r="G1107" t="s">
        <v>557</v>
      </c>
      <c r="H1107">
        <v>119</v>
      </c>
      <c r="I1107">
        <v>3</v>
      </c>
      <c r="J1107" t="s">
        <v>35</v>
      </c>
      <c r="K1107" t="s">
        <v>38</v>
      </c>
      <c r="L1107" t="s">
        <v>42</v>
      </c>
      <c r="M1107" t="s">
        <v>23</v>
      </c>
      <c r="N1107">
        <v>0</v>
      </c>
      <c r="O1107">
        <v>1</v>
      </c>
      <c r="P1107" s="8">
        <f>INT(Delivery_data[[#This Row],[Order Timestamp]])</f>
        <v>45174</v>
      </c>
      <c r="Q1107" t="str">
        <f ca="1">IF(Delivery_data[[#This Row],[Order Status]]="In Progress", TODAY()-Delivery_data[[#This Row],[Order Date]], "")</f>
        <v/>
      </c>
      <c r="R1107">
        <f>IF(Delivery_data[[#This Row],[On Time]]=1,0,1)</f>
        <v>1</v>
      </c>
    </row>
    <row r="1108" spans="1:18" x14ac:dyDescent="0.35">
      <c r="A1108">
        <v>2412</v>
      </c>
      <c r="B1108" t="s">
        <v>1228</v>
      </c>
      <c r="C1108" s="1">
        <v>45173.597222222219</v>
      </c>
      <c r="D1108" t="s">
        <v>16</v>
      </c>
      <c r="E1108" t="s">
        <v>102</v>
      </c>
      <c r="F1108" t="s">
        <v>1125</v>
      </c>
      <c r="G1108" t="s">
        <v>557</v>
      </c>
      <c r="H1108">
        <v>104</v>
      </c>
      <c r="I1108">
        <v>20</v>
      </c>
      <c r="J1108" t="s">
        <v>35</v>
      </c>
      <c r="K1108" t="s">
        <v>51</v>
      </c>
      <c r="L1108" t="s">
        <v>42</v>
      </c>
      <c r="M1108" t="s">
        <v>23</v>
      </c>
      <c r="N1108">
        <v>0</v>
      </c>
      <c r="O1108">
        <v>1</v>
      </c>
      <c r="P1108" s="8">
        <f>INT(Delivery_data[[#This Row],[Order Timestamp]])</f>
        <v>45173</v>
      </c>
      <c r="Q1108">
        <f ca="1">IF(Delivery_data[[#This Row],[Order Status]]="In Progress", TODAY()-Delivery_data[[#This Row],[Order Date]], "")</f>
        <v>810</v>
      </c>
      <c r="R1108">
        <f>IF(Delivery_data[[#This Row],[On Time]]=1,0,1)</f>
        <v>1</v>
      </c>
    </row>
    <row r="1109" spans="1:18" x14ac:dyDescent="0.35">
      <c r="A1109">
        <v>2477</v>
      </c>
      <c r="B1109" t="s">
        <v>1229</v>
      </c>
      <c r="C1109" s="1">
        <v>45175.345833333333</v>
      </c>
      <c r="D1109" t="s">
        <v>16</v>
      </c>
      <c r="E1109" t="s">
        <v>287</v>
      </c>
      <c r="F1109" t="s">
        <v>1125</v>
      </c>
      <c r="G1109" t="s">
        <v>19</v>
      </c>
      <c r="H1109">
        <v>235</v>
      </c>
      <c r="I1109">
        <v>13</v>
      </c>
      <c r="J1109" t="s">
        <v>27</v>
      </c>
      <c r="K1109" t="s">
        <v>28</v>
      </c>
      <c r="L1109" t="s">
        <v>42</v>
      </c>
      <c r="M1109" t="s">
        <v>39</v>
      </c>
      <c r="N1109">
        <v>0</v>
      </c>
      <c r="O1109">
        <v>0</v>
      </c>
      <c r="P1109" s="8">
        <f>INT(Delivery_data[[#This Row],[Order Timestamp]])</f>
        <v>45175</v>
      </c>
      <c r="Q1109">
        <f ca="1">IF(Delivery_data[[#This Row],[Order Status]]="In Progress", TODAY()-Delivery_data[[#This Row],[Order Date]], "")</f>
        <v>808</v>
      </c>
      <c r="R1109">
        <f>IF(Delivery_data[[#This Row],[On Time]]=1,0,1)</f>
        <v>1</v>
      </c>
    </row>
    <row r="1110" spans="1:18" x14ac:dyDescent="0.35">
      <c r="A1110">
        <v>2480</v>
      </c>
      <c r="B1110" t="s">
        <v>1230</v>
      </c>
      <c r="C1110" s="1">
        <v>45171.475694444445</v>
      </c>
      <c r="D1110" t="s">
        <v>25</v>
      </c>
      <c r="E1110" t="s">
        <v>212</v>
      </c>
      <c r="F1110" t="s">
        <v>1125</v>
      </c>
      <c r="G1110" t="s">
        <v>463</v>
      </c>
      <c r="H1110">
        <v>155</v>
      </c>
      <c r="I1110">
        <v>9</v>
      </c>
      <c r="J1110" t="s">
        <v>27</v>
      </c>
      <c r="K1110" t="s">
        <v>38</v>
      </c>
      <c r="L1110" t="s">
        <v>42</v>
      </c>
      <c r="M1110" t="s">
        <v>23</v>
      </c>
      <c r="N1110">
        <v>0</v>
      </c>
      <c r="O1110">
        <v>0</v>
      </c>
      <c r="P1110" s="8">
        <f>INT(Delivery_data[[#This Row],[Order Timestamp]])</f>
        <v>45171</v>
      </c>
      <c r="Q1110" t="str">
        <f ca="1">IF(Delivery_data[[#This Row],[Order Status]]="In Progress", TODAY()-Delivery_data[[#This Row],[Order Date]], "")</f>
        <v/>
      </c>
      <c r="R1110">
        <f>IF(Delivery_data[[#This Row],[On Time]]=1,0,1)</f>
        <v>1</v>
      </c>
    </row>
    <row r="1111" spans="1:18" x14ac:dyDescent="0.35">
      <c r="A1111">
        <v>2494</v>
      </c>
      <c r="B1111" t="s">
        <v>31</v>
      </c>
      <c r="C1111" s="1">
        <v>45177.484027777777</v>
      </c>
      <c r="D1111" t="s">
        <v>25</v>
      </c>
      <c r="E1111" t="s">
        <v>60</v>
      </c>
      <c r="F1111" t="s">
        <v>1125</v>
      </c>
      <c r="G1111" t="s">
        <v>463</v>
      </c>
      <c r="H1111">
        <v>71</v>
      </c>
      <c r="I1111">
        <v>3</v>
      </c>
      <c r="J1111" t="s">
        <v>20</v>
      </c>
      <c r="K1111" t="s">
        <v>28</v>
      </c>
      <c r="L1111" t="s">
        <v>42</v>
      </c>
      <c r="M1111" t="s">
        <v>39</v>
      </c>
      <c r="N1111">
        <v>0</v>
      </c>
      <c r="O1111">
        <v>0</v>
      </c>
      <c r="P1111" s="8">
        <f>INT(Delivery_data[[#This Row],[Order Timestamp]])</f>
        <v>45177</v>
      </c>
      <c r="Q1111" t="str">
        <f ca="1">IF(Delivery_data[[#This Row],[Order Status]]="In Progress", TODAY()-Delivery_data[[#This Row],[Order Date]], "")</f>
        <v/>
      </c>
      <c r="R1111">
        <f>IF(Delivery_data[[#This Row],[On Time]]=1,0,1)</f>
        <v>1</v>
      </c>
    </row>
    <row r="1112" spans="1:18" x14ac:dyDescent="0.35">
      <c r="A1112">
        <v>1007</v>
      </c>
      <c r="B1112" t="s">
        <v>1231</v>
      </c>
      <c r="C1112" s="1">
        <v>45176.574999999997</v>
      </c>
      <c r="D1112" t="s">
        <v>16</v>
      </c>
      <c r="E1112" t="s">
        <v>209</v>
      </c>
      <c r="F1112" t="s">
        <v>1125</v>
      </c>
      <c r="G1112" t="s">
        <v>233</v>
      </c>
      <c r="H1112">
        <v>161</v>
      </c>
      <c r="I1112">
        <v>8</v>
      </c>
      <c r="J1112" t="s">
        <v>35</v>
      </c>
      <c r="K1112" t="s">
        <v>28</v>
      </c>
      <c r="L1112" t="s">
        <v>42</v>
      </c>
      <c r="M1112" t="s">
        <v>30</v>
      </c>
      <c r="N1112">
        <v>0</v>
      </c>
      <c r="O1112">
        <v>1</v>
      </c>
      <c r="P1112" s="8">
        <f>INT(Delivery_data[[#This Row],[Order Timestamp]])</f>
        <v>45176</v>
      </c>
      <c r="Q1112">
        <f ca="1">IF(Delivery_data[[#This Row],[Order Status]]="In Progress", TODAY()-Delivery_data[[#This Row],[Order Date]], "")</f>
        <v>807</v>
      </c>
      <c r="R1112">
        <f>IF(Delivery_data[[#This Row],[On Time]]=1,0,1)</f>
        <v>1</v>
      </c>
    </row>
    <row r="1113" spans="1:18" x14ac:dyDescent="0.35">
      <c r="A1113">
        <v>1014</v>
      </c>
      <c r="B1113" t="s">
        <v>1232</v>
      </c>
      <c r="C1113" s="1">
        <v>45177.684027777781</v>
      </c>
      <c r="D1113" t="s">
        <v>25</v>
      </c>
      <c r="E1113" t="s">
        <v>511</v>
      </c>
      <c r="F1113" t="s">
        <v>1125</v>
      </c>
      <c r="G1113" t="s">
        <v>557</v>
      </c>
      <c r="H1113">
        <v>66</v>
      </c>
      <c r="I1113">
        <v>11</v>
      </c>
      <c r="J1113" t="s">
        <v>20</v>
      </c>
      <c r="K1113" t="s">
        <v>21</v>
      </c>
      <c r="L1113" t="s">
        <v>42</v>
      </c>
      <c r="M1113" t="s">
        <v>30</v>
      </c>
      <c r="N1113">
        <v>0</v>
      </c>
      <c r="O1113">
        <v>0</v>
      </c>
      <c r="P1113" s="8">
        <f>INT(Delivery_data[[#This Row],[Order Timestamp]])</f>
        <v>45177</v>
      </c>
      <c r="Q1113" t="str">
        <f ca="1">IF(Delivery_data[[#This Row],[Order Status]]="In Progress", TODAY()-Delivery_data[[#This Row],[Order Date]], "")</f>
        <v/>
      </c>
      <c r="R1113">
        <f>IF(Delivery_data[[#This Row],[On Time]]=1,0,1)</f>
        <v>1</v>
      </c>
    </row>
    <row r="1114" spans="1:18" x14ac:dyDescent="0.35">
      <c r="A1114">
        <v>1028</v>
      </c>
      <c r="B1114" t="s">
        <v>1233</v>
      </c>
      <c r="C1114" s="1">
        <v>45171.384722222225</v>
      </c>
      <c r="D1114" t="s">
        <v>25</v>
      </c>
      <c r="E1114" t="s">
        <v>161</v>
      </c>
      <c r="F1114" t="s">
        <v>1125</v>
      </c>
      <c r="G1114" t="s">
        <v>557</v>
      </c>
      <c r="H1114">
        <v>165</v>
      </c>
      <c r="I1114">
        <v>17</v>
      </c>
      <c r="J1114" t="s">
        <v>20</v>
      </c>
      <c r="K1114" t="s">
        <v>51</v>
      </c>
      <c r="L1114" t="s">
        <v>42</v>
      </c>
      <c r="M1114" t="s">
        <v>30</v>
      </c>
      <c r="N1114">
        <v>0</v>
      </c>
      <c r="O1114">
        <v>0</v>
      </c>
      <c r="P1114" s="8">
        <f>INT(Delivery_data[[#This Row],[Order Timestamp]])</f>
        <v>45171</v>
      </c>
      <c r="Q1114" t="str">
        <f ca="1">IF(Delivery_data[[#This Row],[Order Status]]="In Progress", TODAY()-Delivery_data[[#This Row],[Order Date]], "")</f>
        <v/>
      </c>
      <c r="R1114">
        <f>IF(Delivery_data[[#This Row],[On Time]]=1,0,1)</f>
        <v>1</v>
      </c>
    </row>
    <row r="1115" spans="1:18" x14ac:dyDescent="0.35">
      <c r="A1115">
        <v>1040</v>
      </c>
      <c r="B1115" t="s">
        <v>1234</v>
      </c>
      <c r="C1115" s="1">
        <v>45175.481249999997</v>
      </c>
      <c r="D1115" t="s">
        <v>25</v>
      </c>
      <c r="E1115" t="s">
        <v>342</v>
      </c>
      <c r="F1115" t="s">
        <v>1125</v>
      </c>
      <c r="G1115" t="s">
        <v>362</v>
      </c>
      <c r="H1115">
        <v>103</v>
      </c>
      <c r="I1115">
        <v>9</v>
      </c>
      <c r="J1115" t="s">
        <v>20</v>
      </c>
      <c r="K1115" t="s">
        <v>21</v>
      </c>
      <c r="L1115" t="s">
        <v>42</v>
      </c>
      <c r="M1115" t="s">
        <v>30</v>
      </c>
      <c r="N1115">
        <v>0</v>
      </c>
      <c r="O1115">
        <v>0</v>
      </c>
      <c r="P1115" s="8">
        <f>INT(Delivery_data[[#This Row],[Order Timestamp]])</f>
        <v>45175</v>
      </c>
      <c r="Q1115" t="str">
        <f ca="1">IF(Delivery_data[[#This Row],[Order Status]]="In Progress", TODAY()-Delivery_data[[#This Row],[Order Date]], "")</f>
        <v/>
      </c>
      <c r="R1115">
        <f>IF(Delivery_data[[#This Row],[On Time]]=1,0,1)</f>
        <v>1</v>
      </c>
    </row>
    <row r="1116" spans="1:18" x14ac:dyDescent="0.35">
      <c r="A1116">
        <v>1095</v>
      </c>
      <c r="B1116" t="s">
        <v>1235</v>
      </c>
      <c r="C1116" s="1">
        <v>45173.397916666669</v>
      </c>
      <c r="D1116" t="s">
        <v>16</v>
      </c>
      <c r="E1116" t="s">
        <v>126</v>
      </c>
      <c r="F1116" t="s">
        <v>1125</v>
      </c>
      <c r="G1116" t="s">
        <v>233</v>
      </c>
      <c r="H1116">
        <v>157</v>
      </c>
      <c r="I1116">
        <v>1</v>
      </c>
      <c r="J1116" t="s">
        <v>20</v>
      </c>
      <c r="K1116" t="s">
        <v>33</v>
      </c>
      <c r="L1116" t="s">
        <v>42</v>
      </c>
      <c r="M1116" t="s">
        <v>30</v>
      </c>
      <c r="N1116">
        <v>0</v>
      </c>
      <c r="O1116">
        <v>0</v>
      </c>
      <c r="P1116" s="8">
        <f>INT(Delivery_data[[#This Row],[Order Timestamp]])</f>
        <v>45173</v>
      </c>
      <c r="Q1116">
        <f ca="1">IF(Delivery_data[[#This Row],[Order Status]]="In Progress", TODAY()-Delivery_data[[#This Row],[Order Date]], "")</f>
        <v>810</v>
      </c>
      <c r="R1116">
        <f>IF(Delivery_data[[#This Row],[On Time]]=1,0,1)</f>
        <v>1</v>
      </c>
    </row>
    <row r="1117" spans="1:18" x14ac:dyDescent="0.35">
      <c r="A1117">
        <v>1139</v>
      </c>
      <c r="B1117" t="s">
        <v>1236</v>
      </c>
      <c r="C1117" s="1">
        <v>45177.456250000003</v>
      </c>
      <c r="D1117" t="s">
        <v>25</v>
      </c>
      <c r="E1117" t="s">
        <v>126</v>
      </c>
      <c r="F1117" t="s">
        <v>1125</v>
      </c>
      <c r="G1117" t="s">
        <v>233</v>
      </c>
      <c r="H1117">
        <v>97</v>
      </c>
      <c r="I1117">
        <v>13</v>
      </c>
      <c r="J1117" t="s">
        <v>20</v>
      </c>
      <c r="K1117" t="s">
        <v>51</v>
      </c>
      <c r="L1117" t="s">
        <v>42</v>
      </c>
      <c r="M1117" t="s">
        <v>30</v>
      </c>
      <c r="N1117">
        <v>0</v>
      </c>
      <c r="O1117">
        <v>0</v>
      </c>
      <c r="P1117" s="8">
        <f>INT(Delivery_data[[#This Row],[Order Timestamp]])</f>
        <v>45177</v>
      </c>
      <c r="Q1117" t="str">
        <f ca="1">IF(Delivery_data[[#This Row],[Order Status]]="In Progress", TODAY()-Delivery_data[[#This Row],[Order Date]], "")</f>
        <v/>
      </c>
      <c r="R1117">
        <f>IF(Delivery_data[[#This Row],[On Time]]=1,0,1)</f>
        <v>1</v>
      </c>
    </row>
    <row r="1118" spans="1:18" x14ac:dyDescent="0.35">
      <c r="A1118">
        <v>1150</v>
      </c>
      <c r="B1118" t="s">
        <v>1237</v>
      </c>
      <c r="C1118" s="1">
        <v>45172.675000000003</v>
      </c>
      <c r="D1118" t="s">
        <v>25</v>
      </c>
      <c r="E1118" t="s">
        <v>152</v>
      </c>
      <c r="F1118" t="s">
        <v>1125</v>
      </c>
      <c r="G1118" t="s">
        <v>19</v>
      </c>
      <c r="H1118">
        <v>106</v>
      </c>
      <c r="I1118">
        <v>10</v>
      </c>
      <c r="J1118" t="s">
        <v>20</v>
      </c>
      <c r="K1118" t="s">
        <v>21</v>
      </c>
      <c r="L1118" t="s">
        <v>42</v>
      </c>
      <c r="M1118" t="s">
        <v>30</v>
      </c>
      <c r="N1118">
        <v>0</v>
      </c>
      <c r="O1118">
        <v>0</v>
      </c>
      <c r="P1118" s="8">
        <f>INT(Delivery_data[[#This Row],[Order Timestamp]])</f>
        <v>45172</v>
      </c>
      <c r="Q1118" t="str">
        <f ca="1">IF(Delivery_data[[#This Row],[Order Status]]="In Progress", TODAY()-Delivery_data[[#This Row],[Order Date]], "")</f>
        <v/>
      </c>
      <c r="R1118">
        <f>IF(Delivery_data[[#This Row],[On Time]]=1,0,1)</f>
        <v>1</v>
      </c>
    </row>
    <row r="1119" spans="1:18" x14ac:dyDescent="0.35">
      <c r="A1119">
        <v>1158</v>
      </c>
      <c r="B1119" t="s">
        <v>1238</v>
      </c>
      <c r="C1119" s="1">
        <v>45174.459027777775</v>
      </c>
      <c r="D1119" t="s">
        <v>16</v>
      </c>
      <c r="E1119" t="s">
        <v>144</v>
      </c>
      <c r="F1119" t="s">
        <v>1125</v>
      </c>
      <c r="G1119" t="s">
        <v>19</v>
      </c>
      <c r="H1119">
        <v>83</v>
      </c>
      <c r="I1119">
        <v>8</v>
      </c>
      <c r="J1119" t="s">
        <v>35</v>
      </c>
      <c r="K1119" t="s">
        <v>28</v>
      </c>
      <c r="L1119" t="s">
        <v>42</v>
      </c>
      <c r="M1119" t="s">
        <v>30</v>
      </c>
      <c r="N1119">
        <v>0</v>
      </c>
      <c r="O1119">
        <v>1</v>
      </c>
      <c r="P1119" s="8">
        <f>INT(Delivery_data[[#This Row],[Order Timestamp]])</f>
        <v>45174</v>
      </c>
      <c r="Q1119">
        <f ca="1">IF(Delivery_data[[#This Row],[Order Status]]="In Progress", TODAY()-Delivery_data[[#This Row],[Order Date]], "")</f>
        <v>809</v>
      </c>
      <c r="R1119">
        <f>IF(Delivery_data[[#This Row],[On Time]]=1,0,1)</f>
        <v>1</v>
      </c>
    </row>
    <row r="1120" spans="1:18" x14ac:dyDescent="0.35">
      <c r="A1120">
        <v>1205</v>
      </c>
      <c r="B1120" t="s">
        <v>1239</v>
      </c>
      <c r="C1120" s="1">
        <v>45175.624305555553</v>
      </c>
      <c r="D1120" t="s">
        <v>25</v>
      </c>
      <c r="E1120" t="s">
        <v>212</v>
      </c>
      <c r="F1120" t="s">
        <v>1125</v>
      </c>
      <c r="G1120" t="s">
        <v>362</v>
      </c>
      <c r="H1120">
        <v>171</v>
      </c>
      <c r="I1120">
        <v>12</v>
      </c>
      <c r="J1120" t="s">
        <v>27</v>
      </c>
      <c r="K1120" t="s">
        <v>33</v>
      </c>
      <c r="L1120" t="s">
        <v>42</v>
      </c>
      <c r="M1120" t="s">
        <v>30</v>
      </c>
      <c r="N1120">
        <v>0</v>
      </c>
      <c r="O1120">
        <v>0</v>
      </c>
      <c r="P1120" s="8">
        <f>INT(Delivery_data[[#This Row],[Order Timestamp]])</f>
        <v>45175</v>
      </c>
      <c r="Q1120" t="str">
        <f ca="1">IF(Delivery_data[[#This Row],[Order Status]]="In Progress", TODAY()-Delivery_data[[#This Row],[Order Date]], "")</f>
        <v/>
      </c>
      <c r="R1120">
        <f>IF(Delivery_data[[#This Row],[On Time]]=1,0,1)</f>
        <v>1</v>
      </c>
    </row>
    <row r="1121" spans="1:18" x14ac:dyDescent="0.35">
      <c r="A1121">
        <v>1224</v>
      </c>
      <c r="B1121" t="s">
        <v>1240</v>
      </c>
      <c r="C1121" s="1">
        <v>45175.375694444447</v>
      </c>
      <c r="D1121" t="s">
        <v>25</v>
      </c>
      <c r="E1121" t="s">
        <v>113</v>
      </c>
      <c r="F1121" t="s">
        <v>1125</v>
      </c>
      <c r="G1121" t="s">
        <v>463</v>
      </c>
      <c r="H1121">
        <v>61</v>
      </c>
      <c r="I1121">
        <v>29</v>
      </c>
      <c r="J1121" t="s">
        <v>20</v>
      </c>
      <c r="K1121" t="s">
        <v>33</v>
      </c>
      <c r="L1121" t="s">
        <v>42</v>
      </c>
      <c r="M1121" t="s">
        <v>30</v>
      </c>
      <c r="N1121">
        <v>0</v>
      </c>
      <c r="O1121">
        <v>0</v>
      </c>
      <c r="P1121" s="8">
        <f>INT(Delivery_data[[#This Row],[Order Timestamp]])</f>
        <v>45175</v>
      </c>
      <c r="Q1121" t="str">
        <f ca="1">IF(Delivery_data[[#This Row],[Order Status]]="In Progress", TODAY()-Delivery_data[[#This Row],[Order Date]], "")</f>
        <v/>
      </c>
      <c r="R1121">
        <f>IF(Delivery_data[[#This Row],[On Time]]=1,0,1)</f>
        <v>1</v>
      </c>
    </row>
    <row r="1122" spans="1:18" x14ac:dyDescent="0.35">
      <c r="A1122">
        <v>1242</v>
      </c>
      <c r="B1122" t="s">
        <v>1241</v>
      </c>
      <c r="C1122" s="1">
        <v>45172.629166666666</v>
      </c>
      <c r="D1122" t="s">
        <v>16</v>
      </c>
      <c r="E1122" t="s">
        <v>267</v>
      </c>
      <c r="F1122" t="s">
        <v>1125</v>
      </c>
      <c r="G1122" t="s">
        <v>557</v>
      </c>
      <c r="H1122">
        <v>186</v>
      </c>
      <c r="I1122">
        <v>24</v>
      </c>
      <c r="J1122" t="s">
        <v>27</v>
      </c>
      <c r="K1122" t="s">
        <v>38</v>
      </c>
      <c r="L1122" t="s">
        <v>42</v>
      </c>
      <c r="M1122" t="s">
        <v>30</v>
      </c>
      <c r="N1122">
        <v>0</v>
      </c>
      <c r="O1122">
        <v>0</v>
      </c>
      <c r="P1122" s="8">
        <f>INT(Delivery_data[[#This Row],[Order Timestamp]])</f>
        <v>45172</v>
      </c>
      <c r="Q1122">
        <f ca="1">IF(Delivery_data[[#This Row],[Order Status]]="In Progress", TODAY()-Delivery_data[[#This Row],[Order Date]], "")</f>
        <v>811</v>
      </c>
      <c r="R1122">
        <f>IF(Delivery_data[[#This Row],[On Time]]=1,0,1)</f>
        <v>1</v>
      </c>
    </row>
    <row r="1123" spans="1:18" x14ac:dyDescent="0.35">
      <c r="A1123">
        <v>1246</v>
      </c>
      <c r="B1123" t="s">
        <v>1242</v>
      </c>
      <c r="C1123" s="1">
        <v>45176.668055555558</v>
      </c>
      <c r="D1123" t="s">
        <v>25</v>
      </c>
      <c r="E1123" t="s">
        <v>85</v>
      </c>
      <c r="F1123" t="s">
        <v>1125</v>
      </c>
      <c r="G1123" t="s">
        <v>463</v>
      </c>
      <c r="H1123">
        <v>66</v>
      </c>
      <c r="I1123">
        <v>21</v>
      </c>
      <c r="J1123" t="s">
        <v>27</v>
      </c>
      <c r="K1123" t="s">
        <v>51</v>
      </c>
      <c r="L1123" t="s">
        <v>42</v>
      </c>
      <c r="M1123" t="s">
        <v>30</v>
      </c>
      <c r="N1123">
        <v>0</v>
      </c>
      <c r="O1123">
        <v>0</v>
      </c>
      <c r="P1123" s="8">
        <f>INT(Delivery_data[[#This Row],[Order Timestamp]])</f>
        <v>45176</v>
      </c>
      <c r="Q1123" t="str">
        <f ca="1">IF(Delivery_data[[#This Row],[Order Status]]="In Progress", TODAY()-Delivery_data[[#This Row],[Order Date]], "")</f>
        <v/>
      </c>
      <c r="R1123">
        <f>IF(Delivery_data[[#This Row],[On Time]]=1,0,1)</f>
        <v>1</v>
      </c>
    </row>
    <row r="1124" spans="1:18" x14ac:dyDescent="0.35">
      <c r="A1124">
        <v>1257</v>
      </c>
      <c r="B1124" t="s">
        <v>1243</v>
      </c>
      <c r="C1124" s="1">
        <v>45170.521527777775</v>
      </c>
      <c r="D1124" t="s">
        <v>16</v>
      </c>
      <c r="E1124" t="s">
        <v>94</v>
      </c>
      <c r="F1124" t="s">
        <v>1125</v>
      </c>
      <c r="G1124" t="s">
        <v>19</v>
      </c>
      <c r="H1124">
        <v>218</v>
      </c>
      <c r="I1124">
        <v>25</v>
      </c>
      <c r="J1124" t="s">
        <v>35</v>
      </c>
      <c r="K1124" t="s">
        <v>51</v>
      </c>
      <c r="L1124" t="s">
        <v>42</v>
      </c>
      <c r="M1124" t="s">
        <v>30</v>
      </c>
      <c r="N1124">
        <v>0</v>
      </c>
      <c r="O1124">
        <v>1</v>
      </c>
      <c r="P1124" s="8">
        <f>INT(Delivery_data[[#This Row],[Order Timestamp]])</f>
        <v>45170</v>
      </c>
      <c r="Q1124">
        <f ca="1">IF(Delivery_data[[#This Row],[Order Status]]="In Progress", TODAY()-Delivery_data[[#This Row],[Order Date]], "")</f>
        <v>813</v>
      </c>
      <c r="R1124">
        <f>IF(Delivery_data[[#This Row],[On Time]]=1,0,1)</f>
        <v>1</v>
      </c>
    </row>
    <row r="1125" spans="1:18" x14ac:dyDescent="0.35">
      <c r="A1125">
        <v>1261</v>
      </c>
      <c r="B1125" t="s">
        <v>1244</v>
      </c>
      <c r="C1125" s="1">
        <v>45176.536805555559</v>
      </c>
      <c r="D1125" t="s">
        <v>25</v>
      </c>
      <c r="E1125" t="s">
        <v>511</v>
      </c>
      <c r="F1125" t="s">
        <v>1125</v>
      </c>
      <c r="G1125" t="s">
        <v>463</v>
      </c>
      <c r="H1125">
        <v>91</v>
      </c>
      <c r="I1125">
        <v>10</v>
      </c>
      <c r="J1125" t="s">
        <v>27</v>
      </c>
      <c r="K1125" t="s">
        <v>38</v>
      </c>
      <c r="L1125" t="s">
        <v>42</v>
      </c>
      <c r="M1125" t="s">
        <v>30</v>
      </c>
      <c r="N1125">
        <v>0</v>
      </c>
      <c r="O1125">
        <v>0</v>
      </c>
      <c r="P1125" s="8">
        <f>INT(Delivery_data[[#This Row],[Order Timestamp]])</f>
        <v>45176</v>
      </c>
      <c r="Q1125" t="str">
        <f ca="1">IF(Delivery_data[[#This Row],[Order Status]]="In Progress", TODAY()-Delivery_data[[#This Row],[Order Date]], "")</f>
        <v/>
      </c>
      <c r="R1125">
        <f>IF(Delivery_data[[#This Row],[On Time]]=1,0,1)</f>
        <v>1</v>
      </c>
    </row>
    <row r="1126" spans="1:18" x14ac:dyDescent="0.35">
      <c r="A1126">
        <v>1279</v>
      </c>
      <c r="B1126" t="s">
        <v>1245</v>
      </c>
      <c r="C1126" s="1">
        <v>45177.618055555555</v>
      </c>
      <c r="D1126" t="s">
        <v>16</v>
      </c>
      <c r="E1126" t="s">
        <v>191</v>
      </c>
      <c r="F1126" t="s">
        <v>1125</v>
      </c>
      <c r="G1126" t="s">
        <v>19</v>
      </c>
      <c r="H1126">
        <v>227</v>
      </c>
      <c r="I1126">
        <v>1</v>
      </c>
      <c r="J1126" t="s">
        <v>35</v>
      </c>
      <c r="K1126" t="s">
        <v>28</v>
      </c>
      <c r="L1126" t="s">
        <v>42</v>
      </c>
      <c r="M1126" t="s">
        <v>30</v>
      </c>
      <c r="N1126">
        <v>0</v>
      </c>
      <c r="O1126">
        <v>1</v>
      </c>
      <c r="P1126" s="8">
        <f>INT(Delivery_data[[#This Row],[Order Timestamp]])</f>
        <v>45177</v>
      </c>
      <c r="Q1126">
        <f ca="1">IF(Delivery_data[[#This Row],[Order Status]]="In Progress", TODAY()-Delivery_data[[#This Row],[Order Date]], "")</f>
        <v>806</v>
      </c>
      <c r="R1126">
        <f>IF(Delivery_data[[#This Row],[On Time]]=1,0,1)</f>
        <v>1</v>
      </c>
    </row>
    <row r="1127" spans="1:18" x14ac:dyDescent="0.35">
      <c r="A1127">
        <v>1280</v>
      </c>
      <c r="B1127" t="s">
        <v>1246</v>
      </c>
      <c r="C1127" s="1">
        <v>45171.486805555556</v>
      </c>
      <c r="D1127" t="s">
        <v>25</v>
      </c>
      <c r="E1127" t="s">
        <v>360</v>
      </c>
      <c r="F1127" t="s">
        <v>1125</v>
      </c>
      <c r="G1127" t="s">
        <v>362</v>
      </c>
      <c r="H1127">
        <v>98</v>
      </c>
      <c r="I1127">
        <v>25</v>
      </c>
      <c r="J1127" t="s">
        <v>20</v>
      </c>
      <c r="K1127" t="s">
        <v>21</v>
      </c>
      <c r="L1127" t="s">
        <v>42</v>
      </c>
      <c r="M1127" t="s">
        <v>30</v>
      </c>
      <c r="N1127">
        <v>0</v>
      </c>
      <c r="O1127">
        <v>0</v>
      </c>
      <c r="P1127" s="8">
        <f>INT(Delivery_data[[#This Row],[Order Timestamp]])</f>
        <v>45171</v>
      </c>
      <c r="Q1127" t="str">
        <f ca="1">IF(Delivery_data[[#This Row],[Order Status]]="In Progress", TODAY()-Delivery_data[[#This Row],[Order Date]], "")</f>
        <v/>
      </c>
      <c r="R1127">
        <f>IF(Delivery_data[[#This Row],[On Time]]=1,0,1)</f>
        <v>1</v>
      </c>
    </row>
    <row r="1128" spans="1:18" x14ac:dyDescent="0.35">
      <c r="A1128">
        <v>1348</v>
      </c>
      <c r="B1128" t="s">
        <v>1247</v>
      </c>
      <c r="C1128" s="1">
        <v>45172.523611111108</v>
      </c>
      <c r="D1128" t="s">
        <v>25</v>
      </c>
      <c r="E1128" t="s">
        <v>58</v>
      </c>
      <c r="F1128" t="s">
        <v>1125</v>
      </c>
      <c r="G1128" t="s">
        <v>557</v>
      </c>
      <c r="H1128">
        <v>156</v>
      </c>
      <c r="I1128">
        <v>1</v>
      </c>
      <c r="J1128" t="s">
        <v>27</v>
      </c>
      <c r="K1128" t="s">
        <v>33</v>
      </c>
      <c r="L1128" t="s">
        <v>42</v>
      </c>
      <c r="M1128" t="s">
        <v>30</v>
      </c>
      <c r="N1128">
        <v>0</v>
      </c>
      <c r="O1128">
        <v>0</v>
      </c>
      <c r="P1128" s="8">
        <f>INT(Delivery_data[[#This Row],[Order Timestamp]])</f>
        <v>45172</v>
      </c>
      <c r="Q1128" t="str">
        <f ca="1">IF(Delivery_data[[#This Row],[Order Status]]="In Progress", TODAY()-Delivery_data[[#This Row],[Order Date]], "")</f>
        <v/>
      </c>
      <c r="R1128">
        <f>IF(Delivery_data[[#This Row],[On Time]]=1,0,1)</f>
        <v>1</v>
      </c>
    </row>
    <row r="1129" spans="1:18" x14ac:dyDescent="0.35">
      <c r="A1129">
        <v>1358</v>
      </c>
      <c r="B1129" t="s">
        <v>1248</v>
      </c>
      <c r="C1129" s="1">
        <v>45172.473611111112</v>
      </c>
      <c r="D1129" t="s">
        <v>25</v>
      </c>
      <c r="E1129" t="s">
        <v>94</v>
      </c>
      <c r="F1129" t="s">
        <v>1125</v>
      </c>
      <c r="G1129" t="s">
        <v>463</v>
      </c>
      <c r="H1129">
        <v>110</v>
      </c>
      <c r="I1129">
        <v>15</v>
      </c>
      <c r="J1129" t="s">
        <v>27</v>
      </c>
      <c r="K1129" t="s">
        <v>28</v>
      </c>
      <c r="L1129" t="s">
        <v>42</v>
      </c>
      <c r="M1129" t="s">
        <v>30</v>
      </c>
      <c r="N1129">
        <v>0</v>
      </c>
      <c r="O1129">
        <v>0</v>
      </c>
      <c r="P1129" s="8">
        <f>INT(Delivery_data[[#This Row],[Order Timestamp]])</f>
        <v>45172</v>
      </c>
      <c r="Q1129" t="str">
        <f ca="1">IF(Delivery_data[[#This Row],[Order Status]]="In Progress", TODAY()-Delivery_data[[#This Row],[Order Date]], "")</f>
        <v/>
      </c>
      <c r="R1129">
        <f>IF(Delivery_data[[#This Row],[On Time]]=1,0,1)</f>
        <v>1</v>
      </c>
    </row>
    <row r="1130" spans="1:18" x14ac:dyDescent="0.35">
      <c r="A1130">
        <v>1391</v>
      </c>
      <c r="B1130" t="s">
        <v>1249</v>
      </c>
      <c r="C1130" s="1">
        <v>45177.418749999997</v>
      </c>
      <c r="D1130" t="s">
        <v>16</v>
      </c>
      <c r="E1130" t="s">
        <v>74</v>
      </c>
      <c r="F1130" t="s">
        <v>1125</v>
      </c>
      <c r="G1130" t="s">
        <v>463</v>
      </c>
      <c r="H1130">
        <v>176</v>
      </c>
      <c r="I1130">
        <v>14</v>
      </c>
      <c r="J1130" t="s">
        <v>20</v>
      </c>
      <c r="K1130" t="s">
        <v>21</v>
      </c>
      <c r="L1130" t="s">
        <v>42</v>
      </c>
      <c r="M1130" t="s">
        <v>30</v>
      </c>
      <c r="N1130">
        <v>0</v>
      </c>
      <c r="O1130">
        <v>0</v>
      </c>
      <c r="P1130" s="8">
        <f>INT(Delivery_data[[#This Row],[Order Timestamp]])</f>
        <v>45177</v>
      </c>
      <c r="Q1130">
        <f ca="1">IF(Delivery_data[[#This Row],[Order Status]]="In Progress", TODAY()-Delivery_data[[#This Row],[Order Date]], "")</f>
        <v>806</v>
      </c>
      <c r="R1130">
        <f>IF(Delivery_data[[#This Row],[On Time]]=1,0,1)</f>
        <v>1</v>
      </c>
    </row>
    <row r="1131" spans="1:18" x14ac:dyDescent="0.35">
      <c r="A1131">
        <v>1418</v>
      </c>
      <c r="B1131" t="s">
        <v>1250</v>
      </c>
      <c r="C1131" s="1">
        <v>45172.618055555555</v>
      </c>
      <c r="D1131" t="s">
        <v>16</v>
      </c>
      <c r="E1131" t="s">
        <v>252</v>
      </c>
      <c r="F1131" t="s">
        <v>1125</v>
      </c>
      <c r="G1131" t="s">
        <v>557</v>
      </c>
      <c r="H1131">
        <v>205</v>
      </c>
      <c r="I1131">
        <v>17</v>
      </c>
      <c r="J1131" t="s">
        <v>20</v>
      </c>
      <c r="K1131" t="s">
        <v>51</v>
      </c>
      <c r="L1131" t="s">
        <v>42</v>
      </c>
      <c r="M1131" t="s">
        <v>30</v>
      </c>
      <c r="N1131">
        <v>0</v>
      </c>
      <c r="O1131">
        <v>0</v>
      </c>
      <c r="P1131" s="8">
        <f>INT(Delivery_data[[#This Row],[Order Timestamp]])</f>
        <v>45172</v>
      </c>
      <c r="Q1131">
        <f ca="1">IF(Delivery_data[[#This Row],[Order Status]]="In Progress", TODAY()-Delivery_data[[#This Row],[Order Date]], "")</f>
        <v>811</v>
      </c>
      <c r="R1131">
        <f>IF(Delivery_data[[#This Row],[On Time]]=1,0,1)</f>
        <v>1</v>
      </c>
    </row>
    <row r="1132" spans="1:18" x14ac:dyDescent="0.35">
      <c r="A1132">
        <v>1437</v>
      </c>
      <c r="B1132" t="s">
        <v>1251</v>
      </c>
      <c r="C1132" s="1">
        <v>45176.395833333336</v>
      </c>
      <c r="D1132" t="s">
        <v>25</v>
      </c>
      <c r="E1132" t="s">
        <v>260</v>
      </c>
      <c r="F1132" t="s">
        <v>1125</v>
      </c>
      <c r="G1132" t="s">
        <v>557</v>
      </c>
      <c r="H1132">
        <v>221</v>
      </c>
      <c r="I1132">
        <v>29</v>
      </c>
      <c r="J1132" t="s">
        <v>20</v>
      </c>
      <c r="K1132" t="s">
        <v>38</v>
      </c>
      <c r="L1132" t="s">
        <v>42</v>
      </c>
      <c r="M1132" t="s">
        <v>30</v>
      </c>
      <c r="N1132">
        <v>0</v>
      </c>
      <c r="O1132">
        <v>0</v>
      </c>
      <c r="P1132" s="8">
        <f>INT(Delivery_data[[#This Row],[Order Timestamp]])</f>
        <v>45176</v>
      </c>
      <c r="Q1132" t="str">
        <f ca="1">IF(Delivery_data[[#This Row],[Order Status]]="In Progress", TODAY()-Delivery_data[[#This Row],[Order Date]], "")</f>
        <v/>
      </c>
      <c r="R1132">
        <f>IF(Delivery_data[[#This Row],[On Time]]=1,0,1)</f>
        <v>1</v>
      </c>
    </row>
    <row r="1133" spans="1:18" x14ac:dyDescent="0.35">
      <c r="A1133">
        <v>1454</v>
      </c>
      <c r="B1133" t="s">
        <v>1252</v>
      </c>
      <c r="C1133" s="1">
        <v>45173.697222222225</v>
      </c>
      <c r="D1133" t="s">
        <v>16</v>
      </c>
      <c r="E1133" t="s">
        <v>60</v>
      </c>
      <c r="F1133" t="s">
        <v>1125</v>
      </c>
      <c r="G1133" t="s">
        <v>557</v>
      </c>
      <c r="H1133">
        <v>79</v>
      </c>
      <c r="I1133">
        <v>3</v>
      </c>
      <c r="J1133" t="s">
        <v>20</v>
      </c>
      <c r="K1133" t="s">
        <v>33</v>
      </c>
      <c r="L1133" t="s">
        <v>42</v>
      </c>
      <c r="M1133" t="s">
        <v>30</v>
      </c>
      <c r="N1133">
        <v>0</v>
      </c>
      <c r="O1133">
        <v>0</v>
      </c>
      <c r="P1133" s="8">
        <f>INT(Delivery_data[[#This Row],[Order Timestamp]])</f>
        <v>45173</v>
      </c>
      <c r="Q1133">
        <f ca="1">IF(Delivery_data[[#This Row],[Order Status]]="In Progress", TODAY()-Delivery_data[[#This Row],[Order Date]], "")</f>
        <v>810</v>
      </c>
      <c r="R1133">
        <f>IF(Delivery_data[[#This Row],[On Time]]=1,0,1)</f>
        <v>1</v>
      </c>
    </row>
    <row r="1134" spans="1:18" x14ac:dyDescent="0.35">
      <c r="A1134">
        <v>1456</v>
      </c>
      <c r="B1134" t="s">
        <v>1253</v>
      </c>
      <c r="C1134" s="1">
        <v>45174.57708333333</v>
      </c>
      <c r="D1134" t="s">
        <v>16</v>
      </c>
      <c r="E1134" t="s">
        <v>41</v>
      </c>
      <c r="F1134" t="s">
        <v>1125</v>
      </c>
      <c r="G1134" t="s">
        <v>557</v>
      </c>
      <c r="H1134">
        <v>212</v>
      </c>
      <c r="I1134">
        <v>20</v>
      </c>
      <c r="J1134" t="s">
        <v>20</v>
      </c>
      <c r="K1134" t="s">
        <v>38</v>
      </c>
      <c r="L1134" t="s">
        <v>42</v>
      </c>
      <c r="M1134" t="s">
        <v>30</v>
      </c>
      <c r="N1134">
        <v>0</v>
      </c>
      <c r="O1134">
        <v>0</v>
      </c>
      <c r="P1134" s="8">
        <f>INT(Delivery_data[[#This Row],[Order Timestamp]])</f>
        <v>45174</v>
      </c>
      <c r="Q1134">
        <f ca="1">IF(Delivery_data[[#This Row],[Order Status]]="In Progress", TODAY()-Delivery_data[[#This Row],[Order Date]], "")</f>
        <v>809</v>
      </c>
      <c r="R1134">
        <f>IF(Delivery_data[[#This Row],[On Time]]=1,0,1)</f>
        <v>1</v>
      </c>
    </row>
    <row r="1135" spans="1:18" x14ac:dyDescent="0.35">
      <c r="A1135">
        <v>1495</v>
      </c>
      <c r="B1135" t="s">
        <v>1254</v>
      </c>
      <c r="C1135" s="1">
        <v>45172.609027777777</v>
      </c>
      <c r="D1135" t="s">
        <v>16</v>
      </c>
      <c r="E1135" t="s">
        <v>100</v>
      </c>
      <c r="F1135" t="s">
        <v>1125</v>
      </c>
      <c r="G1135" t="s">
        <v>463</v>
      </c>
      <c r="H1135">
        <v>118</v>
      </c>
      <c r="I1135">
        <v>29</v>
      </c>
      <c r="J1135" t="s">
        <v>20</v>
      </c>
      <c r="K1135" t="s">
        <v>38</v>
      </c>
      <c r="L1135" t="s">
        <v>42</v>
      </c>
      <c r="M1135" t="s">
        <v>30</v>
      </c>
      <c r="N1135">
        <v>0</v>
      </c>
      <c r="O1135">
        <v>0</v>
      </c>
      <c r="P1135" s="8">
        <f>INT(Delivery_data[[#This Row],[Order Timestamp]])</f>
        <v>45172</v>
      </c>
      <c r="Q1135">
        <f ca="1">IF(Delivery_data[[#This Row],[Order Status]]="In Progress", TODAY()-Delivery_data[[#This Row],[Order Date]], "")</f>
        <v>811</v>
      </c>
      <c r="R1135">
        <f>IF(Delivery_data[[#This Row],[On Time]]=1,0,1)</f>
        <v>1</v>
      </c>
    </row>
    <row r="1136" spans="1:18" x14ac:dyDescent="0.35">
      <c r="A1136">
        <v>1504</v>
      </c>
      <c r="B1136" t="s">
        <v>1255</v>
      </c>
      <c r="C1136" s="1">
        <v>45173.456250000003</v>
      </c>
      <c r="D1136" t="s">
        <v>16</v>
      </c>
      <c r="E1136" t="s">
        <v>206</v>
      </c>
      <c r="F1136" t="s">
        <v>1125</v>
      </c>
      <c r="G1136" t="s">
        <v>463</v>
      </c>
      <c r="H1136">
        <v>75</v>
      </c>
      <c r="I1136">
        <v>28</v>
      </c>
      <c r="J1136" t="s">
        <v>27</v>
      </c>
      <c r="K1136" t="s">
        <v>21</v>
      </c>
      <c r="L1136" t="s">
        <v>42</v>
      </c>
      <c r="M1136" t="s">
        <v>30</v>
      </c>
      <c r="N1136">
        <v>0</v>
      </c>
      <c r="O1136">
        <v>0</v>
      </c>
      <c r="P1136" s="8">
        <f>INT(Delivery_data[[#This Row],[Order Timestamp]])</f>
        <v>45173</v>
      </c>
      <c r="Q1136">
        <f ca="1">IF(Delivery_data[[#This Row],[Order Status]]="In Progress", TODAY()-Delivery_data[[#This Row],[Order Date]], "")</f>
        <v>810</v>
      </c>
      <c r="R1136">
        <f>IF(Delivery_data[[#This Row],[On Time]]=1,0,1)</f>
        <v>1</v>
      </c>
    </row>
    <row r="1137" spans="1:18" x14ac:dyDescent="0.35">
      <c r="A1137">
        <v>1536</v>
      </c>
      <c r="B1137" t="s">
        <v>1256</v>
      </c>
      <c r="C1137" s="1">
        <v>45171.661805555559</v>
      </c>
      <c r="D1137" t="s">
        <v>25</v>
      </c>
      <c r="E1137" t="s">
        <v>360</v>
      </c>
      <c r="F1137" t="s">
        <v>1125</v>
      </c>
      <c r="G1137" t="s">
        <v>362</v>
      </c>
      <c r="H1137">
        <v>191</v>
      </c>
      <c r="I1137">
        <v>7</v>
      </c>
      <c r="J1137" t="s">
        <v>35</v>
      </c>
      <c r="K1137" t="s">
        <v>33</v>
      </c>
      <c r="L1137" t="s">
        <v>42</v>
      </c>
      <c r="M1137" t="s">
        <v>30</v>
      </c>
      <c r="N1137">
        <v>0</v>
      </c>
      <c r="O1137">
        <v>1</v>
      </c>
      <c r="P1137" s="8">
        <f>INT(Delivery_data[[#This Row],[Order Timestamp]])</f>
        <v>45171</v>
      </c>
      <c r="Q1137" t="str">
        <f ca="1">IF(Delivery_data[[#This Row],[Order Status]]="In Progress", TODAY()-Delivery_data[[#This Row],[Order Date]], "")</f>
        <v/>
      </c>
      <c r="R1137">
        <f>IF(Delivery_data[[#This Row],[On Time]]=1,0,1)</f>
        <v>1</v>
      </c>
    </row>
    <row r="1138" spans="1:18" x14ac:dyDescent="0.35">
      <c r="A1138">
        <v>1546</v>
      </c>
      <c r="B1138" t="s">
        <v>1257</v>
      </c>
      <c r="C1138" s="1">
        <v>45170.626388888886</v>
      </c>
      <c r="D1138" t="s">
        <v>16</v>
      </c>
      <c r="E1138" t="s">
        <v>32</v>
      </c>
      <c r="F1138" t="s">
        <v>1125</v>
      </c>
      <c r="G1138" t="s">
        <v>463</v>
      </c>
      <c r="H1138">
        <v>130</v>
      </c>
      <c r="I1138">
        <v>3</v>
      </c>
      <c r="J1138" t="s">
        <v>20</v>
      </c>
      <c r="K1138" t="s">
        <v>38</v>
      </c>
      <c r="L1138" t="s">
        <v>42</v>
      </c>
      <c r="M1138" t="s">
        <v>30</v>
      </c>
      <c r="N1138">
        <v>0</v>
      </c>
      <c r="O1138">
        <v>0</v>
      </c>
      <c r="P1138" s="8">
        <f>INT(Delivery_data[[#This Row],[Order Timestamp]])</f>
        <v>45170</v>
      </c>
      <c r="Q1138">
        <f ca="1">IF(Delivery_data[[#This Row],[Order Status]]="In Progress", TODAY()-Delivery_data[[#This Row],[Order Date]], "")</f>
        <v>813</v>
      </c>
      <c r="R1138">
        <f>IF(Delivery_data[[#This Row],[On Time]]=1,0,1)</f>
        <v>1</v>
      </c>
    </row>
    <row r="1139" spans="1:18" x14ac:dyDescent="0.35">
      <c r="A1139">
        <v>1561</v>
      </c>
      <c r="B1139" t="s">
        <v>1258</v>
      </c>
      <c r="C1139" s="1">
        <v>45175.435416666667</v>
      </c>
      <c r="D1139" t="s">
        <v>25</v>
      </c>
      <c r="E1139" t="s">
        <v>230</v>
      </c>
      <c r="F1139" t="s">
        <v>1125</v>
      </c>
      <c r="G1139" t="s">
        <v>463</v>
      </c>
      <c r="H1139">
        <v>176</v>
      </c>
      <c r="I1139">
        <v>18</v>
      </c>
      <c r="J1139" t="s">
        <v>27</v>
      </c>
      <c r="K1139" t="s">
        <v>38</v>
      </c>
      <c r="L1139" t="s">
        <v>42</v>
      </c>
      <c r="M1139" t="s">
        <v>30</v>
      </c>
      <c r="N1139">
        <v>0</v>
      </c>
      <c r="O1139">
        <v>0</v>
      </c>
      <c r="P1139" s="8">
        <f>INT(Delivery_data[[#This Row],[Order Timestamp]])</f>
        <v>45175</v>
      </c>
      <c r="Q1139" t="str">
        <f ca="1">IF(Delivery_data[[#This Row],[Order Status]]="In Progress", TODAY()-Delivery_data[[#This Row],[Order Date]], "")</f>
        <v/>
      </c>
      <c r="R1139">
        <f>IF(Delivery_data[[#This Row],[On Time]]=1,0,1)</f>
        <v>1</v>
      </c>
    </row>
    <row r="1140" spans="1:18" x14ac:dyDescent="0.35">
      <c r="A1140">
        <v>1622</v>
      </c>
      <c r="B1140" t="s">
        <v>1259</v>
      </c>
      <c r="C1140" s="1">
        <v>45174.633333333331</v>
      </c>
      <c r="D1140" t="s">
        <v>16</v>
      </c>
      <c r="E1140" t="s">
        <v>206</v>
      </c>
      <c r="F1140" t="s">
        <v>1125</v>
      </c>
      <c r="G1140" t="s">
        <v>463</v>
      </c>
      <c r="H1140">
        <v>196</v>
      </c>
      <c r="I1140">
        <v>17</v>
      </c>
      <c r="J1140" t="s">
        <v>27</v>
      </c>
      <c r="K1140" t="s">
        <v>21</v>
      </c>
      <c r="L1140" t="s">
        <v>42</v>
      </c>
      <c r="M1140" t="s">
        <v>30</v>
      </c>
      <c r="N1140">
        <v>0</v>
      </c>
      <c r="O1140">
        <v>0</v>
      </c>
      <c r="P1140" s="8">
        <f>INT(Delivery_data[[#This Row],[Order Timestamp]])</f>
        <v>45174</v>
      </c>
      <c r="Q1140">
        <f ca="1">IF(Delivery_data[[#This Row],[Order Status]]="In Progress", TODAY()-Delivery_data[[#This Row],[Order Date]], "")</f>
        <v>809</v>
      </c>
      <c r="R1140">
        <f>IF(Delivery_data[[#This Row],[On Time]]=1,0,1)</f>
        <v>1</v>
      </c>
    </row>
    <row r="1141" spans="1:18" x14ac:dyDescent="0.35">
      <c r="A1141">
        <v>1637</v>
      </c>
      <c r="B1141" t="s">
        <v>1260</v>
      </c>
      <c r="C1141" s="1">
        <v>45173.540972222225</v>
      </c>
      <c r="D1141" t="s">
        <v>25</v>
      </c>
      <c r="E1141" t="s">
        <v>200</v>
      </c>
      <c r="F1141" t="s">
        <v>1125</v>
      </c>
      <c r="G1141" t="s">
        <v>463</v>
      </c>
      <c r="H1141">
        <v>204</v>
      </c>
      <c r="I1141">
        <v>24</v>
      </c>
      <c r="J1141" t="s">
        <v>20</v>
      </c>
      <c r="K1141" t="s">
        <v>38</v>
      </c>
      <c r="L1141" t="s">
        <v>42</v>
      </c>
      <c r="M1141" t="s">
        <v>30</v>
      </c>
      <c r="N1141">
        <v>0</v>
      </c>
      <c r="O1141">
        <v>0</v>
      </c>
      <c r="P1141" s="8">
        <f>INT(Delivery_data[[#This Row],[Order Timestamp]])</f>
        <v>45173</v>
      </c>
      <c r="Q1141" t="str">
        <f ca="1">IF(Delivery_data[[#This Row],[Order Status]]="In Progress", TODAY()-Delivery_data[[#This Row],[Order Date]], "")</f>
        <v/>
      </c>
      <c r="R1141">
        <f>IF(Delivery_data[[#This Row],[On Time]]=1,0,1)</f>
        <v>1</v>
      </c>
    </row>
    <row r="1142" spans="1:18" x14ac:dyDescent="0.35">
      <c r="A1142">
        <v>1640</v>
      </c>
      <c r="B1142" t="s">
        <v>1261</v>
      </c>
      <c r="C1142" s="1">
        <v>45174.623611111114</v>
      </c>
      <c r="D1142" t="s">
        <v>16</v>
      </c>
      <c r="E1142" t="s">
        <v>64</v>
      </c>
      <c r="F1142" t="s">
        <v>1125</v>
      </c>
      <c r="G1142" t="s">
        <v>19</v>
      </c>
      <c r="H1142">
        <v>213</v>
      </c>
      <c r="I1142">
        <v>21</v>
      </c>
      <c r="J1142" t="s">
        <v>35</v>
      </c>
      <c r="K1142" t="s">
        <v>33</v>
      </c>
      <c r="L1142" t="s">
        <v>42</v>
      </c>
      <c r="M1142" t="s">
        <v>30</v>
      </c>
      <c r="N1142">
        <v>0</v>
      </c>
      <c r="O1142">
        <v>1</v>
      </c>
      <c r="P1142" s="8">
        <f>INT(Delivery_data[[#This Row],[Order Timestamp]])</f>
        <v>45174</v>
      </c>
      <c r="Q1142">
        <f ca="1">IF(Delivery_data[[#This Row],[Order Status]]="In Progress", TODAY()-Delivery_data[[#This Row],[Order Date]], "")</f>
        <v>809</v>
      </c>
      <c r="R1142">
        <f>IF(Delivery_data[[#This Row],[On Time]]=1,0,1)</f>
        <v>1</v>
      </c>
    </row>
    <row r="1143" spans="1:18" x14ac:dyDescent="0.35">
      <c r="A1143">
        <v>1645</v>
      </c>
      <c r="B1143" t="s">
        <v>1147</v>
      </c>
      <c r="C1143" s="1">
        <v>45175.350694444445</v>
      </c>
      <c r="D1143" t="s">
        <v>16</v>
      </c>
      <c r="E1143" t="s">
        <v>110</v>
      </c>
      <c r="F1143" t="s">
        <v>1125</v>
      </c>
      <c r="G1143" t="s">
        <v>557</v>
      </c>
      <c r="H1143">
        <v>185</v>
      </c>
      <c r="I1143">
        <v>27</v>
      </c>
      <c r="J1143" t="s">
        <v>35</v>
      </c>
      <c r="K1143" t="s">
        <v>28</v>
      </c>
      <c r="L1143" t="s">
        <v>42</v>
      </c>
      <c r="M1143" t="s">
        <v>30</v>
      </c>
      <c r="N1143">
        <v>0</v>
      </c>
      <c r="O1143">
        <v>1</v>
      </c>
      <c r="P1143" s="8">
        <f>INT(Delivery_data[[#This Row],[Order Timestamp]])</f>
        <v>45175</v>
      </c>
      <c r="Q1143">
        <f ca="1">IF(Delivery_data[[#This Row],[Order Status]]="In Progress", TODAY()-Delivery_data[[#This Row],[Order Date]], "")</f>
        <v>808</v>
      </c>
      <c r="R1143">
        <f>IF(Delivery_data[[#This Row],[On Time]]=1,0,1)</f>
        <v>1</v>
      </c>
    </row>
    <row r="1144" spans="1:18" x14ac:dyDescent="0.35">
      <c r="A1144">
        <v>1689</v>
      </c>
      <c r="B1144" t="s">
        <v>1262</v>
      </c>
      <c r="C1144" s="1">
        <v>45175.44027777778</v>
      </c>
      <c r="D1144" t="s">
        <v>25</v>
      </c>
      <c r="E1144" t="s">
        <v>184</v>
      </c>
      <c r="F1144" t="s">
        <v>1125</v>
      </c>
      <c r="G1144" t="s">
        <v>19</v>
      </c>
      <c r="H1144">
        <v>157</v>
      </c>
      <c r="I1144">
        <v>26</v>
      </c>
      <c r="J1144" t="s">
        <v>35</v>
      </c>
      <c r="K1144" t="s">
        <v>28</v>
      </c>
      <c r="L1144" t="s">
        <v>42</v>
      </c>
      <c r="M1144" t="s">
        <v>30</v>
      </c>
      <c r="N1144">
        <v>0</v>
      </c>
      <c r="O1144">
        <v>1</v>
      </c>
      <c r="P1144" s="8">
        <f>INT(Delivery_data[[#This Row],[Order Timestamp]])</f>
        <v>45175</v>
      </c>
      <c r="Q1144" t="str">
        <f ca="1">IF(Delivery_data[[#This Row],[Order Status]]="In Progress", TODAY()-Delivery_data[[#This Row],[Order Date]], "")</f>
        <v/>
      </c>
      <c r="R1144">
        <f>IF(Delivery_data[[#This Row],[On Time]]=1,0,1)</f>
        <v>1</v>
      </c>
    </row>
    <row r="1145" spans="1:18" x14ac:dyDescent="0.35">
      <c r="A1145">
        <v>1762</v>
      </c>
      <c r="B1145" t="s">
        <v>1263</v>
      </c>
      <c r="C1145" s="1">
        <v>45173.34097222222</v>
      </c>
      <c r="D1145" t="s">
        <v>25</v>
      </c>
      <c r="E1145" t="s">
        <v>108</v>
      </c>
      <c r="F1145" t="s">
        <v>1125</v>
      </c>
      <c r="G1145" t="s">
        <v>362</v>
      </c>
      <c r="H1145">
        <v>211</v>
      </c>
      <c r="I1145">
        <v>26</v>
      </c>
      <c r="J1145" t="s">
        <v>27</v>
      </c>
      <c r="K1145" t="s">
        <v>21</v>
      </c>
      <c r="L1145" t="s">
        <v>42</v>
      </c>
      <c r="M1145" t="s">
        <v>30</v>
      </c>
      <c r="N1145">
        <v>0</v>
      </c>
      <c r="O1145">
        <v>0</v>
      </c>
      <c r="P1145" s="8">
        <f>INT(Delivery_data[[#This Row],[Order Timestamp]])</f>
        <v>45173</v>
      </c>
      <c r="Q1145" t="str">
        <f ca="1">IF(Delivery_data[[#This Row],[Order Status]]="In Progress", TODAY()-Delivery_data[[#This Row],[Order Date]], "")</f>
        <v/>
      </c>
      <c r="R1145">
        <f>IF(Delivery_data[[#This Row],[On Time]]=1,0,1)</f>
        <v>1</v>
      </c>
    </row>
    <row r="1146" spans="1:18" x14ac:dyDescent="0.35">
      <c r="A1146">
        <v>1780</v>
      </c>
      <c r="B1146" t="s">
        <v>1264</v>
      </c>
      <c r="C1146" s="1">
        <v>45170.580555555556</v>
      </c>
      <c r="D1146" t="s">
        <v>25</v>
      </c>
      <c r="E1146" t="s">
        <v>136</v>
      </c>
      <c r="F1146" t="s">
        <v>1125</v>
      </c>
      <c r="G1146" t="s">
        <v>557</v>
      </c>
      <c r="H1146">
        <v>184</v>
      </c>
      <c r="I1146">
        <v>7</v>
      </c>
      <c r="J1146" t="s">
        <v>35</v>
      </c>
      <c r="K1146" t="s">
        <v>21</v>
      </c>
      <c r="L1146" t="s">
        <v>42</v>
      </c>
      <c r="M1146" t="s">
        <v>30</v>
      </c>
      <c r="N1146">
        <v>0</v>
      </c>
      <c r="O1146">
        <v>1</v>
      </c>
      <c r="P1146" s="8">
        <f>INT(Delivery_data[[#This Row],[Order Timestamp]])</f>
        <v>45170</v>
      </c>
      <c r="Q1146" t="str">
        <f ca="1">IF(Delivery_data[[#This Row],[Order Status]]="In Progress", TODAY()-Delivery_data[[#This Row],[Order Date]], "")</f>
        <v/>
      </c>
      <c r="R1146">
        <f>IF(Delivery_data[[#This Row],[On Time]]=1,0,1)</f>
        <v>1</v>
      </c>
    </row>
    <row r="1147" spans="1:18" x14ac:dyDescent="0.35">
      <c r="A1147">
        <v>1782</v>
      </c>
      <c r="B1147" t="s">
        <v>1265</v>
      </c>
      <c r="C1147" s="1">
        <v>45170.458333333336</v>
      </c>
      <c r="D1147" t="s">
        <v>25</v>
      </c>
      <c r="E1147" t="s">
        <v>136</v>
      </c>
      <c r="F1147" t="s">
        <v>1125</v>
      </c>
      <c r="G1147" t="s">
        <v>463</v>
      </c>
      <c r="H1147">
        <v>146</v>
      </c>
      <c r="I1147">
        <v>29</v>
      </c>
      <c r="J1147" t="s">
        <v>27</v>
      </c>
      <c r="K1147" t="s">
        <v>51</v>
      </c>
      <c r="L1147" t="s">
        <v>42</v>
      </c>
      <c r="M1147" t="s">
        <v>30</v>
      </c>
      <c r="N1147">
        <v>0</v>
      </c>
      <c r="O1147">
        <v>0</v>
      </c>
      <c r="P1147" s="8">
        <f>INT(Delivery_data[[#This Row],[Order Timestamp]])</f>
        <v>45170</v>
      </c>
      <c r="Q1147" t="str">
        <f ca="1">IF(Delivery_data[[#This Row],[Order Status]]="In Progress", TODAY()-Delivery_data[[#This Row],[Order Date]], "")</f>
        <v/>
      </c>
      <c r="R1147">
        <f>IF(Delivery_data[[#This Row],[On Time]]=1,0,1)</f>
        <v>1</v>
      </c>
    </row>
    <row r="1148" spans="1:18" x14ac:dyDescent="0.35">
      <c r="A1148">
        <v>1784</v>
      </c>
      <c r="B1148" t="s">
        <v>692</v>
      </c>
      <c r="C1148" s="1">
        <v>45177.645138888889</v>
      </c>
      <c r="D1148" t="s">
        <v>25</v>
      </c>
      <c r="E1148" t="s">
        <v>175</v>
      </c>
      <c r="F1148" t="s">
        <v>1125</v>
      </c>
      <c r="G1148" t="s">
        <v>557</v>
      </c>
      <c r="H1148">
        <v>209</v>
      </c>
      <c r="I1148">
        <v>24</v>
      </c>
      <c r="J1148" t="s">
        <v>20</v>
      </c>
      <c r="K1148" t="s">
        <v>51</v>
      </c>
      <c r="L1148" t="s">
        <v>42</v>
      </c>
      <c r="M1148" t="s">
        <v>30</v>
      </c>
      <c r="N1148">
        <v>0</v>
      </c>
      <c r="O1148">
        <v>0</v>
      </c>
      <c r="P1148" s="8">
        <f>INT(Delivery_data[[#This Row],[Order Timestamp]])</f>
        <v>45177</v>
      </c>
      <c r="Q1148" t="str">
        <f ca="1">IF(Delivery_data[[#This Row],[Order Status]]="In Progress", TODAY()-Delivery_data[[#This Row],[Order Date]], "")</f>
        <v/>
      </c>
      <c r="R1148">
        <f>IF(Delivery_data[[#This Row],[On Time]]=1,0,1)</f>
        <v>1</v>
      </c>
    </row>
    <row r="1149" spans="1:18" x14ac:dyDescent="0.35">
      <c r="A1149">
        <v>1818</v>
      </c>
      <c r="B1149" t="s">
        <v>1266</v>
      </c>
      <c r="C1149" s="1">
        <v>45172.612500000003</v>
      </c>
      <c r="D1149" t="s">
        <v>25</v>
      </c>
      <c r="E1149" t="s">
        <v>96</v>
      </c>
      <c r="F1149" t="s">
        <v>1125</v>
      </c>
      <c r="G1149" t="s">
        <v>233</v>
      </c>
      <c r="H1149">
        <v>182</v>
      </c>
      <c r="I1149">
        <v>25</v>
      </c>
      <c r="J1149" t="s">
        <v>35</v>
      </c>
      <c r="K1149" t="s">
        <v>51</v>
      </c>
      <c r="L1149" t="s">
        <v>42</v>
      </c>
      <c r="M1149" t="s">
        <v>30</v>
      </c>
      <c r="N1149">
        <v>0</v>
      </c>
      <c r="O1149">
        <v>1</v>
      </c>
      <c r="P1149" s="8">
        <f>INT(Delivery_data[[#This Row],[Order Timestamp]])</f>
        <v>45172</v>
      </c>
      <c r="Q1149" t="str">
        <f ca="1">IF(Delivery_data[[#This Row],[Order Status]]="In Progress", TODAY()-Delivery_data[[#This Row],[Order Date]], "")</f>
        <v/>
      </c>
      <c r="R1149">
        <f>IF(Delivery_data[[#This Row],[On Time]]=1,0,1)</f>
        <v>1</v>
      </c>
    </row>
    <row r="1150" spans="1:18" x14ac:dyDescent="0.35">
      <c r="A1150">
        <v>1827</v>
      </c>
      <c r="B1150" t="s">
        <v>1267</v>
      </c>
      <c r="C1150" s="1">
        <v>45175.482638888891</v>
      </c>
      <c r="D1150" t="s">
        <v>25</v>
      </c>
      <c r="E1150" t="s">
        <v>666</v>
      </c>
      <c r="F1150" t="s">
        <v>1125</v>
      </c>
      <c r="G1150" t="s">
        <v>463</v>
      </c>
      <c r="H1150">
        <v>238</v>
      </c>
      <c r="I1150">
        <v>4</v>
      </c>
      <c r="J1150" t="s">
        <v>20</v>
      </c>
      <c r="K1150" t="s">
        <v>38</v>
      </c>
      <c r="L1150" t="s">
        <v>42</v>
      </c>
      <c r="M1150" t="s">
        <v>30</v>
      </c>
      <c r="N1150">
        <v>0</v>
      </c>
      <c r="O1150">
        <v>0</v>
      </c>
      <c r="P1150" s="8">
        <f>INT(Delivery_data[[#This Row],[Order Timestamp]])</f>
        <v>45175</v>
      </c>
      <c r="Q1150" t="str">
        <f ca="1">IF(Delivery_data[[#This Row],[Order Status]]="In Progress", TODAY()-Delivery_data[[#This Row],[Order Date]], "")</f>
        <v/>
      </c>
      <c r="R1150">
        <f>IF(Delivery_data[[#This Row],[On Time]]=1,0,1)</f>
        <v>1</v>
      </c>
    </row>
    <row r="1151" spans="1:18" x14ac:dyDescent="0.35">
      <c r="A1151">
        <v>1837</v>
      </c>
      <c r="B1151" t="s">
        <v>1268</v>
      </c>
      <c r="C1151" s="1">
        <v>45177.515972222223</v>
      </c>
      <c r="D1151" t="s">
        <v>25</v>
      </c>
      <c r="E1151" t="s">
        <v>134</v>
      </c>
      <c r="F1151" t="s">
        <v>1125</v>
      </c>
      <c r="G1151" t="s">
        <v>362</v>
      </c>
      <c r="H1151">
        <v>114</v>
      </c>
      <c r="I1151">
        <v>17</v>
      </c>
      <c r="J1151" t="s">
        <v>35</v>
      </c>
      <c r="K1151" t="s">
        <v>38</v>
      </c>
      <c r="L1151" t="s">
        <v>42</v>
      </c>
      <c r="M1151" t="s">
        <v>30</v>
      </c>
      <c r="N1151">
        <v>0</v>
      </c>
      <c r="O1151">
        <v>1</v>
      </c>
      <c r="P1151" s="8">
        <f>INT(Delivery_data[[#This Row],[Order Timestamp]])</f>
        <v>45177</v>
      </c>
      <c r="Q1151" t="str">
        <f ca="1">IF(Delivery_data[[#This Row],[Order Status]]="In Progress", TODAY()-Delivery_data[[#This Row],[Order Date]], "")</f>
        <v/>
      </c>
      <c r="R1151">
        <f>IF(Delivery_data[[#This Row],[On Time]]=1,0,1)</f>
        <v>1</v>
      </c>
    </row>
    <row r="1152" spans="1:18" x14ac:dyDescent="0.35">
      <c r="A1152">
        <v>1876</v>
      </c>
      <c r="B1152" t="s">
        <v>525</v>
      </c>
      <c r="C1152" s="1">
        <v>45177.435416666667</v>
      </c>
      <c r="D1152" t="s">
        <v>16</v>
      </c>
      <c r="E1152" t="s">
        <v>598</v>
      </c>
      <c r="F1152" t="s">
        <v>1125</v>
      </c>
      <c r="G1152" t="s">
        <v>362</v>
      </c>
      <c r="H1152">
        <v>192</v>
      </c>
      <c r="I1152">
        <v>15</v>
      </c>
      <c r="J1152" t="s">
        <v>20</v>
      </c>
      <c r="K1152" t="s">
        <v>28</v>
      </c>
      <c r="L1152" t="s">
        <v>42</v>
      </c>
      <c r="M1152" t="s">
        <v>30</v>
      </c>
      <c r="N1152">
        <v>0</v>
      </c>
      <c r="O1152">
        <v>0</v>
      </c>
      <c r="P1152" s="8">
        <f>INT(Delivery_data[[#This Row],[Order Timestamp]])</f>
        <v>45177</v>
      </c>
      <c r="Q1152">
        <f ca="1">IF(Delivery_data[[#This Row],[Order Status]]="In Progress", TODAY()-Delivery_data[[#This Row],[Order Date]], "")</f>
        <v>806</v>
      </c>
      <c r="R1152">
        <f>IF(Delivery_data[[#This Row],[On Time]]=1,0,1)</f>
        <v>1</v>
      </c>
    </row>
    <row r="1153" spans="1:18" x14ac:dyDescent="0.35">
      <c r="A1153">
        <v>1919</v>
      </c>
      <c r="B1153" t="s">
        <v>980</v>
      </c>
      <c r="C1153" s="1">
        <v>45176.354166666664</v>
      </c>
      <c r="D1153" t="s">
        <v>16</v>
      </c>
      <c r="E1153" t="s">
        <v>271</v>
      </c>
      <c r="F1153" t="s">
        <v>1125</v>
      </c>
      <c r="G1153" t="s">
        <v>233</v>
      </c>
      <c r="H1153">
        <v>122</v>
      </c>
      <c r="I1153">
        <v>6</v>
      </c>
      <c r="J1153" t="s">
        <v>35</v>
      </c>
      <c r="K1153" t="s">
        <v>21</v>
      </c>
      <c r="L1153" t="s">
        <v>42</v>
      </c>
      <c r="M1153" t="s">
        <v>30</v>
      </c>
      <c r="N1153">
        <v>0</v>
      </c>
      <c r="O1153">
        <v>1</v>
      </c>
      <c r="P1153" s="8">
        <f>INT(Delivery_data[[#This Row],[Order Timestamp]])</f>
        <v>45176</v>
      </c>
      <c r="Q1153">
        <f ca="1">IF(Delivery_data[[#This Row],[Order Status]]="In Progress", TODAY()-Delivery_data[[#This Row],[Order Date]], "")</f>
        <v>807</v>
      </c>
      <c r="R1153">
        <f>IF(Delivery_data[[#This Row],[On Time]]=1,0,1)</f>
        <v>1</v>
      </c>
    </row>
    <row r="1154" spans="1:18" x14ac:dyDescent="0.35">
      <c r="A1154">
        <v>1954</v>
      </c>
      <c r="B1154" t="s">
        <v>1269</v>
      </c>
      <c r="C1154" s="1">
        <v>45176.492361111108</v>
      </c>
      <c r="D1154" t="s">
        <v>16</v>
      </c>
      <c r="E1154" t="s">
        <v>85</v>
      </c>
      <c r="F1154" t="s">
        <v>1125</v>
      </c>
      <c r="G1154" t="s">
        <v>233</v>
      </c>
      <c r="H1154">
        <v>185</v>
      </c>
      <c r="I1154">
        <v>14</v>
      </c>
      <c r="J1154" t="s">
        <v>35</v>
      </c>
      <c r="K1154" t="s">
        <v>21</v>
      </c>
      <c r="L1154" t="s">
        <v>42</v>
      </c>
      <c r="M1154" t="s">
        <v>30</v>
      </c>
      <c r="N1154">
        <v>0</v>
      </c>
      <c r="O1154">
        <v>1</v>
      </c>
      <c r="P1154" s="8">
        <f>INT(Delivery_data[[#This Row],[Order Timestamp]])</f>
        <v>45176</v>
      </c>
      <c r="Q1154">
        <f ca="1">IF(Delivery_data[[#This Row],[Order Status]]="In Progress", TODAY()-Delivery_data[[#This Row],[Order Date]], "")</f>
        <v>807</v>
      </c>
      <c r="R1154">
        <f>IF(Delivery_data[[#This Row],[On Time]]=1,0,1)</f>
        <v>1</v>
      </c>
    </row>
    <row r="1155" spans="1:18" x14ac:dyDescent="0.35">
      <c r="A1155">
        <v>1957</v>
      </c>
      <c r="B1155" t="s">
        <v>1270</v>
      </c>
      <c r="C1155" s="1">
        <v>45177.593055555553</v>
      </c>
      <c r="D1155" t="s">
        <v>16</v>
      </c>
      <c r="E1155" t="s">
        <v>346</v>
      </c>
      <c r="F1155" t="s">
        <v>1125</v>
      </c>
      <c r="G1155" t="s">
        <v>463</v>
      </c>
      <c r="H1155">
        <v>215</v>
      </c>
      <c r="I1155">
        <v>5</v>
      </c>
      <c r="J1155" t="s">
        <v>35</v>
      </c>
      <c r="K1155" t="s">
        <v>28</v>
      </c>
      <c r="L1155" t="s">
        <v>42</v>
      </c>
      <c r="M1155" t="s">
        <v>30</v>
      </c>
      <c r="N1155">
        <v>0</v>
      </c>
      <c r="O1155">
        <v>1</v>
      </c>
      <c r="P1155" s="8">
        <f>INT(Delivery_data[[#This Row],[Order Timestamp]])</f>
        <v>45177</v>
      </c>
      <c r="Q1155">
        <f ca="1">IF(Delivery_data[[#This Row],[Order Status]]="In Progress", TODAY()-Delivery_data[[#This Row],[Order Date]], "")</f>
        <v>806</v>
      </c>
      <c r="R1155">
        <f>IF(Delivery_data[[#This Row],[On Time]]=1,0,1)</f>
        <v>1</v>
      </c>
    </row>
    <row r="1156" spans="1:18" x14ac:dyDescent="0.35">
      <c r="A1156">
        <v>1978</v>
      </c>
      <c r="B1156" t="s">
        <v>1271</v>
      </c>
      <c r="C1156" s="1">
        <v>45177.648611111108</v>
      </c>
      <c r="D1156" t="s">
        <v>16</v>
      </c>
      <c r="E1156" t="s">
        <v>346</v>
      </c>
      <c r="F1156" t="s">
        <v>1125</v>
      </c>
      <c r="G1156" t="s">
        <v>463</v>
      </c>
      <c r="H1156">
        <v>179</v>
      </c>
      <c r="I1156">
        <v>14</v>
      </c>
      <c r="J1156" t="s">
        <v>20</v>
      </c>
      <c r="K1156" t="s">
        <v>33</v>
      </c>
      <c r="L1156" t="s">
        <v>42</v>
      </c>
      <c r="M1156" t="s">
        <v>30</v>
      </c>
      <c r="N1156">
        <v>0</v>
      </c>
      <c r="O1156">
        <v>0</v>
      </c>
      <c r="P1156" s="8">
        <f>INT(Delivery_data[[#This Row],[Order Timestamp]])</f>
        <v>45177</v>
      </c>
      <c r="Q1156">
        <f ca="1">IF(Delivery_data[[#This Row],[Order Status]]="In Progress", TODAY()-Delivery_data[[#This Row],[Order Date]], "")</f>
        <v>806</v>
      </c>
      <c r="R1156">
        <f>IF(Delivery_data[[#This Row],[On Time]]=1,0,1)</f>
        <v>1</v>
      </c>
    </row>
    <row r="1157" spans="1:18" x14ac:dyDescent="0.35">
      <c r="A1157">
        <v>1979</v>
      </c>
      <c r="B1157" t="s">
        <v>1272</v>
      </c>
      <c r="C1157" s="1">
        <v>45177.584722222222</v>
      </c>
      <c r="D1157" t="s">
        <v>25</v>
      </c>
      <c r="E1157" t="s">
        <v>209</v>
      </c>
      <c r="F1157" t="s">
        <v>1125</v>
      </c>
      <c r="G1157" t="s">
        <v>362</v>
      </c>
      <c r="H1157">
        <v>110</v>
      </c>
      <c r="I1157">
        <v>26</v>
      </c>
      <c r="J1157" t="s">
        <v>20</v>
      </c>
      <c r="K1157" t="s">
        <v>28</v>
      </c>
      <c r="L1157" t="s">
        <v>42</v>
      </c>
      <c r="M1157" t="s">
        <v>30</v>
      </c>
      <c r="N1157">
        <v>0</v>
      </c>
      <c r="O1157">
        <v>0</v>
      </c>
      <c r="P1157" s="8">
        <f>INT(Delivery_data[[#This Row],[Order Timestamp]])</f>
        <v>45177</v>
      </c>
      <c r="Q1157" t="str">
        <f ca="1">IF(Delivery_data[[#This Row],[Order Status]]="In Progress", TODAY()-Delivery_data[[#This Row],[Order Date]], "")</f>
        <v/>
      </c>
      <c r="R1157">
        <f>IF(Delivery_data[[#This Row],[On Time]]=1,0,1)</f>
        <v>1</v>
      </c>
    </row>
    <row r="1158" spans="1:18" x14ac:dyDescent="0.35">
      <c r="A1158">
        <v>1994</v>
      </c>
      <c r="B1158" t="s">
        <v>1273</v>
      </c>
      <c r="C1158" s="1">
        <v>45171.400694444441</v>
      </c>
      <c r="D1158" t="s">
        <v>25</v>
      </c>
      <c r="E1158" t="s">
        <v>292</v>
      </c>
      <c r="F1158" t="s">
        <v>1125</v>
      </c>
      <c r="G1158" t="s">
        <v>463</v>
      </c>
      <c r="H1158">
        <v>162</v>
      </c>
      <c r="I1158">
        <v>25</v>
      </c>
      <c r="J1158" t="s">
        <v>27</v>
      </c>
      <c r="K1158" t="s">
        <v>28</v>
      </c>
      <c r="L1158" t="s">
        <v>42</v>
      </c>
      <c r="M1158" t="s">
        <v>30</v>
      </c>
      <c r="N1158">
        <v>0</v>
      </c>
      <c r="O1158">
        <v>0</v>
      </c>
      <c r="P1158" s="8">
        <f>INT(Delivery_data[[#This Row],[Order Timestamp]])</f>
        <v>45171</v>
      </c>
      <c r="Q1158" t="str">
        <f ca="1">IF(Delivery_data[[#This Row],[Order Status]]="In Progress", TODAY()-Delivery_data[[#This Row],[Order Date]], "")</f>
        <v/>
      </c>
      <c r="R1158">
        <f>IF(Delivery_data[[#This Row],[On Time]]=1,0,1)</f>
        <v>1</v>
      </c>
    </row>
    <row r="1159" spans="1:18" x14ac:dyDescent="0.35">
      <c r="A1159">
        <v>2037</v>
      </c>
      <c r="B1159" t="s">
        <v>1274</v>
      </c>
      <c r="C1159" s="1">
        <v>45170.594444444447</v>
      </c>
      <c r="D1159" t="s">
        <v>25</v>
      </c>
      <c r="E1159" t="s">
        <v>74</v>
      </c>
      <c r="F1159" t="s">
        <v>1125</v>
      </c>
      <c r="G1159" t="s">
        <v>233</v>
      </c>
      <c r="H1159">
        <v>153</v>
      </c>
      <c r="I1159">
        <v>1</v>
      </c>
      <c r="J1159" t="s">
        <v>20</v>
      </c>
      <c r="K1159" t="s">
        <v>33</v>
      </c>
      <c r="L1159" t="s">
        <v>42</v>
      </c>
      <c r="M1159" t="s">
        <v>30</v>
      </c>
      <c r="N1159">
        <v>0</v>
      </c>
      <c r="O1159">
        <v>0</v>
      </c>
      <c r="P1159" s="8">
        <f>INT(Delivery_data[[#This Row],[Order Timestamp]])</f>
        <v>45170</v>
      </c>
      <c r="Q1159" t="str">
        <f ca="1">IF(Delivery_data[[#This Row],[Order Status]]="In Progress", TODAY()-Delivery_data[[#This Row],[Order Date]], "")</f>
        <v/>
      </c>
      <c r="R1159">
        <f>IF(Delivery_data[[#This Row],[On Time]]=1,0,1)</f>
        <v>1</v>
      </c>
    </row>
    <row r="1160" spans="1:18" x14ac:dyDescent="0.35">
      <c r="A1160">
        <v>2039</v>
      </c>
      <c r="B1160" t="s">
        <v>1275</v>
      </c>
      <c r="C1160" s="1">
        <v>45170.426388888889</v>
      </c>
      <c r="D1160" t="s">
        <v>25</v>
      </c>
      <c r="E1160" t="s">
        <v>70</v>
      </c>
      <c r="F1160" t="s">
        <v>1125</v>
      </c>
      <c r="G1160" t="s">
        <v>233</v>
      </c>
      <c r="H1160">
        <v>179</v>
      </c>
      <c r="I1160">
        <v>14</v>
      </c>
      <c r="J1160" t="s">
        <v>20</v>
      </c>
      <c r="K1160" t="s">
        <v>28</v>
      </c>
      <c r="L1160" t="s">
        <v>42</v>
      </c>
      <c r="M1160" t="s">
        <v>30</v>
      </c>
      <c r="N1160">
        <v>0</v>
      </c>
      <c r="O1160">
        <v>0</v>
      </c>
      <c r="P1160" s="8">
        <f>INT(Delivery_data[[#This Row],[Order Timestamp]])</f>
        <v>45170</v>
      </c>
      <c r="Q1160" t="str">
        <f ca="1">IF(Delivery_data[[#This Row],[Order Status]]="In Progress", TODAY()-Delivery_data[[#This Row],[Order Date]], "")</f>
        <v/>
      </c>
      <c r="R1160">
        <f>IF(Delivery_data[[#This Row],[On Time]]=1,0,1)</f>
        <v>1</v>
      </c>
    </row>
    <row r="1161" spans="1:18" x14ac:dyDescent="0.35">
      <c r="A1161">
        <v>2053</v>
      </c>
      <c r="B1161" t="s">
        <v>1276</v>
      </c>
      <c r="C1161" s="1">
        <v>45174.34652777778</v>
      </c>
      <c r="D1161" t="s">
        <v>25</v>
      </c>
      <c r="E1161" t="s">
        <v>158</v>
      </c>
      <c r="F1161" t="s">
        <v>1125</v>
      </c>
      <c r="G1161" t="s">
        <v>463</v>
      </c>
      <c r="H1161">
        <v>238</v>
      </c>
      <c r="I1161">
        <v>29</v>
      </c>
      <c r="J1161" t="s">
        <v>35</v>
      </c>
      <c r="K1161" t="s">
        <v>51</v>
      </c>
      <c r="L1161" t="s">
        <v>42</v>
      </c>
      <c r="M1161" t="s">
        <v>30</v>
      </c>
      <c r="N1161">
        <v>0</v>
      </c>
      <c r="O1161">
        <v>1</v>
      </c>
      <c r="P1161" s="8">
        <f>INT(Delivery_data[[#This Row],[Order Timestamp]])</f>
        <v>45174</v>
      </c>
      <c r="Q1161" t="str">
        <f ca="1">IF(Delivery_data[[#This Row],[Order Status]]="In Progress", TODAY()-Delivery_data[[#This Row],[Order Date]], "")</f>
        <v/>
      </c>
      <c r="R1161">
        <f>IF(Delivery_data[[#This Row],[On Time]]=1,0,1)</f>
        <v>1</v>
      </c>
    </row>
    <row r="1162" spans="1:18" x14ac:dyDescent="0.35">
      <c r="A1162">
        <v>2054</v>
      </c>
      <c r="B1162" t="s">
        <v>131</v>
      </c>
      <c r="C1162" s="1">
        <v>45174.620833333334</v>
      </c>
      <c r="D1162" t="s">
        <v>16</v>
      </c>
      <c r="E1162" t="s">
        <v>447</v>
      </c>
      <c r="F1162" t="s">
        <v>1125</v>
      </c>
      <c r="G1162" t="s">
        <v>19</v>
      </c>
      <c r="H1162">
        <v>142</v>
      </c>
      <c r="I1162">
        <v>22</v>
      </c>
      <c r="J1162" t="s">
        <v>35</v>
      </c>
      <c r="K1162" t="s">
        <v>38</v>
      </c>
      <c r="L1162" t="s">
        <v>42</v>
      </c>
      <c r="M1162" t="s">
        <v>30</v>
      </c>
      <c r="N1162">
        <v>0</v>
      </c>
      <c r="O1162">
        <v>1</v>
      </c>
      <c r="P1162" s="8">
        <f>INT(Delivery_data[[#This Row],[Order Timestamp]])</f>
        <v>45174</v>
      </c>
      <c r="Q1162">
        <f ca="1">IF(Delivery_data[[#This Row],[Order Status]]="In Progress", TODAY()-Delivery_data[[#This Row],[Order Date]], "")</f>
        <v>809</v>
      </c>
      <c r="R1162">
        <f>IF(Delivery_data[[#This Row],[On Time]]=1,0,1)</f>
        <v>1</v>
      </c>
    </row>
    <row r="1163" spans="1:18" x14ac:dyDescent="0.35">
      <c r="A1163">
        <v>2056</v>
      </c>
      <c r="B1163" t="s">
        <v>1277</v>
      </c>
      <c r="C1163" s="1">
        <v>45173.448611111111</v>
      </c>
      <c r="D1163" t="s">
        <v>25</v>
      </c>
      <c r="E1163" t="s">
        <v>113</v>
      </c>
      <c r="F1163" t="s">
        <v>1125</v>
      </c>
      <c r="G1163" t="s">
        <v>362</v>
      </c>
      <c r="H1163">
        <v>177</v>
      </c>
      <c r="I1163">
        <v>18</v>
      </c>
      <c r="J1163" t="s">
        <v>35</v>
      </c>
      <c r="K1163" t="s">
        <v>21</v>
      </c>
      <c r="L1163" t="s">
        <v>42</v>
      </c>
      <c r="M1163" t="s">
        <v>30</v>
      </c>
      <c r="N1163">
        <v>0</v>
      </c>
      <c r="O1163">
        <v>1</v>
      </c>
      <c r="P1163" s="8">
        <f>INT(Delivery_data[[#This Row],[Order Timestamp]])</f>
        <v>45173</v>
      </c>
      <c r="Q1163" t="str">
        <f ca="1">IF(Delivery_data[[#This Row],[Order Status]]="In Progress", TODAY()-Delivery_data[[#This Row],[Order Date]], "")</f>
        <v/>
      </c>
      <c r="R1163">
        <f>IF(Delivery_data[[#This Row],[On Time]]=1,0,1)</f>
        <v>1</v>
      </c>
    </row>
    <row r="1164" spans="1:18" x14ac:dyDescent="0.35">
      <c r="A1164">
        <v>2057</v>
      </c>
      <c r="B1164" t="s">
        <v>1278</v>
      </c>
      <c r="C1164" s="1">
        <v>45170.369444444441</v>
      </c>
      <c r="D1164" t="s">
        <v>16</v>
      </c>
      <c r="E1164" t="s">
        <v>126</v>
      </c>
      <c r="F1164" t="s">
        <v>1125</v>
      </c>
      <c r="G1164" t="s">
        <v>362</v>
      </c>
      <c r="H1164">
        <v>118</v>
      </c>
      <c r="I1164">
        <v>2</v>
      </c>
      <c r="J1164" t="s">
        <v>35</v>
      </c>
      <c r="K1164" t="s">
        <v>28</v>
      </c>
      <c r="L1164" t="s">
        <v>42</v>
      </c>
      <c r="M1164" t="s">
        <v>30</v>
      </c>
      <c r="N1164">
        <v>0</v>
      </c>
      <c r="O1164">
        <v>1</v>
      </c>
      <c r="P1164" s="8">
        <f>INT(Delivery_data[[#This Row],[Order Timestamp]])</f>
        <v>45170</v>
      </c>
      <c r="Q1164">
        <f ca="1">IF(Delivery_data[[#This Row],[Order Status]]="In Progress", TODAY()-Delivery_data[[#This Row],[Order Date]], "")</f>
        <v>813</v>
      </c>
      <c r="R1164">
        <f>IF(Delivery_data[[#This Row],[On Time]]=1,0,1)</f>
        <v>1</v>
      </c>
    </row>
    <row r="1165" spans="1:18" x14ac:dyDescent="0.35">
      <c r="A1165">
        <v>2124</v>
      </c>
      <c r="B1165" t="s">
        <v>289</v>
      </c>
      <c r="C1165" s="1">
        <v>45175.502083333333</v>
      </c>
      <c r="D1165" t="s">
        <v>25</v>
      </c>
      <c r="E1165" t="s">
        <v>136</v>
      </c>
      <c r="F1165" t="s">
        <v>1125</v>
      </c>
      <c r="G1165" t="s">
        <v>557</v>
      </c>
      <c r="H1165">
        <v>111</v>
      </c>
      <c r="I1165">
        <v>15</v>
      </c>
      <c r="J1165" t="s">
        <v>27</v>
      </c>
      <c r="K1165" t="s">
        <v>51</v>
      </c>
      <c r="L1165" t="s">
        <v>42</v>
      </c>
      <c r="M1165" t="s">
        <v>30</v>
      </c>
      <c r="N1165">
        <v>0</v>
      </c>
      <c r="O1165">
        <v>0</v>
      </c>
      <c r="P1165" s="8">
        <f>INT(Delivery_data[[#This Row],[Order Timestamp]])</f>
        <v>45175</v>
      </c>
      <c r="Q1165" t="str">
        <f ca="1">IF(Delivery_data[[#This Row],[Order Status]]="In Progress", TODAY()-Delivery_data[[#This Row],[Order Date]], "")</f>
        <v/>
      </c>
      <c r="R1165">
        <f>IF(Delivery_data[[#This Row],[On Time]]=1,0,1)</f>
        <v>1</v>
      </c>
    </row>
    <row r="1166" spans="1:18" x14ac:dyDescent="0.35">
      <c r="A1166">
        <v>2145</v>
      </c>
      <c r="B1166" t="s">
        <v>1279</v>
      </c>
      <c r="C1166" s="1">
        <v>45176.572222222225</v>
      </c>
      <c r="D1166" t="s">
        <v>25</v>
      </c>
      <c r="E1166" t="s">
        <v>17</v>
      </c>
      <c r="F1166" t="s">
        <v>1125</v>
      </c>
      <c r="G1166" t="s">
        <v>557</v>
      </c>
      <c r="H1166">
        <v>115</v>
      </c>
      <c r="I1166">
        <v>16</v>
      </c>
      <c r="J1166" t="s">
        <v>20</v>
      </c>
      <c r="K1166" t="s">
        <v>33</v>
      </c>
      <c r="L1166" t="s">
        <v>42</v>
      </c>
      <c r="M1166" t="s">
        <v>30</v>
      </c>
      <c r="N1166">
        <v>0</v>
      </c>
      <c r="O1166">
        <v>0</v>
      </c>
      <c r="P1166" s="8">
        <f>INT(Delivery_data[[#This Row],[Order Timestamp]])</f>
        <v>45176</v>
      </c>
      <c r="Q1166" t="str">
        <f ca="1">IF(Delivery_data[[#This Row],[Order Status]]="In Progress", TODAY()-Delivery_data[[#This Row],[Order Date]], "")</f>
        <v/>
      </c>
      <c r="R1166">
        <f>IF(Delivery_data[[#This Row],[On Time]]=1,0,1)</f>
        <v>1</v>
      </c>
    </row>
    <row r="1167" spans="1:18" x14ac:dyDescent="0.35">
      <c r="A1167">
        <v>2160</v>
      </c>
      <c r="B1167" t="s">
        <v>1280</v>
      </c>
      <c r="C1167" s="1">
        <v>45174.571527777778</v>
      </c>
      <c r="D1167" t="s">
        <v>16</v>
      </c>
      <c r="E1167" t="s">
        <v>70</v>
      </c>
      <c r="F1167" t="s">
        <v>1125</v>
      </c>
      <c r="G1167" t="s">
        <v>463</v>
      </c>
      <c r="H1167">
        <v>217</v>
      </c>
      <c r="I1167">
        <v>7</v>
      </c>
      <c r="J1167" t="s">
        <v>27</v>
      </c>
      <c r="K1167" t="s">
        <v>51</v>
      </c>
      <c r="L1167" t="s">
        <v>42</v>
      </c>
      <c r="M1167" t="s">
        <v>30</v>
      </c>
      <c r="N1167">
        <v>0</v>
      </c>
      <c r="O1167">
        <v>0</v>
      </c>
      <c r="P1167" s="8">
        <f>INT(Delivery_data[[#This Row],[Order Timestamp]])</f>
        <v>45174</v>
      </c>
      <c r="Q1167">
        <f ca="1">IF(Delivery_data[[#This Row],[Order Status]]="In Progress", TODAY()-Delivery_data[[#This Row],[Order Date]], "")</f>
        <v>809</v>
      </c>
      <c r="R1167">
        <f>IF(Delivery_data[[#This Row],[On Time]]=1,0,1)</f>
        <v>1</v>
      </c>
    </row>
    <row r="1168" spans="1:18" x14ac:dyDescent="0.35">
      <c r="A1168">
        <v>2183</v>
      </c>
      <c r="B1168" t="s">
        <v>1281</v>
      </c>
      <c r="C1168" s="1">
        <v>45171.56527777778</v>
      </c>
      <c r="D1168" t="s">
        <v>25</v>
      </c>
      <c r="E1168" t="s">
        <v>129</v>
      </c>
      <c r="F1168" t="s">
        <v>1125</v>
      </c>
      <c r="G1168" t="s">
        <v>233</v>
      </c>
      <c r="H1168">
        <v>72</v>
      </c>
      <c r="I1168">
        <v>4</v>
      </c>
      <c r="J1168" t="s">
        <v>20</v>
      </c>
      <c r="K1168" t="s">
        <v>38</v>
      </c>
      <c r="L1168" t="s">
        <v>42</v>
      </c>
      <c r="M1168" t="s">
        <v>30</v>
      </c>
      <c r="N1168">
        <v>0</v>
      </c>
      <c r="O1168">
        <v>0</v>
      </c>
      <c r="P1168" s="8">
        <f>INT(Delivery_data[[#This Row],[Order Timestamp]])</f>
        <v>45171</v>
      </c>
      <c r="Q1168" t="str">
        <f ca="1">IF(Delivery_data[[#This Row],[Order Status]]="In Progress", TODAY()-Delivery_data[[#This Row],[Order Date]], "")</f>
        <v/>
      </c>
      <c r="R1168">
        <f>IF(Delivery_data[[#This Row],[On Time]]=1,0,1)</f>
        <v>1</v>
      </c>
    </row>
    <row r="1169" spans="1:18" x14ac:dyDescent="0.35">
      <c r="A1169">
        <v>2215</v>
      </c>
      <c r="B1169" t="s">
        <v>1282</v>
      </c>
      <c r="C1169" s="1">
        <v>45176.368055555555</v>
      </c>
      <c r="D1169" t="s">
        <v>16</v>
      </c>
      <c r="E1169" t="s">
        <v>254</v>
      </c>
      <c r="F1169" t="s">
        <v>1125</v>
      </c>
      <c r="G1169" t="s">
        <v>362</v>
      </c>
      <c r="H1169">
        <v>148</v>
      </c>
      <c r="I1169">
        <v>20</v>
      </c>
      <c r="J1169" t="s">
        <v>27</v>
      </c>
      <c r="K1169" t="s">
        <v>21</v>
      </c>
      <c r="L1169" t="s">
        <v>42</v>
      </c>
      <c r="M1169" t="s">
        <v>30</v>
      </c>
      <c r="N1169">
        <v>0</v>
      </c>
      <c r="O1169">
        <v>0</v>
      </c>
      <c r="P1169" s="8">
        <f>INT(Delivery_data[[#This Row],[Order Timestamp]])</f>
        <v>45176</v>
      </c>
      <c r="Q1169">
        <f ca="1">IF(Delivery_data[[#This Row],[Order Status]]="In Progress", TODAY()-Delivery_data[[#This Row],[Order Date]], "")</f>
        <v>807</v>
      </c>
      <c r="R1169">
        <f>IF(Delivery_data[[#This Row],[On Time]]=1,0,1)</f>
        <v>1</v>
      </c>
    </row>
    <row r="1170" spans="1:18" x14ac:dyDescent="0.35">
      <c r="A1170">
        <v>2221</v>
      </c>
      <c r="B1170" t="s">
        <v>1283</v>
      </c>
      <c r="C1170" s="1">
        <v>45171.53402777778</v>
      </c>
      <c r="D1170" t="s">
        <v>16</v>
      </c>
      <c r="E1170" t="s">
        <v>115</v>
      </c>
      <c r="F1170" t="s">
        <v>1125</v>
      </c>
      <c r="G1170" t="s">
        <v>362</v>
      </c>
      <c r="H1170">
        <v>186</v>
      </c>
      <c r="I1170">
        <v>17</v>
      </c>
      <c r="J1170" t="s">
        <v>27</v>
      </c>
      <c r="K1170" t="s">
        <v>51</v>
      </c>
      <c r="L1170" t="s">
        <v>42</v>
      </c>
      <c r="M1170" t="s">
        <v>30</v>
      </c>
      <c r="N1170">
        <v>0</v>
      </c>
      <c r="O1170">
        <v>0</v>
      </c>
      <c r="P1170" s="8">
        <f>INT(Delivery_data[[#This Row],[Order Timestamp]])</f>
        <v>45171</v>
      </c>
      <c r="Q1170">
        <f ca="1">IF(Delivery_data[[#This Row],[Order Status]]="In Progress", TODAY()-Delivery_data[[#This Row],[Order Date]], "")</f>
        <v>812</v>
      </c>
      <c r="R1170">
        <f>IF(Delivery_data[[#This Row],[On Time]]=1,0,1)</f>
        <v>1</v>
      </c>
    </row>
    <row r="1171" spans="1:18" x14ac:dyDescent="0.35">
      <c r="A1171">
        <v>2250</v>
      </c>
      <c r="B1171" t="s">
        <v>1284</v>
      </c>
      <c r="C1171" s="1">
        <v>45172.620138888888</v>
      </c>
      <c r="D1171" t="s">
        <v>25</v>
      </c>
      <c r="E1171" t="s">
        <v>152</v>
      </c>
      <c r="F1171" t="s">
        <v>1125</v>
      </c>
      <c r="G1171" t="s">
        <v>463</v>
      </c>
      <c r="H1171">
        <v>157</v>
      </c>
      <c r="I1171">
        <v>2</v>
      </c>
      <c r="J1171" t="s">
        <v>20</v>
      </c>
      <c r="K1171" t="s">
        <v>51</v>
      </c>
      <c r="L1171" t="s">
        <v>42</v>
      </c>
      <c r="M1171" t="s">
        <v>30</v>
      </c>
      <c r="N1171">
        <v>0</v>
      </c>
      <c r="O1171">
        <v>0</v>
      </c>
      <c r="P1171" s="8">
        <f>INT(Delivery_data[[#This Row],[Order Timestamp]])</f>
        <v>45172</v>
      </c>
      <c r="Q1171" t="str">
        <f ca="1">IF(Delivery_data[[#This Row],[Order Status]]="In Progress", TODAY()-Delivery_data[[#This Row],[Order Date]], "")</f>
        <v/>
      </c>
      <c r="R1171">
        <f>IF(Delivery_data[[#This Row],[On Time]]=1,0,1)</f>
        <v>1</v>
      </c>
    </row>
    <row r="1172" spans="1:18" x14ac:dyDescent="0.35">
      <c r="A1172">
        <v>2259</v>
      </c>
      <c r="B1172" t="s">
        <v>1285</v>
      </c>
      <c r="C1172" s="1">
        <v>45171.681250000001</v>
      </c>
      <c r="D1172" t="s">
        <v>25</v>
      </c>
      <c r="E1172" t="s">
        <v>80</v>
      </c>
      <c r="F1172" t="s">
        <v>1125</v>
      </c>
      <c r="G1172" t="s">
        <v>233</v>
      </c>
      <c r="H1172">
        <v>98</v>
      </c>
      <c r="I1172">
        <v>3</v>
      </c>
      <c r="J1172" t="s">
        <v>35</v>
      </c>
      <c r="K1172" t="s">
        <v>28</v>
      </c>
      <c r="L1172" t="s">
        <v>42</v>
      </c>
      <c r="M1172" t="s">
        <v>30</v>
      </c>
      <c r="N1172">
        <v>0</v>
      </c>
      <c r="O1172">
        <v>1</v>
      </c>
      <c r="P1172" s="8">
        <f>INT(Delivery_data[[#This Row],[Order Timestamp]])</f>
        <v>45171</v>
      </c>
      <c r="Q1172" t="str">
        <f ca="1">IF(Delivery_data[[#This Row],[Order Status]]="In Progress", TODAY()-Delivery_data[[#This Row],[Order Date]], "")</f>
        <v/>
      </c>
      <c r="R1172">
        <f>IF(Delivery_data[[#This Row],[On Time]]=1,0,1)</f>
        <v>1</v>
      </c>
    </row>
    <row r="1173" spans="1:18" x14ac:dyDescent="0.35">
      <c r="A1173">
        <v>2283</v>
      </c>
      <c r="B1173" t="s">
        <v>1286</v>
      </c>
      <c r="C1173" s="1">
        <v>45170.449305555558</v>
      </c>
      <c r="D1173" t="s">
        <v>16</v>
      </c>
      <c r="E1173" t="s">
        <v>206</v>
      </c>
      <c r="F1173" t="s">
        <v>1125</v>
      </c>
      <c r="G1173" t="s">
        <v>233</v>
      </c>
      <c r="H1173">
        <v>105</v>
      </c>
      <c r="I1173">
        <v>10</v>
      </c>
      <c r="J1173" t="s">
        <v>27</v>
      </c>
      <c r="K1173" t="s">
        <v>21</v>
      </c>
      <c r="L1173" t="s">
        <v>42</v>
      </c>
      <c r="M1173" t="s">
        <v>30</v>
      </c>
      <c r="N1173">
        <v>0</v>
      </c>
      <c r="O1173">
        <v>0</v>
      </c>
      <c r="P1173" s="8">
        <f>INT(Delivery_data[[#This Row],[Order Timestamp]])</f>
        <v>45170</v>
      </c>
      <c r="Q1173">
        <f ca="1">IF(Delivery_data[[#This Row],[Order Status]]="In Progress", TODAY()-Delivery_data[[#This Row],[Order Date]], "")</f>
        <v>813</v>
      </c>
      <c r="R1173">
        <f>IF(Delivery_data[[#This Row],[On Time]]=1,0,1)</f>
        <v>1</v>
      </c>
    </row>
    <row r="1174" spans="1:18" x14ac:dyDescent="0.35">
      <c r="A1174">
        <v>2303</v>
      </c>
      <c r="B1174" t="s">
        <v>1287</v>
      </c>
      <c r="C1174" s="1">
        <v>45173.397222222222</v>
      </c>
      <c r="D1174" t="s">
        <v>16</v>
      </c>
      <c r="E1174" t="s">
        <v>80</v>
      </c>
      <c r="F1174" t="s">
        <v>1125</v>
      </c>
      <c r="G1174" t="s">
        <v>362</v>
      </c>
      <c r="H1174">
        <v>239</v>
      </c>
      <c r="I1174">
        <v>18</v>
      </c>
      <c r="J1174" t="s">
        <v>35</v>
      </c>
      <c r="K1174" t="s">
        <v>28</v>
      </c>
      <c r="L1174" t="s">
        <v>42</v>
      </c>
      <c r="M1174" t="s">
        <v>30</v>
      </c>
      <c r="N1174">
        <v>0</v>
      </c>
      <c r="O1174">
        <v>1</v>
      </c>
      <c r="P1174" s="8">
        <f>INT(Delivery_data[[#This Row],[Order Timestamp]])</f>
        <v>45173</v>
      </c>
      <c r="Q1174">
        <f ca="1">IF(Delivery_data[[#This Row],[Order Status]]="In Progress", TODAY()-Delivery_data[[#This Row],[Order Date]], "")</f>
        <v>810</v>
      </c>
      <c r="R1174">
        <f>IF(Delivery_data[[#This Row],[On Time]]=1,0,1)</f>
        <v>1</v>
      </c>
    </row>
    <row r="1175" spans="1:18" x14ac:dyDescent="0.35">
      <c r="A1175">
        <v>2315</v>
      </c>
      <c r="B1175" t="s">
        <v>1288</v>
      </c>
      <c r="C1175" s="1">
        <v>45172.434027777781</v>
      </c>
      <c r="D1175" t="s">
        <v>16</v>
      </c>
      <c r="E1175" t="s">
        <v>274</v>
      </c>
      <c r="F1175" t="s">
        <v>1125</v>
      </c>
      <c r="G1175" t="s">
        <v>233</v>
      </c>
      <c r="H1175">
        <v>170</v>
      </c>
      <c r="I1175">
        <v>12</v>
      </c>
      <c r="J1175" t="s">
        <v>27</v>
      </c>
      <c r="K1175" t="s">
        <v>28</v>
      </c>
      <c r="L1175" t="s">
        <v>42</v>
      </c>
      <c r="M1175" t="s">
        <v>30</v>
      </c>
      <c r="N1175">
        <v>0</v>
      </c>
      <c r="O1175">
        <v>0</v>
      </c>
      <c r="P1175" s="8">
        <f>INT(Delivery_data[[#This Row],[Order Timestamp]])</f>
        <v>45172</v>
      </c>
      <c r="Q1175">
        <f ca="1">IF(Delivery_data[[#This Row],[Order Status]]="In Progress", TODAY()-Delivery_data[[#This Row],[Order Date]], "")</f>
        <v>811</v>
      </c>
      <c r="R1175">
        <f>IF(Delivery_data[[#This Row],[On Time]]=1,0,1)</f>
        <v>1</v>
      </c>
    </row>
    <row r="1176" spans="1:18" x14ac:dyDescent="0.35">
      <c r="A1176">
        <v>2318</v>
      </c>
      <c r="B1176" t="s">
        <v>1289</v>
      </c>
      <c r="C1176" s="1">
        <v>45172.370138888888</v>
      </c>
      <c r="D1176" t="s">
        <v>25</v>
      </c>
      <c r="E1176" t="s">
        <v>447</v>
      </c>
      <c r="F1176" t="s">
        <v>1125</v>
      </c>
      <c r="G1176" t="s">
        <v>362</v>
      </c>
      <c r="H1176">
        <v>94</v>
      </c>
      <c r="I1176">
        <v>18</v>
      </c>
      <c r="J1176" t="s">
        <v>27</v>
      </c>
      <c r="K1176" t="s">
        <v>28</v>
      </c>
      <c r="L1176" t="s">
        <v>42</v>
      </c>
      <c r="M1176" t="s">
        <v>30</v>
      </c>
      <c r="N1176">
        <v>0</v>
      </c>
      <c r="O1176">
        <v>0</v>
      </c>
      <c r="P1176" s="8">
        <f>INT(Delivery_data[[#This Row],[Order Timestamp]])</f>
        <v>45172</v>
      </c>
      <c r="Q1176" t="str">
        <f ca="1">IF(Delivery_data[[#This Row],[Order Status]]="In Progress", TODAY()-Delivery_data[[#This Row],[Order Date]], "")</f>
        <v/>
      </c>
      <c r="R1176">
        <f>IF(Delivery_data[[#This Row],[On Time]]=1,0,1)</f>
        <v>1</v>
      </c>
    </row>
    <row r="1177" spans="1:18" x14ac:dyDescent="0.35">
      <c r="A1177">
        <v>2321</v>
      </c>
      <c r="B1177" t="s">
        <v>1290</v>
      </c>
      <c r="C1177" s="1">
        <v>45173.458333333336</v>
      </c>
      <c r="D1177" t="s">
        <v>16</v>
      </c>
      <c r="E1177" t="s">
        <v>172</v>
      </c>
      <c r="F1177" t="s">
        <v>1125</v>
      </c>
      <c r="G1177" t="s">
        <v>463</v>
      </c>
      <c r="H1177">
        <v>191</v>
      </c>
      <c r="I1177">
        <v>26</v>
      </c>
      <c r="J1177" t="s">
        <v>27</v>
      </c>
      <c r="K1177" t="s">
        <v>51</v>
      </c>
      <c r="L1177" t="s">
        <v>42</v>
      </c>
      <c r="M1177" t="s">
        <v>30</v>
      </c>
      <c r="N1177">
        <v>0</v>
      </c>
      <c r="O1177">
        <v>0</v>
      </c>
      <c r="P1177" s="8">
        <f>INT(Delivery_data[[#This Row],[Order Timestamp]])</f>
        <v>45173</v>
      </c>
      <c r="Q1177">
        <f ca="1">IF(Delivery_data[[#This Row],[Order Status]]="In Progress", TODAY()-Delivery_data[[#This Row],[Order Date]], "")</f>
        <v>810</v>
      </c>
      <c r="R1177">
        <f>IF(Delivery_data[[#This Row],[On Time]]=1,0,1)</f>
        <v>1</v>
      </c>
    </row>
    <row r="1178" spans="1:18" x14ac:dyDescent="0.35">
      <c r="A1178">
        <v>2362</v>
      </c>
      <c r="B1178" t="s">
        <v>536</v>
      </c>
      <c r="C1178" s="1">
        <v>45172.597222222219</v>
      </c>
      <c r="D1178" t="s">
        <v>25</v>
      </c>
      <c r="E1178" t="s">
        <v>62</v>
      </c>
      <c r="F1178" t="s">
        <v>1125</v>
      </c>
      <c r="G1178" t="s">
        <v>19</v>
      </c>
      <c r="H1178">
        <v>195</v>
      </c>
      <c r="I1178">
        <v>23</v>
      </c>
      <c r="J1178" t="s">
        <v>35</v>
      </c>
      <c r="K1178" t="s">
        <v>38</v>
      </c>
      <c r="L1178" t="s">
        <v>42</v>
      </c>
      <c r="M1178" t="s">
        <v>30</v>
      </c>
      <c r="N1178">
        <v>0</v>
      </c>
      <c r="O1178">
        <v>1</v>
      </c>
      <c r="P1178" s="8">
        <f>INT(Delivery_data[[#This Row],[Order Timestamp]])</f>
        <v>45172</v>
      </c>
      <c r="Q1178" t="str">
        <f ca="1">IF(Delivery_data[[#This Row],[Order Status]]="In Progress", TODAY()-Delivery_data[[#This Row],[Order Date]], "")</f>
        <v/>
      </c>
      <c r="R1178">
        <f>IF(Delivery_data[[#This Row],[On Time]]=1,0,1)</f>
        <v>1</v>
      </c>
    </row>
    <row r="1179" spans="1:18" x14ac:dyDescent="0.35">
      <c r="A1179">
        <v>2367</v>
      </c>
      <c r="B1179" t="s">
        <v>1291</v>
      </c>
      <c r="C1179" s="1">
        <v>45171.550694444442</v>
      </c>
      <c r="D1179" t="s">
        <v>16</v>
      </c>
      <c r="E1179" t="s">
        <v>96</v>
      </c>
      <c r="F1179" t="s">
        <v>1125</v>
      </c>
      <c r="G1179" t="s">
        <v>19</v>
      </c>
      <c r="H1179">
        <v>152</v>
      </c>
      <c r="I1179">
        <v>22</v>
      </c>
      <c r="J1179" t="s">
        <v>35</v>
      </c>
      <c r="K1179" t="s">
        <v>51</v>
      </c>
      <c r="L1179" t="s">
        <v>42</v>
      </c>
      <c r="M1179" t="s">
        <v>30</v>
      </c>
      <c r="N1179">
        <v>0</v>
      </c>
      <c r="O1179">
        <v>1</v>
      </c>
      <c r="P1179" s="8">
        <f>INT(Delivery_data[[#This Row],[Order Timestamp]])</f>
        <v>45171</v>
      </c>
      <c r="Q1179">
        <f ca="1">IF(Delivery_data[[#This Row],[Order Status]]="In Progress", TODAY()-Delivery_data[[#This Row],[Order Date]], "")</f>
        <v>812</v>
      </c>
      <c r="R1179">
        <f>IF(Delivery_data[[#This Row],[On Time]]=1,0,1)</f>
        <v>1</v>
      </c>
    </row>
    <row r="1180" spans="1:18" x14ac:dyDescent="0.35">
      <c r="A1180">
        <v>2425</v>
      </c>
      <c r="B1180" t="s">
        <v>1292</v>
      </c>
      <c r="C1180" s="1">
        <v>45175.539583333331</v>
      </c>
      <c r="D1180" t="s">
        <v>16</v>
      </c>
      <c r="E1180" t="s">
        <v>245</v>
      </c>
      <c r="F1180" t="s">
        <v>1125</v>
      </c>
      <c r="G1180" t="s">
        <v>233</v>
      </c>
      <c r="H1180">
        <v>99</v>
      </c>
      <c r="I1180">
        <v>17</v>
      </c>
      <c r="J1180" t="s">
        <v>20</v>
      </c>
      <c r="K1180" t="s">
        <v>21</v>
      </c>
      <c r="L1180" t="s">
        <v>42</v>
      </c>
      <c r="M1180" t="s">
        <v>30</v>
      </c>
      <c r="N1180">
        <v>0</v>
      </c>
      <c r="O1180">
        <v>0</v>
      </c>
      <c r="P1180" s="8">
        <f>INT(Delivery_data[[#This Row],[Order Timestamp]])</f>
        <v>45175</v>
      </c>
      <c r="Q1180">
        <f ca="1">IF(Delivery_data[[#This Row],[Order Status]]="In Progress", TODAY()-Delivery_data[[#This Row],[Order Date]], "")</f>
        <v>808</v>
      </c>
      <c r="R1180">
        <f>IF(Delivery_data[[#This Row],[On Time]]=1,0,1)</f>
        <v>1</v>
      </c>
    </row>
    <row r="1181" spans="1:18" x14ac:dyDescent="0.35">
      <c r="A1181">
        <v>2447</v>
      </c>
      <c r="B1181" t="s">
        <v>1293</v>
      </c>
      <c r="C1181" s="1">
        <v>45171.57708333333</v>
      </c>
      <c r="D1181" t="s">
        <v>25</v>
      </c>
      <c r="E1181" t="s">
        <v>178</v>
      </c>
      <c r="F1181" t="s">
        <v>1125</v>
      </c>
      <c r="G1181" t="s">
        <v>557</v>
      </c>
      <c r="H1181">
        <v>228</v>
      </c>
      <c r="I1181">
        <v>19</v>
      </c>
      <c r="J1181" t="s">
        <v>27</v>
      </c>
      <c r="K1181" t="s">
        <v>21</v>
      </c>
      <c r="L1181" t="s">
        <v>42</v>
      </c>
      <c r="M1181" t="s">
        <v>30</v>
      </c>
      <c r="N1181">
        <v>0</v>
      </c>
      <c r="O1181">
        <v>0</v>
      </c>
      <c r="P1181" s="8">
        <f>INT(Delivery_data[[#This Row],[Order Timestamp]])</f>
        <v>45171</v>
      </c>
      <c r="Q1181" t="str">
        <f ca="1">IF(Delivery_data[[#This Row],[Order Status]]="In Progress", TODAY()-Delivery_data[[#This Row],[Order Date]], "")</f>
        <v/>
      </c>
      <c r="R1181">
        <f>IF(Delivery_data[[#This Row],[On Time]]=1,0,1)</f>
        <v>1</v>
      </c>
    </row>
    <row r="1182" spans="1:18" x14ac:dyDescent="0.35">
      <c r="A1182">
        <v>2489</v>
      </c>
      <c r="B1182" t="s">
        <v>822</v>
      </c>
      <c r="C1182" s="1">
        <v>45176.680555555555</v>
      </c>
      <c r="D1182" t="s">
        <v>25</v>
      </c>
      <c r="E1182" t="s">
        <v>37</v>
      </c>
      <c r="F1182" t="s">
        <v>1125</v>
      </c>
      <c r="G1182" t="s">
        <v>557</v>
      </c>
      <c r="H1182">
        <v>92</v>
      </c>
      <c r="I1182">
        <v>29</v>
      </c>
      <c r="J1182" t="s">
        <v>35</v>
      </c>
      <c r="K1182" t="s">
        <v>38</v>
      </c>
      <c r="L1182" t="s">
        <v>42</v>
      </c>
      <c r="M1182" t="s">
        <v>30</v>
      </c>
      <c r="N1182">
        <v>0</v>
      </c>
      <c r="O1182">
        <v>1</v>
      </c>
      <c r="P1182" s="8">
        <f>INT(Delivery_data[[#This Row],[Order Timestamp]])</f>
        <v>45176</v>
      </c>
      <c r="Q1182" t="str">
        <f ca="1">IF(Delivery_data[[#This Row],[Order Status]]="In Progress", TODAY()-Delivery_data[[#This Row],[Order Date]], "")</f>
        <v/>
      </c>
      <c r="R1182">
        <f>IF(Delivery_data[[#This Row],[On Time]]=1,0,1)</f>
        <v>1</v>
      </c>
    </row>
    <row r="1183" spans="1:18" x14ac:dyDescent="0.35">
      <c r="A1183">
        <v>2496</v>
      </c>
      <c r="B1183" t="s">
        <v>1294</v>
      </c>
      <c r="C1183" s="1">
        <v>45176.379166666666</v>
      </c>
      <c r="D1183" t="s">
        <v>16</v>
      </c>
      <c r="E1183" t="s">
        <v>191</v>
      </c>
      <c r="F1183" t="s">
        <v>1125</v>
      </c>
      <c r="G1183" t="s">
        <v>233</v>
      </c>
      <c r="H1183">
        <v>213</v>
      </c>
      <c r="I1183">
        <v>18</v>
      </c>
      <c r="J1183" t="s">
        <v>35</v>
      </c>
      <c r="K1183" t="s">
        <v>38</v>
      </c>
      <c r="L1183" t="s">
        <v>42</v>
      </c>
      <c r="M1183" t="s">
        <v>30</v>
      </c>
      <c r="N1183">
        <v>0</v>
      </c>
      <c r="O1183">
        <v>1</v>
      </c>
      <c r="P1183" s="8">
        <f>INT(Delivery_data[[#This Row],[Order Timestamp]])</f>
        <v>45176</v>
      </c>
      <c r="Q1183">
        <f ca="1">IF(Delivery_data[[#This Row],[Order Status]]="In Progress", TODAY()-Delivery_data[[#This Row],[Order Date]], "")</f>
        <v>807</v>
      </c>
      <c r="R1183">
        <f>IF(Delivery_data[[#This Row],[On Time]]=1,0,1)</f>
        <v>1</v>
      </c>
    </row>
    <row r="1184" spans="1:18" x14ac:dyDescent="0.35">
      <c r="A1184">
        <v>1008</v>
      </c>
      <c r="B1184" t="s">
        <v>1295</v>
      </c>
      <c r="C1184" s="1">
        <v>45175.615277777775</v>
      </c>
      <c r="D1184" t="s">
        <v>16</v>
      </c>
      <c r="E1184" t="s">
        <v>666</v>
      </c>
      <c r="F1184" t="s">
        <v>1125</v>
      </c>
      <c r="G1184" t="s">
        <v>362</v>
      </c>
      <c r="H1184">
        <v>96</v>
      </c>
      <c r="I1184">
        <v>17</v>
      </c>
      <c r="J1184" t="s">
        <v>35</v>
      </c>
      <c r="K1184" t="s">
        <v>38</v>
      </c>
      <c r="L1184" t="s">
        <v>29</v>
      </c>
      <c r="M1184" t="s">
        <v>30</v>
      </c>
      <c r="N1184">
        <v>0</v>
      </c>
      <c r="O1184">
        <v>1</v>
      </c>
      <c r="P1184" s="8">
        <f>INT(Delivery_data[[#This Row],[Order Timestamp]])</f>
        <v>45175</v>
      </c>
      <c r="Q1184">
        <f ca="1">IF(Delivery_data[[#This Row],[Order Status]]="In Progress", TODAY()-Delivery_data[[#This Row],[Order Date]], "")</f>
        <v>808</v>
      </c>
      <c r="R1184">
        <f>IF(Delivery_data[[#This Row],[On Time]]=1,0,1)</f>
        <v>1</v>
      </c>
    </row>
    <row r="1185" spans="1:18" x14ac:dyDescent="0.35">
      <c r="A1185">
        <v>1053</v>
      </c>
      <c r="B1185" t="s">
        <v>1296</v>
      </c>
      <c r="C1185" s="1">
        <v>45171.447222222225</v>
      </c>
      <c r="D1185" t="s">
        <v>16</v>
      </c>
      <c r="E1185" t="s">
        <v>64</v>
      </c>
      <c r="F1185" t="s">
        <v>1125</v>
      </c>
      <c r="G1185" t="s">
        <v>19</v>
      </c>
      <c r="H1185">
        <v>66</v>
      </c>
      <c r="I1185">
        <v>13</v>
      </c>
      <c r="J1185" t="s">
        <v>20</v>
      </c>
      <c r="K1185" t="s">
        <v>21</v>
      </c>
      <c r="L1185" t="s">
        <v>29</v>
      </c>
      <c r="M1185" t="s">
        <v>30</v>
      </c>
      <c r="N1185">
        <v>0</v>
      </c>
      <c r="O1185">
        <v>0</v>
      </c>
      <c r="P1185" s="8">
        <f>INT(Delivery_data[[#This Row],[Order Timestamp]])</f>
        <v>45171</v>
      </c>
      <c r="Q1185">
        <f ca="1">IF(Delivery_data[[#This Row],[Order Status]]="In Progress", TODAY()-Delivery_data[[#This Row],[Order Date]], "")</f>
        <v>812</v>
      </c>
      <c r="R1185">
        <f>IF(Delivery_data[[#This Row],[On Time]]=1,0,1)</f>
        <v>1</v>
      </c>
    </row>
    <row r="1186" spans="1:18" x14ac:dyDescent="0.35">
      <c r="A1186">
        <v>1065</v>
      </c>
      <c r="B1186" t="s">
        <v>1297</v>
      </c>
      <c r="C1186" s="1">
        <v>45177.68472222222</v>
      </c>
      <c r="D1186" t="s">
        <v>16</v>
      </c>
      <c r="E1186" t="s">
        <v>139</v>
      </c>
      <c r="F1186" t="s">
        <v>1125</v>
      </c>
      <c r="G1186" t="s">
        <v>463</v>
      </c>
      <c r="H1186">
        <v>238</v>
      </c>
      <c r="I1186">
        <v>7</v>
      </c>
      <c r="J1186" t="s">
        <v>20</v>
      </c>
      <c r="K1186" t="s">
        <v>51</v>
      </c>
      <c r="L1186" t="s">
        <v>29</v>
      </c>
      <c r="M1186" t="s">
        <v>39</v>
      </c>
      <c r="N1186">
        <v>0</v>
      </c>
      <c r="O1186">
        <v>0</v>
      </c>
      <c r="P1186" s="8">
        <f>INT(Delivery_data[[#This Row],[Order Timestamp]])</f>
        <v>45177</v>
      </c>
      <c r="Q1186">
        <f ca="1">IF(Delivery_data[[#This Row],[Order Status]]="In Progress", TODAY()-Delivery_data[[#This Row],[Order Date]], "")</f>
        <v>806</v>
      </c>
      <c r="R1186">
        <f>IF(Delivery_data[[#This Row],[On Time]]=1,0,1)</f>
        <v>1</v>
      </c>
    </row>
    <row r="1187" spans="1:18" x14ac:dyDescent="0.35">
      <c r="A1187">
        <v>1072</v>
      </c>
      <c r="B1187" t="s">
        <v>1298</v>
      </c>
      <c r="C1187" s="1">
        <v>45172.507638888892</v>
      </c>
      <c r="D1187" t="s">
        <v>25</v>
      </c>
      <c r="E1187" t="s">
        <v>216</v>
      </c>
      <c r="F1187" t="s">
        <v>1125</v>
      </c>
      <c r="G1187" t="s">
        <v>463</v>
      </c>
      <c r="H1187">
        <v>67</v>
      </c>
      <c r="I1187">
        <v>23</v>
      </c>
      <c r="J1187" t="s">
        <v>35</v>
      </c>
      <c r="K1187" t="s">
        <v>38</v>
      </c>
      <c r="L1187" t="s">
        <v>29</v>
      </c>
      <c r="M1187" t="s">
        <v>30</v>
      </c>
      <c r="N1187">
        <v>0</v>
      </c>
      <c r="O1187">
        <v>1</v>
      </c>
      <c r="P1187" s="8">
        <f>INT(Delivery_data[[#This Row],[Order Timestamp]])</f>
        <v>45172</v>
      </c>
      <c r="Q1187" t="str">
        <f ca="1">IF(Delivery_data[[#This Row],[Order Status]]="In Progress", TODAY()-Delivery_data[[#This Row],[Order Date]], "")</f>
        <v/>
      </c>
      <c r="R1187">
        <f>IF(Delivery_data[[#This Row],[On Time]]=1,0,1)</f>
        <v>1</v>
      </c>
    </row>
    <row r="1188" spans="1:18" x14ac:dyDescent="0.35">
      <c r="A1188">
        <v>1074</v>
      </c>
      <c r="B1188" t="s">
        <v>1299</v>
      </c>
      <c r="C1188" s="1">
        <v>45176.410416666666</v>
      </c>
      <c r="D1188" t="s">
        <v>16</v>
      </c>
      <c r="E1188" t="s">
        <v>53</v>
      </c>
      <c r="F1188" t="s">
        <v>1125</v>
      </c>
      <c r="G1188" t="s">
        <v>557</v>
      </c>
      <c r="H1188">
        <v>144</v>
      </c>
      <c r="I1188">
        <v>8</v>
      </c>
      <c r="J1188" t="s">
        <v>20</v>
      </c>
      <c r="K1188" t="s">
        <v>38</v>
      </c>
      <c r="L1188" t="s">
        <v>29</v>
      </c>
      <c r="M1188" t="s">
        <v>30</v>
      </c>
      <c r="N1188">
        <v>0</v>
      </c>
      <c r="O1188">
        <v>0</v>
      </c>
      <c r="P1188" s="8">
        <f>INT(Delivery_data[[#This Row],[Order Timestamp]])</f>
        <v>45176</v>
      </c>
      <c r="Q1188">
        <f ca="1">IF(Delivery_data[[#This Row],[Order Status]]="In Progress", TODAY()-Delivery_data[[#This Row],[Order Date]], "")</f>
        <v>807</v>
      </c>
      <c r="R1188">
        <f>IF(Delivery_data[[#This Row],[On Time]]=1,0,1)</f>
        <v>1</v>
      </c>
    </row>
    <row r="1189" spans="1:18" x14ac:dyDescent="0.35">
      <c r="A1189">
        <v>1075</v>
      </c>
      <c r="B1189" t="s">
        <v>1300</v>
      </c>
      <c r="C1189" s="1">
        <v>45172.542361111111</v>
      </c>
      <c r="D1189" t="s">
        <v>16</v>
      </c>
      <c r="E1189" t="s">
        <v>254</v>
      </c>
      <c r="F1189" t="s">
        <v>1125</v>
      </c>
      <c r="G1189" t="s">
        <v>362</v>
      </c>
      <c r="H1189">
        <v>200</v>
      </c>
      <c r="I1189">
        <v>26</v>
      </c>
      <c r="J1189" t="s">
        <v>35</v>
      </c>
      <c r="K1189" t="s">
        <v>33</v>
      </c>
      <c r="L1189" t="s">
        <v>29</v>
      </c>
      <c r="M1189" t="s">
        <v>23</v>
      </c>
      <c r="N1189">
        <v>0</v>
      </c>
      <c r="O1189">
        <v>1</v>
      </c>
      <c r="P1189" s="8">
        <f>INT(Delivery_data[[#This Row],[Order Timestamp]])</f>
        <v>45172</v>
      </c>
      <c r="Q1189">
        <f ca="1">IF(Delivery_data[[#This Row],[Order Status]]="In Progress", TODAY()-Delivery_data[[#This Row],[Order Date]], "")</f>
        <v>811</v>
      </c>
      <c r="R1189">
        <f>IF(Delivery_data[[#This Row],[On Time]]=1,0,1)</f>
        <v>1</v>
      </c>
    </row>
    <row r="1190" spans="1:18" x14ac:dyDescent="0.35">
      <c r="A1190">
        <v>1082</v>
      </c>
      <c r="B1190" t="s">
        <v>1301</v>
      </c>
      <c r="C1190" s="1">
        <v>45170.384027777778</v>
      </c>
      <c r="D1190" t="s">
        <v>16</v>
      </c>
      <c r="E1190" t="s">
        <v>94</v>
      </c>
      <c r="F1190" t="s">
        <v>1125</v>
      </c>
      <c r="G1190" t="s">
        <v>19</v>
      </c>
      <c r="H1190">
        <v>180</v>
      </c>
      <c r="I1190">
        <v>24</v>
      </c>
      <c r="J1190" t="s">
        <v>27</v>
      </c>
      <c r="K1190" t="s">
        <v>33</v>
      </c>
      <c r="L1190" t="s">
        <v>29</v>
      </c>
      <c r="M1190" t="s">
        <v>30</v>
      </c>
      <c r="N1190">
        <v>0</v>
      </c>
      <c r="O1190">
        <v>0</v>
      </c>
      <c r="P1190" s="8">
        <f>INT(Delivery_data[[#This Row],[Order Timestamp]])</f>
        <v>45170</v>
      </c>
      <c r="Q1190">
        <f ca="1">IF(Delivery_data[[#This Row],[Order Status]]="In Progress", TODAY()-Delivery_data[[#This Row],[Order Date]], "")</f>
        <v>813</v>
      </c>
      <c r="R1190">
        <f>IF(Delivery_data[[#This Row],[On Time]]=1,0,1)</f>
        <v>1</v>
      </c>
    </row>
    <row r="1191" spans="1:18" x14ac:dyDescent="0.35">
      <c r="A1191">
        <v>1086</v>
      </c>
      <c r="B1191" t="s">
        <v>1302</v>
      </c>
      <c r="C1191" s="1">
        <v>45174.387499999997</v>
      </c>
      <c r="D1191" t="s">
        <v>25</v>
      </c>
      <c r="E1191" t="s">
        <v>134</v>
      </c>
      <c r="F1191" t="s">
        <v>1125</v>
      </c>
      <c r="G1191" t="s">
        <v>233</v>
      </c>
      <c r="H1191">
        <v>133</v>
      </c>
      <c r="I1191">
        <v>21</v>
      </c>
      <c r="J1191" t="s">
        <v>27</v>
      </c>
      <c r="K1191" t="s">
        <v>51</v>
      </c>
      <c r="L1191" t="s">
        <v>29</v>
      </c>
      <c r="M1191" t="s">
        <v>39</v>
      </c>
      <c r="N1191">
        <v>0</v>
      </c>
      <c r="O1191">
        <v>0</v>
      </c>
      <c r="P1191" s="8">
        <f>INT(Delivery_data[[#This Row],[Order Timestamp]])</f>
        <v>45174</v>
      </c>
      <c r="Q1191" t="str">
        <f ca="1">IF(Delivery_data[[#This Row],[Order Status]]="In Progress", TODAY()-Delivery_data[[#This Row],[Order Date]], "")</f>
        <v/>
      </c>
      <c r="R1191">
        <f>IF(Delivery_data[[#This Row],[On Time]]=1,0,1)</f>
        <v>1</v>
      </c>
    </row>
    <row r="1192" spans="1:18" x14ac:dyDescent="0.35">
      <c r="A1192">
        <v>1088</v>
      </c>
      <c r="B1192" t="s">
        <v>1303</v>
      </c>
      <c r="C1192" s="1">
        <v>45177.609027777777</v>
      </c>
      <c r="D1192" t="s">
        <v>16</v>
      </c>
      <c r="E1192" t="s">
        <v>260</v>
      </c>
      <c r="F1192" t="s">
        <v>1125</v>
      </c>
      <c r="G1192" t="s">
        <v>557</v>
      </c>
      <c r="H1192">
        <v>199</v>
      </c>
      <c r="I1192">
        <v>18</v>
      </c>
      <c r="J1192" t="s">
        <v>35</v>
      </c>
      <c r="K1192" t="s">
        <v>33</v>
      </c>
      <c r="L1192" t="s">
        <v>29</v>
      </c>
      <c r="M1192" t="s">
        <v>30</v>
      </c>
      <c r="N1192">
        <v>0</v>
      </c>
      <c r="O1192">
        <v>1</v>
      </c>
      <c r="P1192" s="8">
        <f>INT(Delivery_data[[#This Row],[Order Timestamp]])</f>
        <v>45177</v>
      </c>
      <c r="Q1192">
        <f ca="1">IF(Delivery_data[[#This Row],[Order Status]]="In Progress", TODAY()-Delivery_data[[#This Row],[Order Date]], "")</f>
        <v>806</v>
      </c>
      <c r="R1192">
        <f>IF(Delivery_data[[#This Row],[On Time]]=1,0,1)</f>
        <v>1</v>
      </c>
    </row>
    <row r="1193" spans="1:18" x14ac:dyDescent="0.35">
      <c r="A1193">
        <v>1110</v>
      </c>
      <c r="B1193" t="s">
        <v>1304</v>
      </c>
      <c r="C1193" s="1">
        <v>45174.694444444445</v>
      </c>
      <c r="D1193" t="s">
        <v>16</v>
      </c>
      <c r="E1193" t="s">
        <v>209</v>
      </c>
      <c r="F1193" t="s">
        <v>1125</v>
      </c>
      <c r="G1193" t="s">
        <v>362</v>
      </c>
      <c r="H1193">
        <v>156</v>
      </c>
      <c r="I1193">
        <v>23</v>
      </c>
      <c r="J1193" t="s">
        <v>35</v>
      </c>
      <c r="K1193" t="s">
        <v>21</v>
      </c>
      <c r="L1193" t="s">
        <v>29</v>
      </c>
      <c r="M1193" t="s">
        <v>39</v>
      </c>
      <c r="N1193">
        <v>0</v>
      </c>
      <c r="O1193">
        <v>1</v>
      </c>
      <c r="P1193" s="8">
        <f>INT(Delivery_data[[#This Row],[Order Timestamp]])</f>
        <v>45174</v>
      </c>
      <c r="Q1193">
        <f ca="1">IF(Delivery_data[[#This Row],[Order Status]]="In Progress", TODAY()-Delivery_data[[#This Row],[Order Date]], "")</f>
        <v>809</v>
      </c>
      <c r="R1193">
        <f>IF(Delivery_data[[#This Row],[On Time]]=1,0,1)</f>
        <v>1</v>
      </c>
    </row>
    <row r="1194" spans="1:18" x14ac:dyDescent="0.35">
      <c r="A1194">
        <v>1113</v>
      </c>
      <c r="B1194" t="s">
        <v>551</v>
      </c>
      <c r="C1194" s="1">
        <v>45171.54791666667</v>
      </c>
      <c r="D1194" t="s">
        <v>25</v>
      </c>
      <c r="E1194" t="s">
        <v>152</v>
      </c>
      <c r="F1194" t="s">
        <v>1125</v>
      </c>
      <c r="G1194" t="s">
        <v>463</v>
      </c>
      <c r="H1194">
        <v>234</v>
      </c>
      <c r="I1194">
        <v>15</v>
      </c>
      <c r="J1194" t="s">
        <v>27</v>
      </c>
      <c r="K1194" t="s">
        <v>38</v>
      </c>
      <c r="L1194" t="s">
        <v>29</v>
      </c>
      <c r="M1194" t="s">
        <v>30</v>
      </c>
      <c r="N1194">
        <v>0</v>
      </c>
      <c r="O1194">
        <v>0</v>
      </c>
      <c r="P1194" s="8">
        <f>INT(Delivery_data[[#This Row],[Order Timestamp]])</f>
        <v>45171</v>
      </c>
      <c r="Q1194" t="str">
        <f ca="1">IF(Delivery_data[[#This Row],[Order Status]]="In Progress", TODAY()-Delivery_data[[#This Row],[Order Date]], "")</f>
        <v/>
      </c>
      <c r="R1194">
        <f>IF(Delivery_data[[#This Row],[On Time]]=1,0,1)</f>
        <v>1</v>
      </c>
    </row>
    <row r="1195" spans="1:18" x14ac:dyDescent="0.35">
      <c r="A1195">
        <v>1118</v>
      </c>
      <c r="B1195" t="s">
        <v>1305</v>
      </c>
      <c r="C1195" s="1">
        <v>45177.629861111112</v>
      </c>
      <c r="D1195" t="s">
        <v>16</v>
      </c>
      <c r="E1195" t="s">
        <v>44</v>
      </c>
      <c r="F1195" t="s">
        <v>1125</v>
      </c>
      <c r="G1195" t="s">
        <v>557</v>
      </c>
      <c r="H1195">
        <v>193</v>
      </c>
      <c r="I1195">
        <v>23</v>
      </c>
      <c r="J1195" t="s">
        <v>20</v>
      </c>
      <c r="K1195" t="s">
        <v>51</v>
      </c>
      <c r="L1195" t="s">
        <v>29</v>
      </c>
      <c r="M1195" t="s">
        <v>30</v>
      </c>
      <c r="N1195">
        <v>0</v>
      </c>
      <c r="O1195">
        <v>0</v>
      </c>
      <c r="P1195" s="8">
        <f>INT(Delivery_data[[#This Row],[Order Timestamp]])</f>
        <v>45177</v>
      </c>
      <c r="Q1195">
        <f ca="1">IF(Delivery_data[[#This Row],[Order Status]]="In Progress", TODAY()-Delivery_data[[#This Row],[Order Date]], "")</f>
        <v>806</v>
      </c>
      <c r="R1195">
        <f>IF(Delivery_data[[#This Row],[On Time]]=1,0,1)</f>
        <v>1</v>
      </c>
    </row>
    <row r="1196" spans="1:18" x14ac:dyDescent="0.35">
      <c r="A1196">
        <v>1129</v>
      </c>
      <c r="B1196" t="s">
        <v>1306</v>
      </c>
      <c r="C1196" s="1">
        <v>45175.570138888892</v>
      </c>
      <c r="D1196" t="s">
        <v>25</v>
      </c>
      <c r="E1196" t="s">
        <v>178</v>
      </c>
      <c r="F1196" t="s">
        <v>1125</v>
      </c>
      <c r="G1196" t="s">
        <v>19</v>
      </c>
      <c r="H1196">
        <v>195</v>
      </c>
      <c r="I1196">
        <v>22</v>
      </c>
      <c r="J1196" t="s">
        <v>27</v>
      </c>
      <c r="K1196" t="s">
        <v>28</v>
      </c>
      <c r="L1196" t="s">
        <v>29</v>
      </c>
      <c r="M1196" t="s">
        <v>23</v>
      </c>
      <c r="N1196">
        <v>0</v>
      </c>
      <c r="O1196">
        <v>0</v>
      </c>
      <c r="P1196" s="8">
        <f>INT(Delivery_data[[#This Row],[Order Timestamp]])</f>
        <v>45175</v>
      </c>
      <c r="Q1196" t="str">
        <f ca="1">IF(Delivery_data[[#This Row],[Order Status]]="In Progress", TODAY()-Delivery_data[[#This Row],[Order Date]], "")</f>
        <v/>
      </c>
      <c r="R1196">
        <f>IF(Delivery_data[[#This Row],[On Time]]=1,0,1)</f>
        <v>1</v>
      </c>
    </row>
    <row r="1197" spans="1:18" x14ac:dyDescent="0.35">
      <c r="A1197">
        <v>1137</v>
      </c>
      <c r="B1197" t="s">
        <v>738</v>
      </c>
      <c r="C1197" s="1">
        <v>45174.538194444445</v>
      </c>
      <c r="D1197" t="s">
        <v>16</v>
      </c>
      <c r="E1197" t="s">
        <v>287</v>
      </c>
      <c r="F1197" t="s">
        <v>1125</v>
      </c>
      <c r="G1197" t="s">
        <v>463</v>
      </c>
      <c r="H1197">
        <v>132</v>
      </c>
      <c r="I1197">
        <v>21</v>
      </c>
      <c r="J1197" t="s">
        <v>35</v>
      </c>
      <c r="K1197" t="s">
        <v>38</v>
      </c>
      <c r="L1197" t="s">
        <v>29</v>
      </c>
      <c r="M1197" t="s">
        <v>30</v>
      </c>
      <c r="N1197">
        <v>0</v>
      </c>
      <c r="O1197">
        <v>1</v>
      </c>
      <c r="P1197" s="8">
        <f>INT(Delivery_data[[#This Row],[Order Timestamp]])</f>
        <v>45174</v>
      </c>
      <c r="Q1197">
        <f ca="1">IF(Delivery_data[[#This Row],[Order Status]]="In Progress", TODAY()-Delivery_data[[#This Row],[Order Date]], "")</f>
        <v>809</v>
      </c>
      <c r="R1197">
        <f>IF(Delivery_data[[#This Row],[On Time]]=1,0,1)</f>
        <v>1</v>
      </c>
    </row>
    <row r="1198" spans="1:18" x14ac:dyDescent="0.35">
      <c r="A1198">
        <v>1145</v>
      </c>
      <c r="B1198" t="s">
        <v>1307</v>
      </c>
      <c r="C1198" s="1">
        <v>45177.384027777778</v>
      </c>
      <c r="D1198" t="s">
        <v>25</v>
      </c>
      <c r="E1198" t="s">
        <v>287</v>
      </c>
      <c r="F1198" t="s">
        <v>1125</v>
      </c>
      <c r="G1198" t="s">
        <v>19</v>
      </c>
      <c r="H1198">
        <v>221</v>
      </c>
      <c r="I1198">
        <v>16</v>
      </c>
      <c r="J1198" t="s">
        <v>27</v>
      </c>
      <c r="K1198" t="s">
        <v>28</v>
      </c>
      <c r="L1198" t="s">
        <v>29</v>
      </c>
      <c r="M1198" t="s">
        <v>23</v>
      </c>
      <c r="N1198">
        <v>0</v>
      </c>
      <c r="O1198">
        <v>0</v>
      </c>
      <c r="P1198" s="8">
        <f>INT(Delivery_data[[#This Row],[Order Timestamp]])</f>
        <v>45177</v>
      </c>
      <c r="Q1198" t="str">
        <f ca="1">IF(Delivery_data[[#This Row],[Order Status]]="In Progress", TODAY()-Delivery_data[[#This Row],[Order Date]], "")</f>
        <v/>
      </c>
      <c r="R1198">
        <f>IF(Delivery_data[[#This Row],[On Time]]=1,0,1)</f>
        <v>1</v>
      </c>
    </row>
    <row r="1199" spans="1:18" x14ac:dyDescent="0.35">
      <c r="A1199">
        <v>1171</v>
      </c>
      <c r="B1199" t="s">
        <v>1308</v>
      </c>
      <c r="C1199" s="1">
        <v>45177.488194444442</v>
      </c>
      <c r="D1199" t="s">
        <v>16</v>
      </c>
      <c r="E1199" t="s">
        <v>46</v>
      </c>
      <c r="F1199" t="s">
        <v>1125</v>
      </c>
      <c r="G1199" t="s">
        <v>233</v>
      </c>
      <c r="H1199">
        <v>137</v>
      </c>
      <c r="I1199">
        <v>23</v>
      </c>
      <c r="J1199" t="s">
        <v>35</v>
      </c>
      <c r="K1199" t="s">
        <v>51</v>
      </c>
      <c r="L1199" t="s">
        <v>29</v>
      </c>
      <c r="M1199" t="s">
        <v>39</v>
      </c>
      <c r="N1199">
        <v>0</v>
      </c>
      <c r="O1199">
        <v>1</v>
      </c>
      <c r="P1199" s="8">
        <f>INT(Delivery_data[[#This Row],[Order Timestamp]])</f>
        <v>45177</v>
      </c>
      <c r="Q1199">
        <f ca="1">IF(Delivery_data[[#This Row],[Order Status]]="In Progress", TODAY()-Delivery_data[[#This Row],[Order Date]], "")</f>
        <v>806</v>
      </c>
      <c r="R1199">
        <f>IF(Delivery_data[[#This Row],[On Time]]=1,0,1)</f>
        <v>1</v>
      </c>
    </row>
    <row r="1200" spans="1:18" x14ac:dyDescent="0.35">
      <c r="A1200">
        <v>1173</v>
      </c>
      <c r="B1200" t="s">
        <v>1309</v>
      </c>
      <c r="C1200" s="1">
        <v>45170.434027777781</v>
      </c>
      <c r="D1200" t="s">
        <v>16</v>
      </c>
      <c r="E1200" t="s">
        <v>98</v>
      </c>
      <c r="F1200" t="s">
        <v>1125</v>
      </c>
      <c r="G1200" t="s">
        <v>233</v>
      </c>
      <c r="H1200">
        <v>121</v>
      </c>
      <c r="I1200">
        <v>29</v>
      </c>
      <c r="J1200" t="s">
        <v>20</v>
      </c>
      <c r="K1200" t="s">
        <v>21</v>
      </c>
      <c r="L1200" t="s">
        <v>29</v>
      </c>
      <c r="M1200" t="s">
        <v>23</v>
      </c>
      <c r="N1200">
        <v>0</v>
      </c>
      <c r="O1200">
        <v>0</v>
      </c>
      <c r="P1200" s="8">
        <f>INT(Delivery_data[[#This Row],[Order Timestamp]])</f>
        <v>45170</v>
      </c>
      <c r="Q1200">
        <f ca="1">IF(Delivery_data[[#This Row],[Order Status]]="In Progress", TODAY()-Delivery_data[[#This Row],[Order Date]], "")</f>
        <v>813</v>
      </c>
      <c r="R1200">
        <f>IF(Delivery_data[[#This Row],[On Time]]=1,0,1)</f>
        <v>1</v>
      </c>
    </row>
    <row r="1201" spans="1:18" x14ac:dyDescent="0.35">
      <c r="A1201">
        <v>1188</v>
      </c>
      <c r="B1201" t="s">
        <v>1310</v>
      </c>
      <c r="C1201" s="1">
        <v>45174.436805555553</v>
      </c>
      <c r="D1201" t="s">
        <v>16</v>
      </c>
      <c r="E1201" t="s">
        <v>212</v>
      </c>
      <c r="F1201" t="s">
        <v>1125</v>
      </c>
      <c r="G1201" t="s">
        <v>233</v>
      </c>
      <c r="H1201">
        <v>70</v>
      </c>
      <c r="I1201">
        <v>12</v>
      </c>
      <c r="J1201" t="s">
        <v>20</v>
      </c>
      <c r="K1201" t="s">
        <v>33</v>
      </c>
      <c r="L1201" t="s">
        <v>29</v>
      </c>
      <c r="M1201" t="s">
        <v>30</v>
      </c>
      <c r="N1201">
        <v>0</v>
      </c>
      <c r="O1201">
        <v>0</v>
      </c>
      <c r="P1201" s="8">
        <f>INT(Delivery_data[[#This Row],[Order Timestamp]])</f>
        <v>45174</v>
      </c>
      <c r="Q1201">
        <f ca="1">IF(Delivery_data[[#This Row],[Order Status]]="In Progress", TODAY()-Delivery_data[[#This Row],[Order Date]], "")</f>
        <v>809</v>
      </c>
      <c r="R1201">
        <f>IF(Delivery_data[[#This Row],[On Time]]=1,0,1)</f>
        <v>1</v>
      </c>
    </row>
    <row r="1202" spans="1:18" x14ac:dyDescent="0.35">
      <c r="A1202">
        <v>1191</v>
      </c>
      <c r="B1202" t="s">
        <v>1311</v>
      </c>
      <c r="C1202" s="1">
        <v>45170.387499999997</v>
      </c>
      <c r="D1202" t="s">
        <v>25</v>
      </c>
      <c r="E1202" t="s">
        <v>216</v>
      </c>
      <c r="F1202" t="s">
        <v>1125</v>
      </c>
      <c r="G1202" t="s">
        <v>19</v>
      </c>
      <c r="H1202">
        <v>147</v>
      </c>
      <c r="I1202">
        <v>6</v>
      </c>
      <c r="J1202" t="s">
        <v>20</v>
      </c>
      <c r="K1202" t="s">
        <v>21</v>
      </c>
      <c r="L1202" t="s">
        <v>29</v>
      </c>
      <c r="M1202" t="s">
        <v>30</v>
      </c>
      <c r="N1202">
        <v>0</v>
      </c>
      <c r="O1202">
        <v>0</v>
      </c>
      <c r="P1202" s="8">
        <f>INT(Delivery_data[[#This Row],[Order Timestamp]])</f>
        <v>45170</v>
      </c>
      <c r="Q1202" t="str">
        <f ca="1">IF(Delivery_data[[#This Row],[Order Status]]="In Progress", TODAY()-Delivery_data[[#This Row],[Order Date]], "")</f>
        <v/>
      </c>
      <c r="R1202">
        <f>IF(Delivery_data[[#This Row],[On Time]]=1,0,1)</f>
        <v>1</v>
      </c>
    </row>
    <row r="1203" spans="1:18" x14ac:dyDescent="0.35">
      <c r="A1203">
        <v>1204</v>
      </c>
      <c r="B1203" t="s">
        <v>1312</v>
      </c>
      <c r="C1203" s="1">
        <v>45173.428472222222</v>
      </c>
      <c r="D1203" t="s">
        <v>25</v>
      </c>
      <c r="E1203" t="s">
        <v>325</v>
      </c>
      <c r="F1203" t="s">
        <v>1125</v>
      </c>
      <c r="G1203" t="s">
        <v>19</v>
      </c>
      <c r="H1203">
        <v>101</v>
      </c>
      <c r="I1203">
        <v>24</v>
      </c>
      <c r="J1203" t="s">
        <v>35</v>
      </c>
      <c r="K1203" t="s">
        <v>28</v>
      </c>
      <c r="L1203" t="s">
        <v>29</v>
      </c>
      <c r="M1203" t="s">
        <v>30</v>
      </c>
      <c r="N1203">
        <v>0</v>
      </c>
      <c r="O1203">
        <v>1</v>
      </c>
      <c r="P1203" s="8">
        <f>INT(Delivery_data[[#This Row],[Order Timestamp]])</f>
        <v>45173</v>
      </c>
      <c r="Q1203" t="str">
        <f ca="1">IF(Delivery_data[[#This Row],[Order Status]]="In Progress", TODAY()-Delivery_data[[#This Row],[Order Date]], "")</f>
        <v/>
      </c>
      <c r="R1203">
        <f>IF(Delivery_data[[#This Row],[On Time]]=1,0,1)</f>
        <v>1</v>
      </c>
    </row>
    <row r="1204" spans="1:18" x14ac:dyDescent="0.35">
      <c r="A1204">
        <v>1231</v>
      </c>
      <c r="B1204" t="s">
        <v>1313</v>
      </c>
      <c r="C1204" s="1">
        <v>45174.380555555559</v>
      </c>
      <c r="D1204" t="s">
        <v>16</v>
      </c>
      <c r="E1204" t="s">
        <v>225</v>
      </c>
      <c r="F1204" t="s">
        <v>1125</v>
      </c>
      <c r="G1204" t="s">
        <v>463</v>
      </c>
      <c r="H1204">
        <v>237</v>
      </c>
      <c r="I1204">
        <v>8</v>
      </c>
      <c r="J1204" t="s">
        <v>27</v>
      </c>
      <c r="K1204" t="s">
        <v>33</v>
      </c>
      <c r="L1204" t="s">
        <v>29</v>
      </c>
      <c r="M1204" t="s">
        <v>30</v>
      </c>
      <c r="N1204">
        <v>0</v>
      </c>
      <c r="O1204">
        <v>0</v>
      </c>
      <c r="P1204" s="8">
        <f>INT(Delivery_data[[#This Row],[Order Timestamp]])</f>
        <v>45174</v>
      </c>
      <c r="Q1204">
        <f ca="1">IF(Delivery_data[[#This Row],[Order Status]]="In Progress", TODAY()-Delivery_data[[#This Row],[Order Date]], "")</f>
        <v>809</v>
      </c>
      <c r="R1204">
        <f>IF(Delivery_data[[#This Row],[On Time]]=1,0,1)</f>
        <v>1</v>
      </c>
    </row>
    <row r="1205" spans="1:18" x14ac:dyDescent="0.35">
      <c r="A1205">
        <v>1245</v>
      </c>
      <c r="B1205" t="s">
        <v>1314</v>
      </c>
      <c r="C1205" s="1">
        <v>45173.628472222219</v>
      </c>
      <c r="D1205" t="s">
        <v>25</v>
      </c>
      <c r="E1205" t="s">
        <v>271</v>
      </c>
      <c r="F1205" t="s">
        <v>1125</v>
      </c>
      <c r="G1205" t="s">
        <v>233</v>
      </c>
      <c r="H1205">
        <v>64</v>
      </c>
      <c r="I1205">
        <v>8</v>
      </c>
      <c r="J1205" t="s">
        <v>27</v>
      </c>
      <c r="K1205" t="s">
        <v>28</v>
      </c>
      <c r="L1205" t="s">
        <v>29</v>
      </c>
      <c r="M1205" t="s">
        <v>39</v>
      </c>
      <c r="N1205">
        <v>0</v>
      </c>
      <c r="O1205">
        <v>0</v>
      </c>
      <c r="P1205" s="8">
        <f>INT(Delivery_data[[#This Row],[Order Timestamp]])</f>
        <v>45173</v>
      </c>
      <c r="Q1205" t="str">
        <f ca="1">IF(Delivery_data[[#This Row],[Order Status]]="In Progress", TODAY()-Delivery_data[[#This Row],[Order Date]], "")</f>
        <v/>
      </c>
      <c r="R1205">
        <f>IF(Delivery_data[[#This Row],[On Time]]=1,0,1)</f>
        <v>1</v>
      </c>
    </row>
    <row r="1206" spans="1:18" x14ac:dyDescent="0.35">
      <c r="A1206">
        <v>1250</v>
      </c>
      <c r="B1206" t="s">
        <v>1315</v>
      </c>
      <c r="C1206" s="1">
        <v>45174.515972222223</v>
      </c>
      <c r="D1206" t="s">
        <v>25</v>
      </c>
      <c r="E1206" t="s">
        <v>206</v>
      </c>
      <c r="F1206" t="s">
        <v>1125</v>
      </c>
      <c r="G1206" t="s">
        <v>233</v>
      </c>
      <c r="H1206">
        <v>97</v>
      </c>
      <c r="I1206">
        <v>5</v>
      </c>
      <c r="J1206" t="s">
        <v>35</v>
      </c>
      <c r="K1206" t="s">
        <v>51</v>
      </c>
      <c r="L1206" t="s">
        <v>29</v>
      </c>
      <c r="M1206" t="s">
        <v>39</v>
      </c>
      <c r="N1206">
        <v>0</v>
      </c>
      <c r="O1206">
        <v>1</v>
      </c>
      <c r="P1206" s="8">
        <f>INT(Delivery_data[[#This Row],[Order Timestamp]])</f>
        <v>45174</v>
      </c>
      <c r="Q1206" t="str">
        <f ca="1">IF(Delivery_data[[#This Row],[Order Status]]="In Progress", TODAY()-Delivery_data[[#This Row],[Order Date]], "")</f>
        <v/>
      </c>
      <c r="R1206">
        <f>IF(Delivery_data[[#This Row],[On Time]]=1,0,1)</f>
        <v>1</v>
      </c>
    </row>
    <row r="1207" spans="1:18" x14ac:dyDescent="0.35">
      <c r="A1207">
        <v>1260</v>
      </c>
      <c r="B1207" t="s">
        <v>1316</v>
      </c>
      <c r="C1207" s="1">
        <v>45177.590277777781</v>
      </c>
      <c r="D1207" t="s">
        <v>25</v>
      </c>
      <c r="E1207" t="s">
        <v>74</v>
      </c>
      <c r="F1207" t="s">
        <v>1125</v>
      </c>
      <c r="G1207" t="s">
        <v>19</v>
      </c>
      <c r="H1207">
        <v>193</v>
      </c>
      <c r="I1207">
        <v>5</v>
      </c>
      <c r="J1207" t="s">
        <v>27</v>
      </c>
      <c r="K1207" t="s">
        <v>38</v>
      </c>
      <c r="L1207" t="s">
        <v>29</v>
      </c>
      <c r="M1207" t="s">
        <v>23</v>
      </c>
      <c r="N1207">
        <v>0</v>
      </c>
      <c r="O1207">
        <v>0</v>
      </c>
      <c r="P1207" s="8">
        <f>INT(Delivery_data[[#This Row],[Order Timestamp]])</f>
        <v>45177</v>
      </c>
      <c r="Q1207" t="str">
        <f ca="1">IF(Delivery_data[[#This Row],[Order Status]]="In Progress", TODAY()-Delivery_data[[#This Row],[Order Date]], "")</f>
        <v/>
      </c>
      <c r="R1207">
        <f>IF(Delivery_data[[#This Row],[On Time]]=1,0,1)</f>
        <v>1</v>
      </c>
    </row>
    <row r="1208" spans="1:18" x14ac:dyDescent="0.35">
      <c r="A1208">
        <v>1275</v>
      </c>
      <c r="B1208" t="s">
        <v>1317</v>
      </c>
      <c r="C1208" s="1">
        <v>45171.552083333336</v>
      </c>
      <c r="D1208" t="s">
        <v>16</v>
      </c>
      <c r="E1208" t="s">
        <v>91</v>
      </c>
      <c r="F1208" t="s">
        <v>1125</v>
      </c>
      <c r="G1208" t="s">
        <v>557</v>
      </c>
      <c r="H1208">
        <v>114</v>
      </c>
      <c r="I1208">
        <v>9</v>
      </c>
      <c r="J1208" t="s">
        <v>20</v>
      </c>
      <c r="K1208" t="s">
        <v>38</v>
      </c>
      <c r="L1208" t="s">
        <v>29</v>
      </c>
      <c r="M1208" t="s">
        <v>39</v>
      </c>
      <c r="N1208">
        <v>0</v>
      </c>
      <c r="O1208">
        <v>0</v>
      </c>
      <c r="P1208" s="8">
        <f>INT(Delivery_data[[#This Row],[Order Timestamp]])</f>
        <v>45171</v>
      </c>
      <c r="Q1208">
        <f ca="1">IF(Delivery_data[[#This Row],[Order Status]]="In Progress", TODAY()-Delivery_data[[#This Row],[Order Date]], "")</f>
        <v>812</v>
      </c>
      <c r="R1208">
        <f>IF(Delivery_data[[#This Row],[On Time]]=1,0,1)</f>
        <v>1</v>
      </c>
    </row>
    <row r="1209" spans="1:18" x14ac:dyDescent="0.35">
      <c r="A1209">
        <v>1276</v>
      </c>
      <c r="B1209" t="s">
        <v>1318</v>
      </c>
      <c r="C1209" s="1">
        <v>45172.576388888891</v>
      </c>
      <c r="D1209" t="s">
        <v>16</v>
      </c>
      <c r="E1209" t="s">
        <v>98</v>
      </c>
      <c r="F1209" t="s">
        <v>1125</v>
      </c>
      <c r="G1209" t="s">
        <v>557</v>
      </c>
      <c r="H1209">
        <v>148</v>
      </c>
      <c r="I1209">
        <v>29</v>
      </c>
      <c r="J1209" t="s">
        <v>35</v>
      </c>
      <c r="K1209" t="s">
        <v>33</v>
      </c>
      <c r="L1209" t="s">
        <v>29</v>
      </c>
      <c r="M1209" t="s">
        <v>39</v>
      </c>
      <c r="N1209">
        <v>0</v>
      </c>
      <c r="O1209">
        <v>1</v>
      </c>
      <c r="P1209" s="8">
        <f>INT(Delivery_data[[#This Row],[Order Timestamp]])</f>
        <v>45172</v>
      </c>
      <c r="Q1209">
        <f ca="1">IF(Delivery_data[[#This Row],[Order Status]]="In Progress", TODAY()-Delivery_data[[#This Row],[Order Date]], "")</f>
        <v>811</v>
      </c>
      <c r="R1209">
        <f>IF(Delivery_data[[#This Row],[On Time]]=1,0,1)</f>
        <v>1</v>
      </c>
    </row>
    <row r="1210" spans="1:18" x14ac:dyDescent="0.35">
      <c r="A1210">
        <v>1286</v>
      </c>
      <c r="B1210" t="s">
        <v>1319</v>
      </c>
      <c r="C1210" s="1">
        <v>45170.637499999997</v>
      </c>
      <c r="D1210" t="s">
        <v>16</v>
      </c>
      <c r="E1210" t="s">
        <v>271</v>
      </c>
      <c r="F1210" t="s">
        <v>1125</v>
      </c>
      <c r="G1210" t="s">
        <v>19</v>
      </c>
      <c r="H1210">
        <v>104</v>
      </c>
      <c r="I1210">
        <v>22</v>
      </c>
      <c r="J1210" t="s">
        <v>27</v>
      </c>
      <c r="K1210" t="s">
        <v>38</v>
      </c>
      <c r="L1210" t="s">
        <v>29</v>
      </c>
      <c r="M1210" t="s">
        <v>23</v>
      </c>
      <c r="N1210">
        <v>0</v>
      </c>
      <c r="O1210">
        <v>0</v>
      </c>
      <c r="P1210" s="8">
        <f>INT(Delivery_data[[#This Row],[Order Timestamp]])</f>
        <v>45170</v>
      </c>
      <c r="Q1210">
        <f ca="1">IF(Delivery_data[[#This Row],[Order Status]]="In Progress", TODAY()-Delivery_data[[#This Row],[Order Date]], "")</f>
        <v>813</v>
      </c>
      <c r="R1210">
        <f>IF(Delivery_data[[#This Row],[On Time]]=1,0,1)</f>
        <v>1</v>
      </c>
    </row>
    <row r="1211" spans="1:18" x14ac:dyDescent="0.35">
      <c r="A1211">
        <v>1296</v>
      </c>
      <c r="B1211" t="s">
        <v>1320</v>
      </c>
      <c r="C1211" s="1">
        <v>45172.70416666667</v>
      </c>
      <c r="D1211" t="s">
        <v>25</v>
      </c>
      <c r="E1211" t="s">
        <v>85</v>
      </c>
      <c r="F1211" t="s">
        <v>1125</v>
      </c>
      <c r="G1211" t="s">
        <v>233</v>
      </c>
      <c r="H1211">
        <v>177</v>
      </c>
      <c r="I1211">
        <v>25</v>
      </c>
      <c r="J1211" t="s">
        <v>35</v>
      </c>
      <c r="K1211" t="s">
        <v>33</v>
      </c>
      <c r="L1211" t="s">
        <v>29</v>
      </c>
      <c r="M1211" t="s">
        <v>39</v>
      </c>
      <c r="N1211">
        <v>0</v>
      </c>
      <c r="O1211">
        <v>1</v>
      </c>
      <c r="P1211" s="8">
        <f>INT(Delivery_data[[#This Row],[Order Timestamp]])</f>
        <v>45172</v>
      </c>
      <c r="Q1211" t="str">
        <f ca="1">IF(Delivery_data[[#This Row],[Order Status]]="In Progress", TODAY()-Delivery_data[[#This Row],[Order Date]], "")</f>
        <v/>
      </c>
      <c r="R1211">
        <f>IF(Delivery_data[[#This Row],[On Time]]=1,0,1)</f>
        <v>1</v>
      </c>
    </row>
    <row r="1212" spans="1:18" x14ac:dyDescent="0.35">
      <c r="A1212">
        <v>1301</v>
      </c>
      <c r="B1212" t="s">
        <v>1321</v>
      </c>
      <c r="C1212" s="1">
        <v>45177.474305555559</v>
      </c>
      <c r="D1212" t="s">
        <v>25</v>
      </c>
      <c r="E1212" t="s">
        <v>227</v>
      </c>
      <c r="F1212" t="s">
        <v>1125</v>
      </c>
      <c r="G1212" t="s">
        <v>463</v>
      </c>
      <c r="H1212">
        <v>178</v>
      </c>
      <c r="I1212">
        <v>11</v>
      </c>
      <c r="J1212" t="s">
        <v>35</v>
      </c>
      <c r="K1212" t="s">
        <v>33</v>
      </c>
      <c r="L1212" t="s">
        <v>29</v>
      </c>
      <c r="M1212" t="s">
        <v>23</v>
      </c>
      <c r="N1212">
        <v>0</v>
      </c>
      <c r="O1212">
        <v>1</v>
      </c>
      <c r="P1212" s="8">
        <f>INT(Delivery_data[[#This Row],[Order Timestamp]])</f>
        <v>45177</v>
      </c>
      <c r="Q1212" t="str">
        <f ca="1">IF(Delivery_data[[#This Row],[Order Status]]="In Progress", TODAY()-Delivery_data[[#This Row],[Order Date]], "")</f>
        <v/>
      </c>
      <c r="R1212">
        <f>IF(Delivery_data[[#This Row],[On Time]]=1,0,1)</f>
        <v>1</v>
      </c>
    </row>
    <row r="1213" spans="1:18" x14ac:dyDescent="0.35">
      <c r="A1213">
        <v>1313</v>
      </c>
      <c r="B1213" t="s">
        <v>1322</v>
      </c>
      <c r="C1213" s="1">
        <v>45170.674305555556</v>
      </c>
      <c r="D1213" t="s">
        <v>25</v>
      </c>
      <c r="E1213" t="s">
        <v>58</v>
      </c>
      <c r="F1213" t="s">
        <v>1125</v>
      </c>
      <c r="G1213" t="s">
        <v>463</v>
      </c>
      <c r="H1213">
        <v>182</v>
      </c>
      <c r="I1213">
        <v>15</v>
      </c>
      <c r="J1213" t="s">
        <v>35</v>
      </c>
      <c r="K1213" t="s">
        <v>33</v>
      </c>
      <c r="L1213" t="s">
        <v>29</v>
      </c>
      <c r="M1213" t="s">
        <v>23</v>
      </c>
      <c r="N1213">
        <v>0</v>
      </c>
      <c r="O1213">
        <v>1</v>
      </c>
      <c r="P1213" s="8">
        <f>INT(Delivery_data[[#This Row],[Order Timestamp]])</f>
        <v>45170</v>
      </c>
      <c r="Q1213" t="str">
        <f ca="1">IF(Delivery_data[[#This Row],[Order Status]]="In Progress", TODAY()-Delivery_data[[#This Row],[Order Date]], "")</f>
        <v/>
      </c>
      <c r="R1213">
        <f>IF(Delivery_data[[#This Row],[On Time]]=1,0,1)</f>
        <v>1</v>
      </c>
    </row>
    <row r="1214" spans="1:18" x14ac:dyDescent="0.35">
      <c r="A1214">
        <v>1328</v>
      </c>
      <c r="B1214" t="s">
        <v>1323</v>
      </c>
      <c r="C1214" s="1">
        <v>45171.539583333331</v>
      </c>
      <c r="D1214" t="s">
        <v>16</v>
      </c>
      <c r="E1214" t="s">
        <v>227</v>
      </c>
      <c r="F1214" t="s">
        <v>1125</v>
      </c>
      <c r="G1214" t="s">
        <v>362</v>
      </c>
      <c r="H1214">
        <v>143</v>
      </c>
      <c r="I1214">
        <v>14</v>
      </c>
      <c r="J1214" t="s">
        <v>20</v>
      </c>
      <c r="K1214" t="s">
        <v>28</v>
      </c>
      <c r="L1214" t="s">
        <v>29</v>
      </c>
      <c r="M1214" t="s">
        <v>23</v>
      </c>
      <c r="N1214">
        <v>0</v>
      </c>
      <c r="O1214">
        <v>0</v>
      </c>
      <c r="P1214" s="8">
        <f>INT(Delivery_data[[#This Row],[Order Timestamp]])</f>
        <v>45171</v>
      </c>
      <c r="Q1214">
        <f ca="1">IF(Delivery_data[[#This Row],[Order Status]]="In Progress", TODAY()-Delivery_data[[#This Row],[Order Date]], "")</f>
        <v>812</v>
      </c>
      <c r="R1214">
        <f>IF(Delivery_data[[#This Row],[On Time]]=1,0,1)</f>
        <v>1</v>
      </c>
    </row>
    <row r="1215" spans="1:18" x14ac:dyDescent="0.35">
      <c r="A1215">
        <v>1331</v>
      </c>
      <c r="B1215" t="s">
        <v>1324</v>
      </c>
      <c r="C1215" s="1">
        <v>45173.695138888892</v>
      </c>
      <c r="D1215" t="s">
        <v>16</v>
      </c>
      <c r="E1215" t="s">
        <v>70</v>
      </c>
      <c r="F1215" t="s">
        <v>1125</v>
      </c>
      <c r="G1215" t="s">
        <v>362</v>
      </c>
      <c r="H1215">
        <v>91</v>
      </c>
      <c r="I1215">
        <v>17</v>
      </c>
      <c r="J1215" t="s">
        <v>20</v>
      </c>
      <c r="K1215" t="s">
        <v>51</v>
      </c>
      <c r="L1215" t="s">
        <v>29</v>
      </c>
      <c r="M1215" t="s">
        <v>39</v>
      </c>
      <c r="N1215">
        <v>0</v>
      </c>
      <c r="O1215">
        <v>0</v>
      </c>
      <c r="P1215" s="8">
        <f>INT(Delivery_data[[#This Row],[Order Timestamp]])</f>
        <v>45173</v>
      </c>
      <c r="Q1215">
        <f ca="1">IF(Delivery_data[[#This Row],[Order Status]]="In Progress", TODAY()-Delivery_data[[#This Row],[Order Date]], "")</f>
        <v>810</v>
      </c>
      <c r="R1215">
        <f>IF(Delivery_data[[#This Row],[On Time]]=1,0,1)</f>
        <v>1</v>
      </c>
    </row>
    <row r="1216" spans="1:18" x14ac:dyDescent="0.35">
      <c r="A1216">
        <v>1344</v>
      </c>
      <c r="B1216" t="s">
        <v>606</v>
      </c>
      <c r="C1216" s="1">
        <v>45175.440972222219</v>
      </c>
      <c r="D1216" t="s">
        <v>16</v>
      </c>
      <c r="E1216" t="s">
        <v>320</v>
      </c>
      <c r="F1216" t="s">
        <v>1125</v>
      </c>
      <c r="G1216" t="s">
        <v>463</v>
      </c>
      <c r="H1216">
        <v>156</v>
      </c>
      <c r="I1216">
        <v>15</v>
      </c>
      <c r="J1216" t="s">
        <v>27</v>
      </c>
      <c r="K1216" t="s">
        <v>21</v>
      </c>
      <c r="L1216" t="s">
        <v>29</v>
      </c>
      <c r="M1216" t="s">
        <v>39</v>
      </c>
      <c r="N1216">
        <v>0</v>
      </c>
      <c r="O1216">
        <v>0</v>
      </c>
      <c r="P1216" s="8">
        <f>INT(Delivery_data[[#This Row],[Order Timestamp]])</f>
        <v>45175</v>
      </c>
      <c r="Q1216">
        <f ca="1">IF(Delivery_data[[#This Row],[Order Status]]="In Progress", TODAY()-Delivery_data[[#This Row],[Order Date]], "")</f>
        <v>808</v>
      </c>
      <c r="R1216">
        <f>IF(Delivery_data[[#This Row],[On Time]]=1,0,1)</f>
        <v>1</v>
      </c>
    </row>
    <row r="1217" spans="1:18" x14ac:dyDescent="0.35">
      <c r="A1217">
        <v>1346</v>
      </c>
      <c r="B1217" t="s">
        <v>1325</v>
      </c>
      <c r="C1217" s="1">
        <v>45175.457638888889</v>
      </c>
      <c r="D1217" t="s">
        <v>25</v>
      </c>
      <c r="E1217" t="s">
        <v>41</v>
      </c>
      <c r="F1217" t="s">
        <v>1125</v>
      </c>
      <c r="G1217" t="s">
        <v>19</v>
      </c>
      <c r="H1217">
        <v>110</v>
      </c>
      <c r="I1217">
        <v>12</v>
      </c>
      <c r="J1217" t="s">
        <v>27</v>
      </c>
      <c r="K1217" t="s">
        <v>51</v>
      </c>
      <c r="L1217" t="s">
        <v>29</v>
      </c>
      <c r="M1217" t="s">
        <v>23</v>
      </c>
      <c r="N1217">
        <v>0</v>
      </c>
      <c r="O1217">
        <v>0</v>
      </c>
      <c r="P1217" s="8">
        <f>INT(Delivery_data[[#This Row],[Order Timestamp]])</f>
        <v>45175</v>
      </c>
      <c r="Q1217" t="str">
        <f ca="1">IF(Delivery_data[[#This Row],[Order Status]]="In Progress", TODAY()-Delivery_data[[#This Row],[Order Date]], "")</f>
        <v/>
      </c>
      <c r="R1217">
        <f>IF(Delivery_data[[#This Row],[On Time]]=1,0,1)</f>
        <v>1</v>
      </c>
    </row>
    <row r="1218" spans="1:18" x14ac:dyDescent="0.35">
      <c r="A1218">
        <v>1349</v>
      </c>
      <c r="B1218" t="s">
        <v>1326</v>
      </c>
      <c r="C1218" s="1">
        <v>45173.355555555558</v>
      </c>
      <c r="D1218" t="s">
        <v>16</v>
      </c>
      <c r="E1218" t="s">
        <v>252</v>
      </c>
      <c r="F1218" t="s">
        <v>1125</v>
      </c>
      <c r="G1218" t="s">
        <v>233</v>
      </c>
      <c r="H1218">
        <v>237</v>
      </c>
      <c r="I1218">
        <v>6</v>
      </c>
      <c r="J1218" t="s">
        <v>27</v>
      </c>
      <c r="K1218" t="s">
        <v>38</v>
      </c>
      <c r="L1218" t="s">
        <v>29</v>
      </c>
      <c r="M1218" t="s">
        <v>23</v>
      </c>
      <c r="N1218">
        <v>0</v>
      </c>
      <c r="O1218">
        <v>0</v>
      </c>
      <c r="P1218" s="8">
        <f>INT(Delivery_data[[#This Row],[Order Timestamp]])</f>
        <v>45173</v>
      </c>
      <c r="Q1218">
        <f ca="1">IF(Delivery_data[[#This Row],[Order Status]]="In Progress", TODAY()-Delivery_data[[#This Row],[Order Date]], "")</f>
        <v>810</v>
      </c>
      <c r="R1218">
        <f>IF(Delivery_data[[#This Row],[On Time]]=1,0,1)</f>
        <v>1</v>
      </c>
    </row>
    <row r="1219" spans="1:18" x14ac:dyDescent="0.35">
      <c r="A1219">
        <v>1355</v>
      </c>
      <c r="B1219" t="s">
        <v>1327</v>
      </c>
      <c r="C1219" s="1">
        <v>45170.393750000003</v>
      </c>
      <c r="D1219" t="s">
        <v>25</v>
      </c>
      <c r="E1219" t="s">
        <v>541</v>
      </c>
      <c r="F1219" t="s">
        <v>1125</v>
      </c>
      <c r="G1219" t="s">
        <v>362</v>
      </c>
      <c r="H1219">
        <v>126</v>
      </c>
      <c r="I1219">
        <v>9</v>
      </c>
      <c r="J1219" t="s">
        <v>35</v>
      </c>
      <c r="K1219" t="s">
        <v>51</v>
      </c>
      <c r="L1219" t="s">
        <v>29</v>
      </c>
      <c r="M1219" t="s">
        <v>23</v>
      </c>
      <c r="N1219">
        <v>0</v>
      </c>
      <c r="O1219">
        <v>1</v>
      </c>
      <c r="P1219" s="8">
        <f>INT(Delivery_data[[#This Row],[Order Timestamp]])</f>
        <v>45170</v>
      </c>
      <c r="Q1219" t="str">
        <f ca="1">IF(Delivery_data[[#This Row],[Order Status]]="In Progress", TODAY()-Delivery_data[[#This Row],[Order Date]], "")</f>
        <v/>
      </c>
      <c r="R1219">
        <f>IF(Delivery_data[[#This Row],[On Time]]=1,0,1)</f>
        <v>1</v>
      </c>
    </row>
    <row r="1220" spans="1:18" x14ac:dyDescent="0.35">
      <c r="A1220">
        <v>1357</v>
      </c>
      <c r="B1220" t="s">
        <v>1328</v>
      </c>
      <c r="C1220" s="1">
        <v>45171.384027777778</v>
      </c>
      <c r="D1220" t="s">
        <v>25</v>
      </c>
      <c r="E1220" t="s">
        <v>178</v>
      </c>
      <c r="F1220" t="s">
        <v>1125</v>
      </c>
      <c r="G1220" t="s">
        <v>19</v>
      </c>
      <c r="H1220">
        <v>152</v>
      </c>
      <c r="I1220">
        <v>18</v>
      </c>
      <c r="J1220" t="s">
        <v>27</v>
      </c>
      <c r="K1220" t="s">
        <v>28</v>
      </c>
      <c r="L1220" t="s">
        <v>29</v>
      </c>
      <c r="M1220" t="s">
        <v>39</v>
      </c>
      <c r="N1220">
        <v>0</v>
      </c>
      <c r="O1220">
        <v>0</v>
      </c>
      <c r="P1220" s="8">
        <f>INT(Delivery_data[[#This Row],[Order Timestamp]])</f>
        <v>45171</v>
      </c>
      <c r="Q1220" t="str">
        <f ca="1">IF(Delivery_data[[#This Row],[Order Status]]="In Progress", TODAY()-Delivery_data[[#This Row],[Order Date]], "")</f>
        <v/>
      </c>
      <c r="R1220">
        <f>IF(Delivery_data[[#This Row],[On Time]]=1,0,1)</f>
        <v>1</v>
      </c>
    </row>
    <row r="1221" spans="1:18" x14ac:dyDescent="0.35">
      <c r="A1221">
        <v>1365</v>
      </c>
      <c r="B1221" t="s">
        <v>1329</v>
      </c>
      <c r="C1221" s="1">
        <v>45170.597916666666</v>
      </c>
      <c r="D1221" t="s">
        <v>16</v>
      </c>
      <c r="E1221" t="s">
        <v>26</v>
      </c>
      <c r="F1221" t="s">
        <v>1125</v>
      </c>
      <c r="G1221" t="s">
        <v>557</v>
      </c>
      <c r="H1221">
        <v>85</v>
      </c>
      <c r="I1221">
        <v>9</v>
      </c>
      <c r="J1221" t="s">
        <v>20</v>
      </c>
      <c r="K1221" t="s">
        <v>21</v>
      </c>
      <c r="L1221" t="s">
        <v>29</v>
      </c>
      <c r="M1221" t="s">
        <v>23</v>
      </c>
      <c r="N1221">
        <v>0</v>
      </c>
      <c r="O1221">
        <v>0</v>
      </c>
      <c r="P1221" s="8">
        <f>INT(Delivery_data[[#This Row],[Order Timestamp]])</f>
        <v>45170</v>
      </c>
      <c r="Q1221">
        <f ca="1">IF(Delivery_data[[#This Row],[Order Status]]="In Progress", TODAY()-Delivery_data[[#This Row],[Order Date]], "")</f>
        <v>813</v>
      </c>
      <c r="R1221">
        <f>IF(Delivery_data[[#This Row],[On Time]]=1,0,1)</f>
        <v>1</v>
      </c>
    </row>
    <row r="1222" spans="1:18" x14ac:dyDescent="0.35">
      <c r="A1222">
        <v>1381</v>
      </c>
      <c r="B1222" t="s">
        <v>1330</v>
      </c>
      <c r="C1222" s="1">
        <v>45175.495138888888</v>
      </c>
      <c r="D1222" t="s">
        <v>16</v>
      </c>
      <c r="E1222" t="s">
        <v>225</v>
      </c>
      <c r="F1222" t="s">
        <v>1125</v>
      </c>
      <c r="G1222" t="s">
        <v>463</v>
      </c>
      <c r="H1222">
        <v>181</v>
      </c>
      <c r="I1222">
        <v>27</v>
      </c>
      <c r="J1222" t="s">
        <v>35</v>
      </c>
      <c r="K1222" t="s">
        <v>38</v>
      </c>
      <c r="L1222" t="s">
        <v>29</v>
      </c>
      <c r="M1222" t="s">
        <v>30</v>
      </c>
      <c r="N1222">
        <v>0</v>
      </c>
      <c r="O1222">
        <v>1</v>
      </c>
      <c r="P1222" s="8">
        <f>INT(Delivery_data[[#This Row],[Order Timestamp]])</f>
        <v>45175</v>
      </c>
      <c r="Q1222">
        <f ca="1">IF(Delivery_data[[#This Row],[Order Status]]="In Progress", TODAY()-Delivery_data[[#This Row],[Order Date]], "")</f>
        <v>808</v>
      </c>
      <c r="R1222">
        <f>IF(Delivery_data[[#This Row],[On Time]]=1,0,1)</f>
        <v>1</v>
      </c>
    </row>
    <row r="1223" spans="1:18" x14ac:dyDescent="0.35">
      <c r="A1223">
        <v>1405</v>
      </c>
      <c r="B1223" t="s">
        <v>1331</v>
      </c>
      <c r="C1223" s="1">
        <v>45174.6</v>
      </c>
      <c r="D1223" t="s">
        <v>25</v>
      </c>
      <c r="E1223" t="s">
        <v>416</v>
      </c>
      <c r="F1223" t="s">
        <v>1125</v>
      </c>
      <c r="G1223" t="s">
        <v>19</v>
      </c>
      <c r="H1223">
        <v>81</v>
      </c>
      <c r="I1223">
        <v>26</v>
      </c>
      <c r="J1223" t="s">
        <v>35</v>
      </c>
      <c r="K1223" t="s">
        <v>28</v>
      </c>
      <c r="L1223" t="s">
        <v>29</v>
      </c>
      <c r="M1223" t="s">
        <v>39</v>
      </c>
      <c r="N1223">
        <v>0</v>
      </c>
      <c r="O1223">
        <v>1</v>
      </c>
      <c r="P1223" s="8">
        <f>INT(Delivery_data[[#This Row],[Order Timestamp]])</f>
        <v>45174</v>
      </c>
      <c r="Q1223" t="str">
        <f ca="1">IF(Delivery_data[[#This Row],[Order Status]]="In Progress", TODAY()-Delivery_data[[#This Row],[Order Date]], "")</f>
        <v/>
      </c>
      <c r="R1223">
        <f>IF(Delivery_data[[#This Row],[On Time]]=1,0,1)</f>
        <v>1</v>
      </c>
    </row>
    <row r="1224" spans="1:18" x14ac:dyDescent="0.35">
      <c r="A1224">
        <v>1406</v>
      </c>
      <c r="B1224" t="s">
        <v>1332</v>
      </c>
      <c r="C1224" s="1">
        <v>45176.693749999999</v>
      </c>
      <c r="D1224" t="s">
        <v>16</v>
      </c>
      <c r="E1224" t="s">
        <v>80</v>
      </c>
      <c r="F1224" t="s">
        <v>1125</v>
      </c>
      <c r="G1224" t="s">
        <v>463</v>
      </c>
      <c r="H1224">
        <v>220</v>
      </c>
      <c r="I1224">
        <v>27</v>
      </c>
      <c r="J1224" t="s">
        <v>20</v>
      </c>
      <c r="K1224" t="s">
        <v>38</v>
      </c>
      <c r="L1224" t="s">
        <v>29</v>
      </c>
      <c r="M1224" t="s">
        <v>30</v>
      </c>
      <c r="N1224">
        <v>0</v>
      </c>
      <c r="O1224">
        <v>0</v>
      </c>
      <c r="P1224" s="8">
        <f>INT(Delivery_data[[#This Row],[Order Timestamp]])</f>
        <v>45176</v>
      </c>
      <c r="Q1224">
        <f ca="1">IF(Delivery_data[[#This Row],[Order Status]]="In Progress", TODAY()-Delivery_data[[#This Row],[Order Date]], "")</f>
        <v>807</v>
      </c>
      <c r="R1224">
        <f>IF(Delivery_data[[#This Row],[On Time]]=1,0,1)</f>
        <v>1</v>
      </c>
    </row>
    <row r="1225" spans="1:18" x14ac:dyDescent="0.35">
      <c r="A1225">
        <v>1415</v>
      </c>
      <c r="B1225" t="s">
        <v>1333</v>
      </c>
      <c r="C1225" s="1">
        <v>45170.70208333333</v>
      </c>
      <c r="D1225" t="s">
        <v>25</v>
      </c>
      <c r="E1225" t="s">
        <v>66</v>
      </c>
      <c r="F1225" t="s">
        <v>1125</v>
      </c>
      <c r="G1225" t="s">
        <v>233</v>
      </c>
      <c r="H1225">
        <v>203</v>
      </c>
      <c r="I1225">
        <v>28</v>
      </c>
      <c r="J1225" t="s">
        <v>35</v>
      </c>
      <c r="K1225" t="s">
        <v>51</v>
      </c>
      <c r="L1225" t="s">
        <v>29</v>
      </c>
      <c r="M1225" t="s">
        <v>30</v>
      </c>
      <c r="N1225">
        <v>0</v>
      </c>
      <c r="O1225">
        <v>1</v>
      </c>
      <c r="P1225" s="8">
        <f>INT(Delivery_data[[#This Row],[Order Timestamp]])</f>
        <v>45170</v>
      </c>
      <c r="Q1225" t="str">
        <f ca="1">IF(Delivery_data[[#This Row],[Order Status]]="In Progress", TODAY()-Delivery_data[[#This Row],[Order Date]], "")</f>
        <v/>
      </c>
      <c r="R1225">
        <f>IF(Delivery_data[[#This Row],[On Time]]=1,0,1)</f>
        <v>1</v>
      </c>
    </row>
    <row r="1226" spans="1:18" x14ac:dyDescent="0.35">
      <c r="A1226">
        <v>1421</v>
      </c>
      <c r="B1226" t="s">
        <v>1334</v>
      </c>
      <c r="C1226" s="1">
        <v>45176.337500000001</v>
      </c>
      <c r="D1226" t="s">
        <v>25</v>
      </c>
      <c r="E1226" t="s">
        <v>287</v>
      </c>
      <c r="F1226" t="s">
        <v>1125</v>
      </c>
      <c r="G1226" t="s">
        <v>19</v>
      </c>
      <c r="H1226">
        <v>101</v>
      </c>
      <c r="I1226">
        <v>25</v>
      </c>
      <c r="J1226" t="s">
        <v>35</v>
      </c>
      <c r="K1226" t="s">
        <v>33</v>
      </c>
      <c r="L1226" t="s">
        <v>29</v>
      </c>
      <c r="M1226" t="s">
        <v>39</v>
      </c>
      <c r="N1226">
        <v>0</v>
      </c>
      <c r="O1226">
        <v>1</v>
      </c>
      <c r="P1226" s="8">
        <f>INT(Delivery_data[[#This Row],[Order Timestamp]])</f>
        <v>45176</v>
      </c>
      <c r="Q1226" t="str">
        <f ca="1">IF(Delivery_data[[#This Row],[Order Status]]="In Progress", TODAY()-Delivery_data[[#This Row],[Order Date]], "")</f>
        <v/>
      </c>
      <c r="R1226">
        <f>IF(Delivery_data[[#This Row],[On Time]]=1,0,1)</f>
        <v>1</v>
      </c>
    </row>
    <row r="1227" spans="1:18" x14ac:dyDescent="0.35">
      <c r="A1227">
        <v>1430</v>
      </c>
      <c r="B1227" t="s">
        <v>1335</v>
      </c>
      <c r="C1227" s="1">
        <v>45175.45</v>
      </c>
      <c r="D1227" t="s">
        <v>16</v>
      </c>
      <c r="E1227" t="s">
        <v>56</v>
      </c>
      <c r="F1227" t="s">
        <v>1125</v>
      </c>
      <c r="G1227" t="s">
        <v>557</v>
      </c>
      <c r="H1227">
        <v>134</v>
      </c>
      <c r="I1227">
        <v>21</v>
      </c>
      <c r="J1227" t="s">
        <v>27</v>
      </c>
      <c r="K1227" t="s">
        <v>33</v>
      </c>
      <c r="L1227" t="s">
        <v>29</v>
      </c>
      <c r="M1227" t="s">
        <v>39</v>
      </c>
      <c r="N1227">
        <v>0</v>
      </c>
      <c r="O1227">
        <v>0</v>
      </c>
      <c r="P1227" s="8">
        <f>INT(Delivery_data[[#This Row],[Order Timestamp]])</f>
        <v>45175</v>
      </c>
      <c r="Q1227">
        <f ca="1">IF(Delivery_data[[#This Row],[Order Status]]="In Progress", TODAY()-Delivery_data[[#This Row],[Order Date]], "")</f>
        <v>808</v>
      </c>
      <c r="R1227">
        <f>IF(Delivery_data[[#This Row],[On Time]]=1,0,1)</f>
        <v>1</v>
      </c>
    </row>
    <row r="1228" spans="1:18" x14ac:dyDescent="0.35">
      <c r="A1228">
        <v>1434</v>
      </c>
      <c r="B1228" t="s">
        <v>1336</v>
      </c>
      <c r="C1228" s="1">
        <v>45174.390972222223</v>
      </c>
      <c r="D1228" t="s">
        <v>25</v>
      </c>
      <c r="E1228" t="s">
        <v>416</v>
      </c>
      <c r="F1228" t="s">
        <v>1125</v>
      </c>
      <c r="G1228" t="s">
        <v>233</v>
      </c>
      <c r="H1228">
        <v>224</v>
      </c>
      <c r="I1228">
        <v>23</v>
      </c>
      <c r="J1228" t="s">
        <v>27</v>
      </c>
      <c r="K1228" t="s">
        <v>33</v>
      </c>
      <c r="L1228" t="s">
        <v>29</v>
      </c>
      <c r="M1228" t="s">
        <v>39</v>
      </c>
      <c r="N1228">
        <v>0</v>
      </c>
      <c r="O1228">
        <v>0</v>
      </c>
      <c r="P1228" s="8">
        <f>INT(Delivery_data[[#This Row],[Order Timestamp]])</f>
        <v>45174</v>
      </c>
      <c r="Q1228" t="str">
        <f ca="1">IF(Delivery_data[[#This Row],[Order Status]]="In Progress", TODAY()-Delivery_data[[#This Row],[Order Date]], "")</f>
        <v/>
      </c>
      <c r="R1228">
        <f>IF(Delivery_data[[#This Row],[On Time]]=1,0,1)</f>
        <v>1</v>
      </c>
    </row>
    <row r="1229" spans="1:18" x14ac:dyDescent="0.35">
      <c r="A1229">
        <v>1438</v>
      </c>
      <c r="B1229" t="s">
        <v>1337</v>
      </c>
      <c r="C1229" s="1">
        <v>45177.65625</v>
      </c>
      <c r="D1229" t="s">
        <v>25</v>
      </c>
      <c r="E1229" t="s">
        <v>78</v>
      </c>
      <c r="F1229" t="s">
        <v>1125</v>
      </c>
      <c r="G1229" t="s">
        <v>233</v>
      </c>
      <c r="H1229">
        <v>178</v>
      </c>
      <c r="I1229">
        <v>12</v>
      </c>
      <c r="J1229" t="s">
        <v>35</v>
      </c>
      <c r="K1229" t="s">
        <v>33</v>
      </c>
      <c r="L1229" t="s">
        <v>29</v>
      </c>
      <c r="M1229" t="s">
        <v>30</v>
      </c>
      <c r="N1229">
        <v>0</v>
      </c>
      <c r="O1229">
        <v>1</v>
      </c>
      <c r="P1229" s="8">
        <f>INT(Delivery_data[[#This Row],[Order Timestamp]])</f>
        <v>45177</v>
      </c>
      <c r="Q1229" t="str">
        <f ca="1">IF(Delivery_data[[#This Row],[Order Status]]="In Progress", TODAY()-Delivery_data[[#This Row],[Order Date]], "")</f>
        <v/>
      </c>
      <c r="R1229">
        <f>IF(Delivery_data[[#This Row],[On Time]]=1,0,1)</f>
        <v>1</v>
      </c>
    </row>
    <row r="1230" spans="1:18" x14ac:dyDescent="0.35">
      <c r="A1230">
        <v>1446</v>
      </c>
      <c r="B1230" t="s">
        <v>1338</v>
      </c>
      <c r="C1230" s="1">
        <v>45173.418749999997</v>
      </c>
      <c r="D1230" t="s">
        <v>25</v>
      </c>
      <c r="E1230" t="s">
        <v>48</v>
      </c>
      <c r="F1230" t="s">
        <v>1125</v>
      </c>
      <c r="G1230" t="s">
        <v>19</v>
      </c>
      <c r="H1230">
        <v>179</v>
      </c>
      <c r="I1230">
        <v>25</v>
      </c>
      <c r="J1230" t="s">
        <v>27</v>
      </c>
      <c r="K1230" t="s">
        <v>38</v>
      </c>
      <c r="L1230" t="s">
        <v>29</v>
      </c>
      <c r="M1230" t="s">
        <v>30</v>
      </c>
      <c r="N1230">
        <v>0</v>
      </c>
      <c r="O1230">
        <v>0</v>
      </c>
      <c r="P1230" s="8">
        <f>INT(Delivery_data[[#This Row],[Order Timestamp]])</f>
        <v>45173</v>
      </c>
      <c r="Q1230" t="str">
        <f ca="1">IF(Delivery_data[[#This Row],[Order Status]]="In Progress", TODAY()-Delivery_data[[#This Row],[Order Date]], "")</f>
        <v/>
      </c>
      <c r="R1230">
        <f>IF(Delivery_data[[#This Row],[On Time]]=1,0,1)</f>
        <v>1</v>
      </c>
    </row>
    <row r="1231" spans="1:18" x14ac:dyDescent="0.35">
      <c r="A1231">
        <v>1450</v>
      </c>
      <c r="B1231" t="s">
        <v>1339</v>
      </c>
      <c r="C1231" s="1">
        <v>45177.668749999997</v>
      </c>
      <c r="D1231" t="s">
        <v>16</v>
      </c>
      <c r="E1231" t="s">
        <v>175</v>
      </c>
      <c r="F1231" t="s">
        <v>1125</v>
      </c>
      <c r="G1231" t="s">
        <v>233</v>
      </c>
      <c r="H1231">
        <v>75</v>
      </c>
      <c r="I1231">
        <v>7</v>
      </c>
      <c r="J1231" t="s">
        <v>20</v>
      </c>
      <c r="K1231" t="s">
        <v>21</v>
      </c>
      <c r="L1231" t="s">
        <v>29</v>
      </c>
      <c r="M1231" t="s">
        <v>39</v>
      </c>
      <c r="N1231">
        <v>0</v>
      </c>
      <c r="O1231">
        <v>0</v>
      </c>
      <c r="P1231" s="8">
        <f>INT(Delivery_data[[#This Row],[Order Timestamp]])</f>
        <v>45177</v>
      </c>
      <c r="Q1231">
        <f ca="1">IF(Delivery_data[[#This Row],[Order Status]]="In Progress", TODAY()-Delivery_data[[#This Row],[Order Date]], "")</f>
        <v>806</v>
      </c>
      <c r="R1231">
        <f>IF(Delivery_data[[#This Row],[On Time]]=1,0,1)</f>
        <v>1</v>
      </c>
    </row>
    <row r="1232" spans="1:18" x14ac:dyDescent="0.35">
      <c r="A1232">
        <v>1452</v>
      </c>
      <c r="B1232" t="s">
        <v>1340</v>
      </c>
      <c r="C1232" s="1">
        <v>45172.552777777775</v>
      </c>
      <c r="D1232" t="s">
        <v>16</v>
      </c>
      <c r="E1232" t="s">
        <v>252</v>
      </c>
      <c r="F1232" t="s">
        <v>1125</v>
      </c>
      <c r="G1232" t="s">
        <v>233</v>
      </c>
      <c r="H1232">
        <v>136</v>
      </c>
      <c r="I1232">
        <v>18</v>
      </c>
      <c r="J1232" t="s">
        <v>35</v>
      </c>
      <c r="K1232" t="s">
        <v>38</v>
      </c>
      <c r="L1232" t="s">
        <v>29</v>
      </c>
      <c r="M1232" t="s">
        <v>39</v>
      </c>
      <c r="N1232">
        <v>0</v>
      </c>
      <c r="O1232">
        <v>1</v>
      </c>
      <c r="P1232" s="8">
        <f>INT(Delivery_data[[#This Row],[Order Timestamp]])</f>
        <v>45172</v>
      </c>
      <c r="Q1232">
        <f ca="1">IF(Delivery_data[[#This Row],[Order Status]]="In Progress", TODAY()-Delivery_data[[#This Row],[Order Date]], "")</f>
        <v>811</v>
      </c>
      <c r="R1232">
        <f>IF(Delivery_data[[#This Row],[On Time]]=1,0,1)</f>
        <v>1</v>
      </c>
    </row>
    <row r="1233" spans="1:18" x14ac:dyDescent="0.35">
      <c r="A1233">
        <v>1457</v>
      </c>
      <c r="B1233" t="s">
        <v>1341</v>
      </c>
      <c r="C1233" s="1">
        <v>45176.334722222222</v>
      </c>
      <c r="D1233" t="s">
        <v>16</v>
      </c>
      <c r="E1233" t="s">
        <v>206</v>
      </c>
      <c r="F1233" t="s">
        <v>1125</v>
      </c>
      <c r="G1233" t="s">
        <v>233</v>
      </c>
      <c r="H1233">
        <v>198</v>
      </c>
      <c r="I1233">
        <v>28</v>
      </c>
      <c r="J1233" t="s">
        <v>35</v>
      </c>
      <c r="K1233" t="s">
        <v>51</v>
      </c>
      <c r="L1233" t="s">
        <v>29</v>
      </c>
      <c r="M1233" t="s">
        <v>39</v>
      </c>
      <c r="N1233">
        <v>0</v>
      </c>
      <c r="O1233">
        <v>1</v>
      </c>
      <c r="P1233" s="8">
        <f>INT(Delivery_data[[#This Row],[Order Timestamp]])</f>
        <v>45176</v>
      </c>
      <c r="Q1233">
        <f ca="1">IF(Delivery_data[[#This Row],[Order Status]]="In Progress", TODAY()-Delivery_data[[#This Row],[Order Date]], "")</f>
        <v>807</v>
      </c>
      <c r="R1233">
        <f>IF(Delivery_data[[#This Row],[On Time]]=1,0,1)</f>
        <v>1</v>
      </c>
    </row>
    <row r="1234" spans="1:18" x14ac:dyDescent="0.35">
      <c r="A1234">
        <v>1461</v>
      </c>
      <c r="B1234" t="s">
        <v>1342</v>
      </c>
      <c r="C1234" s="1">
        <v>45171.495833333334</v>
      </c>
      <c r="D1234" t="s">
        <v>16</v>
      </c>
      <c r="E1234" t="s">
        <v>50</v>
      </c>
      <c r="F1234" t="s">
        <v>1125</v>
      </c>
      <c r="G1234" t="s">
        <v>362</v>
      </c>
      <c r="H1234">
        <v>174</v>
      </c>
      <c r="I1234">
        <v>19</v>
      </c>
      <c r="J1234" t="s">
        <v>35</v>
      </c>
      <c r="K1234" t="s">
        <v>33</v>
      </c>
      <c r="L1234" t="s">
        <v>29</v>
      </c>
      <c r="M1234" t="s">
        <v>39</v>
      </c>
      <c r="N1234">
        <v>0</v>
      </c>
      <c r="O1234">
        <v>1</v>
      </c>
      <c r="P1234" s="8">
        <f>INT(Delivery_data[[#This Row],[Order Timestamp]])</f>
        <v>45171</v>
      </c>
      <c r="Q1234">
        <f ca="1">IF(Delivery_data[[#This Row],[Order Status]]="In Progress", TODAY()-Delivery_data[[#This Row],[Order Date]], "")</f>
        <v>812</v>
      </c>
      <c r="R1234">
        <f>IF(Delivery_data[[#This Row],[On Time]]=1,0,1)</f>
        <v>1</v>
      </c>
    </row>
    <row r="1235" spans="1:18" x14ac:dyDescent="0.35">
      <c r="A1235">
        <v>1473</v>
      </c>
      <c r="B1235" t="s">
        <v>95</v>
      </c>
      <c r="C1235" s="1">
        <v>45170.59375</v>
      </c>
      <c r="D1235" t="s">
        <v>16</v>
      </c>
      <c r="E1235" t="s">
        <v>50</v>
      </c>
      <c r="F1235" t="s">
        <v>1125</v>
      </c>
      <c r="G1235" t="s">
        <v>19</v>
      </c>
      <c r="H1235">
        <v>104</v>
      </c>
      <c r="I1235">
        <v>19</v>
      </c>
      <c r="J1235" t="s">
        <v>35</v>
      </c>
      <c r="K1235" t="s">
        <v>33</v>
      </c>
      <c r="L1235" t="s">
        <v>29</v>
      </c>
      <c r="M1235" t="s">
        <v>30</v>
      </c>
      <c r="N1235">
        <v>0</v>
      </c>
      <c r="O1235">
        <v>1</v>
      </c>
      <c r="P1235" s="8">
        <f>INT(Delivery_data[[#This Row],[Order Timestamp]])</f>
        <v>45170</v>
      </c>
      <c r="Q1235">
        <f ca="1">IF(Delivery_data[[#This Row],[Order Status]]="In Progress", TODAY()-Delivery_data[[#This Row],[Order Date]], "")</f>
        <v>813</v>
      </c>
      <c r="R1235">
        <f>IF(Delivery_data[[#This Row],[On Time]]=1,0,1)</f>
        <v>1</v>
      </c>
    </row>
    <row r="1236" spans="1:18" x14ac:dyDescent="0.35">
      <c r="A1236">
        <v>1514</v>
      </c>
      <c r="B1236" t="s">
        <v>1343</v>
      </c>
      <c r="C1236" s="1">
        <v>45173.34097222222</v>
      </c>
      <c r="D1236" t="s">
        <v>25</v>
      </c>
      <c r="E1236" t="s">
        <v>342</v>
      </c>
      <c r="F1236" t="s">
        <v>1125</v>
      </c>
      <c r="G1236" t="s">
        <v>233</v>
      </c>
      <c r="H1236">
        <v>201</v>
      </c>
      <c r="I1236">
        <v>25</v>
      </c>
      <c r="J1236" t="s">
        <v>35</v>
      </c>
      <c r="K1236" t="s">
        <v>33</v>
      </c>
      <c r="L1236" t="s">
        <v>29</v>
      </c>
      <c r="M1236" t="s">
        <v>30</v>
      </c>
      <c r="N1236">
        <v>0</v>
      </c>
      <c r="O1236">
        <v>1</v>
      </c>
      <c r="P1236" s="8">
        <f>INT(Delivery_data[[#This Row],[Order Timestamp]])</f>
        <v>45173</v>
      </c>
      <c r="Q1236" t="str">
        <f ca="1">IF(Delivery_data[[#This Row],[Order Status]]="In Progress", TODAY()-Delivery_data[[#This Row],[Order Date]], "")</f>
        <v/>
      </c>
      <c r="R1236">
        <f>IF(Delivery_data[[#This Row],[On Time]]=1,0,1)</f>
        <v>1</v>
      </c>
    </row>
    <row r="1237" spans="1:18" x14ac:dyDescent="0.35">
      <c r="A1237">
        <v>1518</v>
      </c>
      <c r="B1237" t="s">
        <v>1344</v>
      </c>
      <c r="C1237" s="1">
        <v>45170.376388888886</v>
      </c>
      <c r="D1237" t="s">
        <v>16</v>
      </c>
      <c r="E1237" t="s">
        <v>169</v>
      </c>
      <c r="F1237" t="s">
        <v>1125</v>
      </c>
      <c r="G1237" t="s">
        <v>557</v>
      </c>
      <c r="H1237">
        <v>226</v>
      </c>
      <c r="I1237">
        <v>14</v>
      </c>
      <c r="J1237" t="s">
        <v>35</v>
      </c>
      <c r="K1237" t="s">
        <v>21</v>
      </c>
      <c r="L1237" t="s">
        <v>29</v>
      </c>
      <c r="M1237" t="s">
        <v>30</v>
      </c>
      <c r="N1237">
        <v>0</v>
      </c>
      <c r="O1237">
        <v>1</v>
      </c>
      <c r="P1237" s="8">
        <f>INT(Delivery_data[[#This Row],[Order Timestamp]])</f>
        <v>45170</v>
      </c>
      <c r="Q1237">
        <f ca="1">IF(Delivery_data[[#This Row],[Order Status]]="In Progress", TODAY()-Delivery_data[[#This Row],[Order Date]], "")</f>
        <v>813</v>
      </c>
      <c r="R1237">
        <f>IF(Delivery_data[[#This Row],[On Time]]=1,0,1)</f>
        <v>1</v>
      </c>
    </row>
    <row r="1238" spans="1:18" x14ac:dyDescent="0.35">
      <c r="A1238">
        <v>1524</v>
      </c>
      <c r="B1238" t="s">
        <v>1345</v>
      </c>
      <c r="C1238" s="1">
        <v>45174.497916666667</v>
      </c>
      <c r="D1238" t="s">
        <v>25</v>
      </c>
      <c r="E1238" t="s">
        <v>258</v>
      </c>
      <c r="F1238" t="s">
        <v>1125</v>
      </c>
      <c r="G1238" t="s">
        <v>19</v>
      </c>
      <c r="H1238">
        <v>79</v>
      </c>
      <c r="I1238">
        <v>29</v>
      </c>
      <c r="J1238" t="s">
        <v>27</v>
      </c>
      <c r="K1238" t="s">
        <v>28</v>
      </c>
      <c r="L1238" t="s">
        <v>29</v>
      </c>
      <c r="M1238" t="s">
        <v>39</v>
      </c>
      <c r="N1238">
        <v>0</v>
      </c>
      <c r="O1238">
        <v>0</v>
      </c>
      <c r="P1238" s="8">
        <f>INT(Delivery_data[[#This Row],[Order Timestamp]])</f>
        <v>45174</v>
      </c>
      <c r="Q1238" t="str">
        <f ca="1">IF(Delivery_data[[#This Row],[Order Status]]="In Progress", TODAY()-Delivery_data[[#This Row],[Order Date]], "")</f>
        <v/>
      </c>
      <c r="R1238">
        <f>IF(Delivery_data[[#This Row],[On Time]]=1,0,1)</f>
        <v>1</v>
      </c>
    </row>
    <row r="1239" spans="1:18" x14ac:dyDescent="0.35">
      <c r="A1239">
        <v>1530</v>
      </c>
      <c r="B1239" t="s">
        <v>652</v>
      </c>
      <c r="C1239" s="1">
        <v>45175.621527777781</v>
      </c>
      <c r="D1239" t="s">
        <v>16</v>
      </c>
      <c r="E1239" t="s">
        <v>356</v>
      </c>
      <c r="F1239" t="s">
        <v>1125</v>
      </c>
      <c r="G1239" t="s">
        <v>19</v>
      </c>
      <c r="H1239">
        <v>72</v>
      </c>
      <c r="I1239">
        <v>22</v>
      </c>
      <c r="J1239" t="s">
        <v>35</v>
      </c>
      <c r="K1239" t="s">
        <v>28</v>
      </c>
      <c r="L1239" t="s">
        <v>29</v>
      </c>
      <c r="M1239" t="s">
        <v>23</v>
      </c>
      <c r="N1239">
        <v>0</v>
      </c>
      <c r="O1239">
        <v>1</v>
      </c>
      <c r="P1239" s="8">
        <f>INT(Delivery_data[[#This Row],[Order Timestamp]])</f>
        <v>45175</v>
      </c>
      <c r="Q1239">
        <f ca="1">IF(Delivery_data[[#This Row],[Order Status]]="In Progress", TODAY()-Delivery_data[[#This Row],[Order Date]], "")</f>
        <v>808</v>
      </c>
      <c r="R1239">
        <f>IF(Delivery_data[[#This Row],[On Time]]=1,0,1)</f>
        <v>1</v>
      </c>
    </row>
    <row r="1240" spans="1:18" x14ac:dyDescent="0.35">
      <c r="A1240">
        <v>1555</v>
      </c>
      <c r="B1240" t="s">
        <v>1346</v>
      </c>
      <c r="C1240" s="1">
        <v>45170.390972222223</v>
      </c>
      <c r="D1240" t="s">
        <v>25</v>
      </c>
      <c r="E1240" t="s">
        <v>212</v>
      </c>
      <c r="F1240" t="s">
        <v>1125</v>
      </c>
      <c r="G1240" t="s">
        <v>463</v>
      </c>
      <c r="H1240">
        <v>222</v>
      </c>
      <c r="I1240">
        <v>2</v>
      </c>
      <c r="J1240" t="s">
        <v>27</v>
      </c>
      <c r="K1240" t="s">
        <v>33</v>
      </c>
      <c r="L1240" t="s">
        <v>29</v>
      </c>
      <c r="M1240" t="s">
        <v>30</v>
      </c>
      <c r="N1240">
        <v>0</v>
      </c>
      <c r="O1240">
        <v>0</v>
      </c>
      <c r="P1240" s="8">
        <f>INT(Delivery_data[[#This Row],[Order Timestamp]])</f>
        <v>45170</v>
      </c>
      <c r="Q1240" t="str">
        <f ca="1">IF(Delivery_data[[#This Row],[Order Status]]="In Progress", TODAY()-Delivery_data[[#This Row],[Order Date]], "")</f>
        <v/>
      </c>
      <c r="R1240">
        <f>IF(Delivery_data[[#This Row],[On Time]]=1,0,1)</f>
        <v>1</v>
      </c>
    </row>
    <row r="1241" spans="1:18" x14ac:dyDescent="0.35">
      <c r="A1241">
        <v>1560</v>
      </c>
      <c r="B1241" t="s">
        <v>1347</v>
      </c>
      <c r="C1241" s="1">
        <v>45171.417361111111</v>
      </c>
      <c r="D1241" t="s">
        <v>25</v>
      </c>
      <c r="E1241" t="s">
        <v>279</v>
      </c>
      <c r="F1241" t="s">
        <v>1125</v>
      </c>
      <c r="G1241" t="s">
        <v>463</v>
      </c>
      <c r="H1241">
        <v>217</v>
      </c>
      <c r="I1241">
        <v>19</v>
      </c>
      <c r="J1241" t="s">
        <v>35</v>
      </c>
      <c r="K1241" t="s">
        <v>28</v>
      </c>
      <c r="L1241" t="s">
        <v>29</v>
      </c>
      <c r="M1241" t="s">
        <v>30</v>
      </c>
      <c r="N1241">
        <v>0</v>
      </c>
      <c r="O1241">
        <v>1</v>
      </c>
      <c r="P1241" s="8">
        <f>INT(Delivery_data[[#This Row],[Order Timestamp]])</f>
        <v>45171</v>
      </c>
      <c r="Q1241" t="str">
        <f ca="1">IF(Delivery_data[[#This Row],[Order Status]]="In Progress", TODAY()-Delivery_data[[#This Row],[Order Date]], "")</f>
        <v/>
      </c>
      <c r="R1241">
        <f>IF(Delivery_data[[#This Row],[On Time]]=1,0,1)</f>
        <v>1</v>
      </c>
    </row>
    <row r="1242" spans="1:18" x14ac:dyDescent="0.35">
      <c r="A1242">
        <v>1580</v>
      </c>
      <c r="B1242" t="s">
        <v>1348</v>
      </c>
      <c r="C1242" s="1">
        <v>45177.515972222223</v>
      </c>
      <c r="D1242" t="s">
        <v>16</v>
      </c>
      <c r="E1242" t="s">
        <v>152</v>
      </c>
      <c r="F1242" t="s">
        <v>1125</v>
      </c>
      <c r="G1242" t="s">
        <v>463</v>
      </c>
      <c r="H1242">
        <v>61</v>
      </c>
      <c r="I1242">
        <v>6</v>
      </c>
      <c r="J1242" t="s">
        <v>35</v>
      </c>
      <c r="K1242" t="s">
        <v>38</v>
      </c>
      <c r="L1242" t="s">
        <v>29</v>
      </c>
      <c r="M1242" t="s">
        <v>30</v>
      </c>
      <c r="N1242">
        <v>0</v>
      </c>
      <c r="O1242">
        <v>1</v>
      </c>
      <c r="P1242" s="8">
        <f>INT(Delivery_data[[#This Row],[Order Timestamp]])</f>
        <v>45177</v>
      </c>
      <c r="Q1242">
        <f ca="1">IF(Delivery_data[[#This Row],[Order Status]]="In Progress", TODAY()-Delivery_data[[#This Row],[Order Date]], "")</f>
        <v>806</v>
      </c>
      <c r="R1242">
        <f>IF(Delivery_data[[#This Row],[On Time]]=1,0,1)</f>
        <v>1</v>
      </c>
    </row>
    <row r="1243" spans="1:18" x14ac:dyDescent="0.35">
      <c r="A1243">
        <v>1588</v>
      </c>
      <c r="B1243" t="s">
        <v>1349</v>
      </c>
      <c r="C1243" s="1">
        <v>45170.595138888886</v>
      </c>
      <c r="D1243" t="s">
        <v>25</v>
      </c>
      <c r="E1243" t="s">
        <v>17</v>
      </c>
      <c r="F1243" t="s">
        <v>1125</v>
      </c>
      <c r="G1243" t="s">
        <v>557</v>
      </c>
      <c r="H1243">
        <v>236</v>
      </c>
      <c r="I1243">
        <v>9</v>
      </c>
      <c r="J1243" t="s">
        <v>27</v>
      </c>
      <c r="K1243" t="s">
        <v>38</v>
      </c>
      <c r="L1243" t="s">
        <v>29</v>
      </c>
      <c r="M1243" t="s">
        <v>39</v>
      </c>
      <c r="N1243">
        <v>0</v>
      </c>
      <c r="O1243">
        <v>0</v>
      </c>
      <c r="P1243" s="8">
        <f>INT(Delivery_data[[#This Row],[Order Timestamp]])</f>
        <v>45170</v>
      </c>
      <c r="Q1243" t="str">
        <f ca="1">IF(Delivery_data[[#This Row],[Order Status]]="In Progress", TODAY()-Delivery_data[[#This Row],[Order Date]], "")</f>
        <v/>
      </c>
      <c r="R1243">
        <f>IF(Delivery_data[[#This Row],[On Time]]=1,0,1)</f>
        <v>1</v>
      </c>
    </row>
    <row r="1244" spans="1:18" x14ac:dyDescent="0.35">
      <c r="A1244">
        <v>1589</v>
      </c>
      <c r="B1244" t="s">
        <v>1350</v>
      </c>
      <c r="C1244" s="1">
        <v>45173.631944444445</v>
      </c>
      <c r="D1244" t="s">
        <v>25</v>
      </c>
      <c r="E1244" t="s">
        <v>17</v>
      </c>
      <c r="F1244" t="s">
        <v>1125</v>
      </c>
      <c r="G1244" t="s">
        <v>362</v>
      </c>
      <c r="H1244">
        <v>149</v>
      </c>
      <c r="I1244">
        <v>5</v>
      </c>
      <c r="J1244" t="s">
        <v>35</v>
      </c>
      <c r="K1244" t="s">
        <v>38</v>
      </c>
      <c r="L1244" t="s">
        <v>29</v>
      </c>
      <c r="M1244" t="s">
        <v>39</v>
      </c>
      <c r="N1244">
        <v>0</v>
      </c>
      <c r="O1244">
        <v>1</v>
      </c>
      <c r="P1244" s="8">
        <f>INT(Delivery_data[[#This Row],[Order Timestamp]])</f>
        <v>45173</v>
      </c>
      <c r="Q1244" t="str">
        <f ca="1">IF(Delivery_data[[#This Row],[Order Status]]="In Progress", TODAY()-Delivery_data[[#This Row],[Order Date]], "")</f>
        <v/>
      </c>
      <c r="R1244">
        <f>IF(Delivery_data[[#This Row],[On Time]]=1,0,1)</f>
        <v>1</v>
      </c>
    </row>
    <row r="1245" spans="1:18" x14ac:dyDescent="0.35">
      <c r="A1245">
        <v>1610</v>
      </c>
      <c r="B1245" t="s">
        <v>1351</v>
      </c>
      <c r="C1245" s="1">
        <v>45176.62777777778</v>
      </c>
      <c r="D1245" t="s">
        <v>16</v>
      </c>
      <c r="E1245" t="s">
        <v>85</v>
      </c>
      <c r="F1245" t="s">
        <v>1125</v>
      </c>
      <c r="G1245" t="s">
        <v>19</v>
      </c>
      <c r="H1245">
        <v>163</v>
      </c>
      <c r="I1245">
        <v>19</v>
      </c>
      <c r="J1245" t="s">
        <v>27</v>
      </c>
      <c r="K1245" t="s">
        <v>38</v>
      </c>
      <c r="L1245" t="s">
        <v>29</v>
      </c>
      <c r="M1245" t="s">
        <v>39</v>
      </c>
      <c r="N1245">
        <v>0</v>
      </c>
      <c r="O1245">
        <v>0</v>
      </c>
      <c r="P1245" s="8">
        <f>INT(Delivery_data[[#This Row],[Order Timestamp]])</f>
        <v>45176</v>
      </c>
      <c r="Q1245">
        <f ca="1">IF(Delivery_data[[#This Row],[Order Status]]="In Progress", TODAY()-Delivery_data[[#This Row],[Order Date]], "")</f>
        <v>807</v>
      </c>
      <c r="R1245">
        <f>IF(Delivery_data[[#This Row],[On Time]]=1,0,1)</f>
        <v>1</v>
      </c>
    </row>
    <row r="1246" spans="1:18" x14ac:dyDescent="0.35">
      <c r="A1246">
        <v>1631</v>
      </c>
      <c r="B1246" t="s">
        <v>1352</v>
      </c>
      <c r="C1246" s="1">
        <v>45172.579861111109</v>
      </c>
      <c r="D1246" t="s">
        <v>25</v>
      </c>
      <c r="E1246" t="s">
        <v>58</v>
      </c>
      <c r="F1246" t="s">
        <v>1125</v>
      </c>
      <c r="G1246" t="s">
        <v>19</v>
      </c>
      <c r="H1246">
        <v>116</v>
      </c>
      <c r="I1246">
        <v>1</v>
      </c>
      <c r="J1246" t="s">
        <v>20</v>
      </c>
      <c r="K1246" t="s">
        <v>28</v>
      </c>
      <c r="L1246" t="s">
        <v>29</v>
      </c>
      <c r="M1246" t="s">
        <v>23</v>
      </c>
      <c r="N1246">
        <v>0</v>
      </c>
      <c r="O1246">
        <v>0</v>
      </c>
      <c r="P1246" s="8">
        <f>INT(Delivery_data[[#This Row],[Order Timestamp]])</f>
        <v>45172</v>
      </c>
      <c r="Q1246" t="str">
        <f ca="1">IF(Delivery_data[[#This Row],[Order Status]]="In Progress", TODAY()-Delivery_data[[#This Row],[Order Date]], "")</f>
        <v/>
      </c>
      <c r="R1246">
        <f>IF(Delivery_data[[#This Row],[On Time]]=1,0,1)</f>
        <v>1</v>
      </c>
    </row>
    <row r="1247" spans="1:18" x14ac:dyDescent="0.35">
      <c r="A1247">
        <v>1651</v>
      </c>
      <c r="B1247" t="s">
        <v>1353</v>
      </c>
      <c r="C1247" s="1">
        <v>45170.54583333333</v>
      </c>
      <c r="D1247" t="s">
        <v>16</v>
      </c>
      <c r="E1247" t="s">
        <v>56</v>
      </c>
      <c r="F1247" t="s">
        <v>1125</v>
      </c>
      <c r="G1247" t="s">
        <v>557</v>
      </c>
      <c r="H1247">
        <v>188</v>
      </c>
      <c r="I1247">
        <v>26</v>
      </c>
      <c r="J1247" t="s">
        <v>27</v>
      </c>
      <c r="K1247" t="s">
        <v>33</v>
      </c>
      <c r="L1247" t="s">
        <v>29</v>
      </c>
      <c r="M1247" t="s">
        <v>39</v>
      </c>
      <c r="N1247">
        <v>0</v>
      </c>
      <c r="O1247">
        <v>0</v>
      </c>
      <c r="P1247" s="8">
        <f>INT(Delivery_data[[#This Row],[Order Timestamp]])</f>
        <v>45170</v>
      </c>
      <c r="Q1247">
        <f ca="1">IF(Delivery_data[[#This Row],[Order Status]]="In Progress", TODAY()-Delivery_data[[#This Row],[Order Date]], "")</f>
        <v>813</v>
      </c>
      <c r="R1247">
        <f>IF(Delivery_data[[#This Row],[On Time]]=1,0,1)</f>
        <v>1</v>
      </c>
    </row>
    <row r="1248" spans="1:18" x14ac:dyDescent="0.35">
      <c r="A1248">
        <v>1661</v>
      </c>
      <c r="B1248" t="s">
        <v>382</v>
      </c>
      <c r="C1248" s="1">
        <v>45175.614583333336</v>
      </c>
      <c r="D1248" t="s">
        <v>25</v>
      </c>
      <c r="E1248" t="s">
        <v>559</v>
      </c>
      <c r="F1248" t="s">
        <v>1125</v>
      </c>
      <c r="G1248" t="s">
        <v>557</v>
      </c>
      <c r="H1248">
        <v>135</v>
      </c>
      <c r="I1248">
        <v>18</v>
      </c>
      <c r="J1248" t="s">
        <v>35</v>
      </c>
      <c r="K1248" t="s">
        <v>28</v>
      </c>
      <c r="L1248" t="s">
        <v>29</v>
      </c>
      <c r="M1248" t="s">
        <v>30</v>
      </c>
      <c r="N1248">
        <v>0</v>
      </c>
      <c r="O1248">
        <v>1</v>
      </c>
      <c r="P1248" s="8">
        <f>INT(Delivery_data[[#This Row],[Order Timestamp]])</f>
        <v>45175</v>
      </c>
      <c r="Q1248" t="str">
        <f ca="1">IF(Delivery_data[[#This Row],[Order Status]]="In Progress", TODAY()-Delivery_data[[#This Row],[Order Date]], "")</f>
        <v/>
      </c>
      <c r="R1248">
        <f>IF(Delivery_data[[#This Row],[On Time]]=1,0,1)</f>
        <v>1</v>
      </c>
    </row>
    <row r="1249" spans="1:18" x14ac:dyDescent="0.35">
      <c r="A1249">
        <v>1666</v>
      </c>
      <c r="B1249" t="s">
        <v>1354</v>
      </c>
      <c r="C1249" s="1">
        <v>45175.576388888891</v>
      </c>
      <c r="D1249" t="s">
        <v>16</v>
      </c>
      <c r="E1249" t="s">
        <v>260</v>
      </c>
      <c r="F1249" t="s">
        <v>1125</v>
      </c>
      <c r="G1249" t="s">
        <v>362</v>
      </c>
      <c r="H1249">
        <v>233</v>
      </c>
      <c r="I1249">
        <v>22</v>
      </c>
      <c r="J1249" t="s">
        <v>35</v>
      </c>
      <c r="K1249" t="s">
        <v>33</v>
      </c>
      <c r="L1249" t="s">
        <v>29</v>
      </c>
      <c r="M1249" t="s">
        <v>23</v>
      </c>
      <c r="N1249">
        <v>0</v>
      </c>
      <c r="O1249">
        <v>1</v>
      </c>
      <c r="P1249" s="8">
        <f>INT(Delivery_data[[#This Row],[Order Timestamp]])</f>
        <v>45175</v>
      </c>
      <c r="Q1249">
        <f ca="1">IF(Delivery_data[[#This Row],[Order Status]]="In Progress", TODAY()-Delivery_data[[#This Row],[Order Date]], "")</f>
        <v>808</v>
      </c>
      <c r="R1249">
        <f>IF(Delivery_data[[#This Row],[On Time]]=1,0,1)</f>
        <v>1</v>
      </c>
    </row>
    <row r="1250" spans="1:18" x14ac:dyDescent="0.35">
      <c r="A1250">
        <v>1670</v>
      </c>
      <c r="B1250" t="s">
        <v>1355</v>
      </c>
      <c r="C1250" s="1">
        <v>45172.550694444442</v>
      </c>
      <c r="D1250" t="s">
        <v>25</v>
      </c>
      <c r="E1250" t="s">
        <v>48</v>
      </c>
      <c r="F1250" t="s">
        <v>1125</v>
      </c>
      <c r="G1250" t="s">
        <v>233</v>
      </c>
      <c r="H1250">
        <v>198</v>
      </c>
      <c r="I1250">
        <v>10</v>
      </c>
      <c r="J1250" t="s">
        <v>20</v>
      </c>
      <c r="K1250" t="s">
        <v>51</v>
      </c>
      <c r="L1250" t="s">
        <v>29</v>
      </c>
      <c r="M1250" t="s">
        <v>30</v>
      </c>
      <c r="N1250">
        <v>0</v>
      </c>
      <c r="O1250">
        <v>0</v>
      </c>
      <c r="P1250" s="8">
        <f>INT(Delivery_data[[#This Row],[Order Timestamp]])</f>
        <v>45172</v>
      </c>
      <c r="Q1250" t="str">
        <f ca="1">IF(Delivery_data[[#This Row],[Order Status]]="In Progress", TODAY()-Delivery_data[[#This Row],[Order Date]], "")</f>
        <v/>
      </c>
      <c r="R1250">
        <f>IF(Delivery_data[[#This Row],[On Time]]=1,0,1)</f>
        <v>1</v>
      </c>
    </row>
    <row r="1251" spans="1:18" x14ac:dyDescent="0.35">
      <c r="A1251">
        <v>1671</v>
      </c>
      <c r="B1251" t="s">
        <v>1356</v>
      </c>
      <c r="C1251" s="1">
        <v>45174.57708333333</v>
      </c>
      <c r="D1251" t="s">
        <v>25</v>
      </c>
      <c r="E1251" t="s">
        <v>64</v>
      </c>
      <c r="F1251" t="s">
        <v>1125</v>
      </c>
      <c r="G1251" t="s">
        <v>233</v>
      </c>
      <c r="H1251">
        <v>230</v>
      </c>
      <c r="I1251">
        <v>24</v>
      </c>
      <c r="J1251" t="s">
        <v>20</v>
      </c>
      <c r="K1251" t="s">
        <v>33</v>
      </c>
      <c r="L1251" t="s">
        <v>29</v>
      </c>
      <c r="M1251" t="s">
        <v>23</v>
      </c>
      <c r="N1251">
        <v>0</v>
      </c>
      <c r="O1251">
        <v>0</v>
      </c>
      <c r="P1251" s="8">
        <f>INT(Delivery_data[[#This Row],[Order Timestamp]])</f>
        <v>45174</v>
      </c>
      <c r="Q1251" t="str">
        <f ca="1">IF(Delivery_data[[#This Row],[Order Status]]="In Progress", TODAY()-Delivery_data[[#This Row],[Order Date]], "")</f>
        <v/>
      </c>
      <c r="R1251">
        <f>IF(Delivery_data[[#This Row],[On Time]]=1,0,1)</f>
        <v>1</v>
      </c>
    </row>
    <row r="1252" spans="1:18" x14ac:dyDescent="0.35">
      <c r="A1252">
        <v>1676</v>
      </c>
      <c r="B1252" t="s">
        <v>1357</v>
      </c>
      <c r="C1252" s="1">
        <v>45172.495833333334</v>
      </c>
      <c r="D1252" t="s">
        <v>25</v>
      </c>
      <c r="E1252" t="s">
        <v>206</v>
      </c>
      <c r="F1252" t="s">
        <v>1125</v>
      </c>
      <c r="G1252" t="s">
        <v>19</v>
      </c>
      <c r="H1252">
        <v>161</v>
      </c>
      <c r="I1252">
        <v>1</v>
      </c>
      <c r="J1252" t="s">
        <v>35</v>
      </c>
      <c r="K1252" t="s">
        <v>51</v>
      </c>
      <c r="L1252" t="s">
        <v>29</v>
      </c>
      <c r="M1252" t="s">
        <v>30</v>
      </c>
      <c r="N1252">
        <v>0</v>
      </c>
      <c r="O1252">
        <v>1</v>
      </c>
      <c r="P1252" s="8">
        <f>INT(Delivery_data[[#This Row],[Order Timestamp]])</f>
        <v>45172</v>
      </c>
      <c r="Q1252" t="str">
        <f ca="1">IF(Delivery_data[[#This Row],[Order Status]]="In Progress", TODAY()-Delivery_data[[#This Row],[Order Date]], "")</f>
        <v/>
      </c>
      <c r="R1252">
        <f>IF(Delivery_data[[#This Row],[On Time]]=1,0,1)</f>
        <v>1</v>
      </c>
    </row>
    <row r="1253" spans="1:18" x14ac:dyDescent="0.35">
      <c r="A1253">
        <v>1710</v>
      </c>
      <c r="B1253" t="s">
        <v>1358</v>
      </c>
      <c r="C1253" s="1">
        <v>45175.474999999999</v>
      </c>
      <c r="D1253" t="s">
        <v>25</v>
      </c>
      <c r="E1253" t="s">
        <v>447</v>
      </c>
      <c r="F1253" t="s">
        <v>1125</v>
      </c>
      <c r="G1253" t="s">
        <v>362</v>
      </c>
      <c r="H1253">
        <v>194</v>
      </c>
      <c r="I1253">
        <v>17</v>
      </c>
      <c r="J1253" t="s">
        <v>35</v>
      </c>
      <c r="K1253" t="s">
        <v>51</v>
      </c>
      <c r="L1253" t="s">
        <v>29</v>
      </c>
      <c r="M1253" t="s">
        <v>23</v>
      </c>
      <c r="N1253">
        <v>0</v>
      </c>
      <c r="O1253">
        <v>1</v>
      </c>
      <c r="P1253" s="8">
        <f>INT(Delivery_data[[#This Row],[Order Timestamp]])</f>
        <v>45175</v>
      </c>
      <c r="Q1253" t="str">
        <f ca="1">IF(Delivery_data[[#This Row],[Order Status]]="In Progress", TODAY()-Delivery_data[[#This Row],[Order Date]], "")</f>
        <v/>
      </c>
      <c r="R1253">
        <f>IF(Delivery_data[[#This Row],[On Time]]=1,0,1)</f>
        <v>1</v>
      </c>
    </row>
    <row r="1254" spans="1:18" x14ac:dyDescent="0.35">
      <c r="A1254">
        <v>1711</v>
      </c>
      <c r="B1254" t="s">
        <v>1359</v>
      </c>
      <c r="C1254" s="1">
        <v>45176.505555555559</v>
      </c>
      <c r="D1254" t="s">
        <v>16</v>
      </c>
      <c r="E1254" t="s">
        <v>83</v>
      </c>
      <c r="F1254" t="s">
        <v>1125</v>
      </c>
      <c r="G1254" t="s">
        <v>233</v>
      </c>
      <c r="H1254">
        <v>151</v>
      </c>
      <c r="I1254">
        <v>7</v>
      </c>
      <c r="J1254" t="s">
        <v>27</v>
      </c>
      <c r="K1254" t="s">
        <v>21</v>
      </c>
      <c r="L1254" t="s">
        <v>29</v>
      </c>
      <c r="M1254" t="s">
        <v>23</v>
      </c>
      <c r="N1254">
        <v>0</v>
      </c>
      <c r="O1254">
        <v>0</v>
      </c>
      <c r="P1254" s="8">
        <f>INT(Delivery_data[[#This Row],[Order Timestamp]])</f>
        <v>45176</v>
      </c>
      <c r="Q1254">
        <f ca="1">IF(Delivery_data[[#This Row],[Order Status]]="In Progress", TODAY()-Delivery_data[[#This Row],[Order Date]], "")</f>
        <v>807</v>
      </c>
      <c r="R1254">
        <f>IF(Delivery_data[[#This Row],[On Time]]=1,0,1)</f>
        <v>1</v>
      </c>
    </row>
    <row r="1255" spans="1:18" x14ac:dyDescent="0.35">
      <c r="A1255">
        <v>1716</v>
      </c>
      <c r="B1255" t="s">
        <v>1360</v>
      </c>
      <c r="C1255" s="1">
        <v>45173.493055555555</v>
      </c>
      <c r="D1255" t="s">
        <v>25</v>
      </c>
      <c r="E1255" t="s">
        <v>284</v>
      </c>
      <c r="F1255" t="s">
        <v>1125</v>
      </c>
      <c r="G1255" t="s">
        <v>19</v>
      </c>
      <c r="H1255">
        <v>218</v>
      </c>
      <c r="I1255">
        <v>2</v>
      </c>
      <c r="J1255" t="s">
        <v>35</v>
      </c>
      <c r="K1255" t="s">
        <v>33</v>
      </c>
      <c r="L1255" t="s">
        <v>29</v>
      </c>
      <c r="M1255" t="s">
        <v>39</v>
      </c>
      <c r="N1255">
        <v>0</v>
      </c>
      <c r="O1255">
        <v>1</v>
      </c>
      <c r="P1255" s="8">
        <f>INT(Delivery_data[[#This Row],[Order Timestamp]])</f>
        <v>45173</v>
      </c>
      <c r="Q1255" t="str">
        <f ca="1">IF(Delivery_data[[#This Row],[Order Status]]="In Progress", TODAY()-Delivery_data[[#This Row],[Order Date]], "")</f>
        <v/>
      </c>
      <c r="R1255">
        <f>IF(Delivery_data[[#This Row],[On Time]]=1,0,1)</f>
        <v>1</v>
      </c>
    </row>
    <row r="1256" spans="1:18" x14ac:dyDescent="0.35">
      <c r="A1256">
        <v>1721</v>
      </c>
      <c r="B1256" t="s">
        <v>1163</v>
      </c>
      <c r="C1256" s="1">
        <v>45176.361111111109</v>
      </c>
      <c r="D1256" t="s">
        <v>25</v>
      </c>
      <c r="E1256" t="s">
        <v>26</v>
      </c>
      <c r="F1256" t="s">
        <v>1125</v>
      </c>
      <c r="G1256" t="s">
        <v>463</v>
      </c>
      <c r="H1256">
        <v>90</v>
      </c>
      <c r="I1256">
        <v>24</v>
      </c>
      <c r="J1256" t="s">
        <v>35</v>
      </c>
      <c r="K1256" t="s">
        <v>51</v>
      </c>
      <c r="L1256" t="s">
        <v>29</v>
      </c>
      <c r="M1256" t="s">
        <v>39</v>
      </c>
      <c r="N1256">
        <v>0</v>
      </c>
      <c r="O1256">
        <v>1</v>
      </c>
      <c r="P1256" s="8">
        <f>INT(Delivery_data[[#This Row],[Order Timestamp]])</f>
        <v>45176</v>
      </c>
      <c r="Q1256" t="str">
        <f ca="1">IF(Delivery_data[[#This Row],[Order Status]]="In Progress", TODAY()-Delivery_data[[#This Row],[Order Date]], "")</f>
        <v/>
      </c>
      <c r="R1256">
        <f>IF(Delivery_data[[#This Row],[On Time]]=1,0,1)</f>
        <v>1</v>
      </c>
    </row>
    <row r="1257" spans="1:18" x14ac:dyDescent="0.35">
      <c r="A1257">
        <v>1737</v>
      </c>
      <c r="B1257" t="s">
        <v>1361</v>
      </c>
      <c r="C1257" s="1">
        <v>45172.363888888889</v>
      </c>
      <c r="D1257" t="s">
        <v>16</v>
      </c>
      <c r="E1257" t="s">
        <v>85</v>
      </c>
      <c r="F1257" t="s">
        <v>1125</v>
      </c>
      <c r="G1257" t="s">
        <v>557</v>
      </c>
      <c r="H1257">
        <v>232</v>
      </c>
      <c r="I1257">
        <v>19</v>
      </c>
      <c r="J1257" t="s">
        <v>35</v>
      </c>
      <c r="K1257" t="s">
        <v>28</v>
      </c>
      <c r="L1257" t="s">
        <v>29</v>
      </c>
      <c r="M1257" t="s">
        <v>30</v>
      </c>
      <c r="N1257">
        <v>0</v>
      </c>
      <c r="O1257">
        <v>1</v>
      </c>
      <c r="P1257" s="8">
        <f>INT(Delivery_data[[#This Row],[Order Timestamp]])</f>
        <v>45172</v>
      </c>
      <c r="Q1257">
        <f ca="1">IF(Delivery_data[[#This Row],[Order Status]]="In Progress", TODAY()-Delivery_data[[#This Row],[Order Date]], "")</f>
        <v>811</v>
      </c>
      <c r="R1257">
        <f>IF(Delivery_data[[#This Row],[On Time]]=1,0,1)</f>
        <v>1</v>
      </c>
    </row>
    <row r="1258" spans="1:18" x14ac:dyDescent="0.35">
      <c r="A1258">
        <v>1749</v>
      </c>
      <c r="B1258" t="s">
        <v>1362</v>
      </c>
      <c r="C1258" s="1">
        <v>45171.565972222219</v>
      </c>
      <c r="D1258" t="s">
        <v>16</v>
      </c>
      <c r="E1258" t="s">
        <v>62</v>
      </c>
      <c r="F1258" t="s">
        <v>1125</v>
      </c>
      <c r="G1258" t="s">
        <v>463</v>
      </c>
      <c r="H1258">
        <v>110</v>
      </c>
      <c r="I1258">
        <v>8</v>
      </c>
      <c r="J1258" t="s">
        <v>27</v>
      </c>
      <c r="K1258" t="s">
        <v>33</v>
      </c>
      <c r="L1258" t="s">
        <v>29</v>
      </c>
      <c r="M1258" t="s">
        <v>39</v>
      </c>
      <c r="N1258">
        <v>0</v>
      </c>
      <c r="O1258">
        <v>0</v>
      </c>
      <c r="P1258" s="8">
        <f>INT(Delivery_data[[#This Row],[Order Timestamp]])</f>
        <v>45171</v>
      </c>
      <c r="Q1258">
        <f ca="1">IF(Delivery_data[[#This Row],[Order Status]]="In Progress", TODAY()-Delivery_data[[#This Row],[Order Date]], "")</f>
        <v>812</v>
      </c>
      <c r="R1258">
        <f>IF(Delivery_data[[#This Row],[On Time]]=1,0,1)</f>
        <v>1</v>
      </c>
    </row>
    <row r="1259" spans="1:18" x14ac:dyDescent="0.35">
      <c r="A1259">
        <v>1753</v>
      </c>
      <c r="B1259" t="s">
        <v>1363</v>
      </c>
      <c r="C1259" s="1">
        <v>45175.366666666669</v>
      </c>
      <c r="D1259" t="s">
        <v>25</v>
      </c>
      <c r="E1259" t="s">
        <v>314</v>
      </c>
      <c r="F1259" t="s">
        <v>1125</v>
      </c>
      <c r="G1259" t="s">
        <v>463</v>
      </c>
      <c r="H1259">
        <v>227</v>
      </c>
      <c r="I1259">
        <v>1</v>
      </c>
      <c r="J1259" t="s">
        <v>35</v>
      </c>
      <c r="K1259" t="s">
        <v>28</v>
      </c>
      <c r="L1259" t="s">
        <v>29</v>
      </c>
      <c r="M1259" t="s">
        <v>30</v>
      </c>
      <c r="N1259">
        <v>0</v>
      </c>
      <c r="O1259">
        <v>1</v>
      </c>
      <c r="P1259" s="8">
        <f>INT(Delivery_data[[#This Row],[Order Timestamp]])</f>
        <v>45175</v>
      </c>
      <c r="Q1259" t="str">
        <f ca="1">IF(Delivery_data[[#This Row],[Order Status]]="In Progress", TODAY()-Delivery_data[[#This Row],[Order Date]], "")</f>
        <v/>
      </c>
      <c r="R1259">
        <f>IF(Delivery_data[[#This Row],[On Time]]=1,0,1)</f>
        <v>1</v>
      </c>
    </row>
    <row r="1260" spans="1:18" x14ac:dyDescent="0.35">
      <c r="A1260">
        <v>1759</v>
      </c>
      <c r="B1260" t="s">
        <v>1364</v>
      </c>
      <c r="C1260" s="1">
        <v>45171.362500000003</v>
      </c>
      <c r="D1260" t="s">
        <v>16</v>
      </c>
      <c r="E1260" t="s">
        <v>175</v>
      </c>
      <c r="F1260" t="s">
        <v>1125</v>
      </c>
      <c r="G1260" t="s">
        <v>557</v>
      </c>
      <c r="H1260">
        <v>165</v>
      </c>
      <c r="I1260">
        <v>21</v>
      </c>
      <c r="J1260" t="s">
        <v>20</v>
      </c>
      <c r="K1260" t="s">
        <v>51</v>
      </c>
      <c r="L1260" t="s">
        <v>29</v>
      </c>
      <c r="M1260" t="s">
        <v>30</v>
      </c>
      <c r="N1260">
        <v>0</v>
      </c>
      <c r="O1260">
        <v>0</v>
      </c>
      <c r="P1260" s="8">
        <f>INT(Delivery_data[[#This Row],[Order Timestamp]])</f>
        <v>45171</v>
      </c>
      <c r="Q1260">
        <f ca="1">IF(Delivery_data[[#This Row],[Order Status]]="In Progress", TODAY()-Delivery_data[[#This Row],[Order Date]], "")</f>
        <v>812</v>
      </c>
      <c r="R1260">
        <f>IF(Delivery_data[[#This Row],[On Time]]=1,0,1)</f>
        <v>1</v>
      </c>
    </row>
    <row r="1261" spans="1:18" x14ac:dyDescent="0.35">
      <c r="A1261">
        <v>1765</v>
      </c>
      <c r="B1261" t="s">
        <v>1365</v>
      </c>
      <c r="C1261" s="1">
        <v>45171.344444444447</v>
      </c>
      <c r="D1261" t="s">
        <v>25</v>
      </c>
      <c r="E1261" t="s">
        <v>320</v>
      </c>
      <c r="F1261" t="s">
        <v>1125</v>
      </c>
      <c r="G1261" t="s">
        <v>362</v>
      </c>
      <c r="H1261">
        <v>73</v>
      </c>
      <c r="I1261">
        <v>1</v>
      </c>
      <c r="J1261" t="s">
        <v>27</v>
      </c>
      <c r="K1261" t="s">
        <v>33</v>
      </c>
      <c r="L1261" t="s">
        <v>29</v>
      </c>
      <c r="M1261" t="s">
        <v>23</v>
      </c>
      <c r="N1261">
        <v>0</v>
      </c>
      <c r="O1261">
        <v>0</v>
      </c>
      <c r="P1261" s="8">
        <f>INT(Delivery_data[[#This Row],[Order Timestamp]])</f>
        <v>45171</v>
      </c>
      <c r="Q1261" t="str">
        <f ca="1">IF(Delivery_data[[#This Row],[Order Status]]="In Progress", TODAY()-Delivery_data[[#This Row],[Order Date]], "")</f>
        <v/>
      </c>
      <c r="R1261">
        <f>IF(Delivery_data[[#This Row],[On Time]]=1,0,1)</f>
        <v>1</v>
      </c>
    </row>
    <row r="1262" spans="1:18" x14ac:dyDescent="0.35">
      <c r="A1262">
        <v>1767</v>
      </c>
      <c r="B1262" t="s">
        <v>1366</v>
      </c>
      <c r="C1262" s="1">
        <v>45173.52847222222</v>
      </c>
      <c r="D1262" t="s">
        <v>25</v>
      </c>
      <c r="E1262" t="s">
        <v>158</v>
      </c>
      <c r="F1262" t="s">
        <v>1125</v>
      </c>
      <c r="G1262" t="s">
        <v>233</v>
      </c>
      <c r="H1262">
        <v>171</v>
      </c>
      <c r="I1262">
        <v>2</v>
      </c>
      <c r="J1262" t="s">
        <v>20</v>
      </c>
      <c r="K1262" t="s">
        <v>33</v>
      </c>
      <c r="L1262" t="s">
        <v>29</v>
      </c>
      <c r="M1262" t="s">
        <v>23</v>
      </c>
      <c r="N1262">
        <v>0</v>
      </c>
      <c r="O1262">
        <v>0</v>
      </c>
      <c r="P1262" s="8">
        <f>INT(Delivery_data[[#This Row],[Order Timestamp]])</f>
        <v>45173</v>
      </c>
      <c r="Q1262" t="str">
        <f ca="1">IF(Delivery_data[[#This Row],[Order Status]]="In Progress", TODAY()-Delivery_data[[#This Row],[Order Date]], "")</f>
        <v/>
      </c>
      <c r="R1262">
        <f>IF(Delivery_data[[#This Row],[On Time]]=1,0,1)</f>
        <v>1</v>
      </c>
    </row>
    <row r="1263" spans="1:18" x14ac:dyDescent="0.35">
      <c r="A1263">
        <v>1806</v>
      </c>
      <c r="B1263" t="s">
        <v>1367</v>
      </c>
      <c r="C1263" s="1">
        <v>45174.525694444441</v>
      </c>
      <c r="D1263" t="s">
        <v>16</v>
      </c>
      <c r="E1263" t="s">
        <v>292</v>
      </c>
      <c r="F1263" t="s">
        <v>1125</v>
      </c>
      <c r="G1263" t="s">
        <v>19</v>
      </c>
      <c r="H1263">
        <v>110</v>
      </c>
      <c r="I1263">
        <v>22</v>
      </c>
      <c r="J1263" t="s">
        <v>27</v>
      </c>
      <c r="K1263" t="s">
        <v>28</v>
      </c>
      <c r="L1263" t="s">
        <v>29</v>
      </c>
      <c r="M1263" t="s">
        <v>23</v>
      </c>
      <c r="N1263">
        <v>0</v>
      </c>
      <c r="O1263">
        <v>0</v>
      </c>
      <c r="P1263" s="8">
        <f>INT(Delivery_data[[#This Row],[Order Timestamp]])</f>
        <v>45174</v>
      </c>
      <c r="Q1263">
        <f ca="1">IF(Delivery_data[[#This Row],[Order Status]]="In Progress", TODAY()-Delivery_data[[#This Row],[Order Date]], "")</f>
        <v>809</v>
      </c>
      <c r="R1263">
        <f>IF(Delivery_data[[#This Row],[On Time]]=1,0,1)</f>
        <v>1</v>
      </c>
    </row>
    <row r="1264" spans="1:18" x14ac:dyDescent="0.35">
      <c r="A1264">
        <v>1831</v>
      </c>
      <c r="B1264" t="s">
        <v>1368</v>
      </c>
      <c r="C1264" s="1">
        <v>45173.56527777778</v>
      </c>
      <c r="D1264" t="s">
        <v>16</v>
      </c>
      <c r="E1264" t="s">
        <v>76</v>
      </c>
      <c r="F1264" t="s">
        <v>1125</v>
      </c>
      <c r="G1264" t="s">
        <v>233</v>
      </c>
      <c r="H1264">
        <v>177</v>
      </c>
      <c r="I1264">
        <v>23</v>
      </c>
      <c r="J1264" t="s">
        <v>35</v>
      </c>
      <c r="K1264" t="s">
        <v>21</v>
      </c>
      <c r="L1264" t="s">
        <v>29</v>
      </c>
      <c r="M1264" t="s">
        <v>23</v>
      </c>
      <c r="N1264">
        <v>0</v>
      </c>
      <c r="O1264">
        <v>1</v>
      </c>
      <c r="P1264" s="8">
        <f>INT(Delivery_data[[#This Row],[Order Timestamp]])</f>
        <v>45173</v>
      </c>
      <c r="Q1264">
        <f ca="1">IF(Delivery_data[[#This Row],[Order Status]]="In Progress", TODAY()-Delivery_data[[#This Row],[Order Date]], "")</f>
        <v>810</v>
      </c>
      <c r="R1264">
        <f>IF(Delivery_data[[#This Row],[On Time]]=1,0,1)</f>
        <v>1</v>
      </c>
    </row>
    <row r="1265" spans="1:18" x14ac:dyDescent="0.35">
      <c r="A1265">
        <v>1841</v>
      </c>
      <c r="B1265" t="s">
        <v>1369</v>
      </c>
      <c r="C1265" s="1">
        <v>45175.55</v>
      </c>
      <c r="D1265" t="s">
        <v>25</v>
      </c>
      <c r="E1265" t="s">
        <v>267</v>
      </c>
      <c r="F1265" t="s">
        <v>1125</v>
      </c>
      <c r="G1265" t="s">
        <v>233</v>
      </c>
      <c r="H1265">
        <v>124</v>
      </c>
      <c r="I1265">
        <v>23</v>
      </c>
      <c r="J1265" t="s">
        <v>20</v>
      </c>
      <c r="K1265" t="s">
        <v>28</v>
      </c>
      <c r="L1265" t="s">
        <v>29</v>
      </c>
      <c r="M1265" t="s">
        <v>23</v>
      </c>
      <c r="N1265">
        <v>0</v>
      </c>
      <c r="O1265">
        <v>0</v>
      </c>
      <c r="P1265" s="8">
        <f>INT(Delivery_data[[#This Row],[Order Timestamp]])</f>
        <v>45175</v>
      </c>
      <c r="Q1265" t="str">
        <f ca="1">IF(Delivery_data[[#This Row],[Order Status]]="In Progress", TODAY()-Delivery_data[[#This Row],[Order Date]], "")</f>
        <v/>
      </c>
      <c r="R1265">
        <f>IF(Delivery_data[[#This Row],[On Time]]=1,0,1)</f>
        <v>1</v>
      </c>
    </row>
    <row r="1266" spans="1:18" x14ac:dyDescent="0.35">
      <c r="A1266">
        <v>1870</v>
      </c>
      <c r="B1266" t="s">
        <v>1370</v>
      </c>
      <c r="C1266" s="1">
        <v>45175.647916666669</v>
      </c>
      <c r="D1266" t="s">
        <v>16</v>
      </c>
      <c r="E1266" t="s">
        <v>287</v>
      </c>
      <c r="F1266" t="s">
        <v>1125</v>
      </c>
      <c r="G1266" t="s">
        <v>463</v>
      </c>
      <c r="H1266">
        <v>119</v>
      </c>
      <c r="I1266">
        <v>4</v>
      </c>
      <c r="J1266" t="s">
        <v>20</v>
      </c>
      <c r="K1266" t="s">
        <v>38</v>
      </c>
      <c r="L1266" t="s">
        <v>29</v>
      </c>
      <c r="M1266" t="s">
        <v>30</v>
      </c>
      <c r="N1266">
        <v>0</v>
      </c>
      <c r="O1266">
        <v>0</v>
      </c>
      <c r="P1266" s="8">
        <f>INT(Delivery_data[[#This Row],[Order Timestamp]])</f>
        <v>45175</v>
      </c>
      <c r="Q1266">
        <f ca="1">IF(Delivery_data[[#This Row],[Order Status]]="In Progress", TODAY()-Delivery_data[[#This Row],[Order Date]], "")</f>
        <v>808</v>
      </c>
      <c r="R1266">
        <f>IF(Delivery_data[[#This Row],[On Time]]=1,0,1)</f>
        <v>1</v>
      </c>
    </row>
    <row r="1267" spans="1:18" x14ac:dyDescent="0.35">
      <c r="A1267">
        <v>1878</v>
      </c>
      <c r="B1267" t="s">
        <v>1371</v>
      </c>
      <c r="C1267" s="1">
        <v>45177.338194444441</v>
      </c>
      <c r="D1267" t="s">
        <v>16</v>
      </c>
      <c r="E1267" t="s">
        <v>72</v>
      </c>
      <c r="F1267" t="s">
        <v>1125</v>
      </c>
      <c r="G1267" t="s">
        <v>557</v>
      </c>
      <c r="H1267">
        <v>173</v>
      </c>
      <c r="I1267">
        <v>10</v>
      </c>
      <c r="J1267" t="s">
        <v>27</v>
      </c>
      <c r="K1267" t="s">
        <v>51</v>
      </c>
      <c r="L1267" t="s">
        <v>29</v>
      </c>
      <c r="M1267" t="s">
        <v>39</v>
      </c>
      <c r="N1267">
        <v>0</v>
      </c>
      <c r="O1267">
        <v>0</v>
      </c>
      <c r="P1267" s="8">
        <f>INT(Delivery_data[[#This Row],[Order Timestamp]])</f>
        <v>45177</v>
      </c>
      <c r="Q1267">
        <f ca="1">IF(Delivery_data[[#This Row],[Order Status]]="In Progress", TODAY()-Delivery_data[[#This Row],[Order Date]], "")</f>
        <v>806</v>
      </c>
      <c r="R1267">
        <f>IF(Delivery_data[[#This Row],[On Time]]=1,0,1)</f>
        <v>1</v>
      </c>
    </row>
    <row r="1268" spans="1:18" x14ac:dyDescent="0.35">
      <c r="A1268">
        <v>1897</v>
      </c>
      <c r="B1268" t="s">
        <v>1372</v>
      </c>
      <c r="C1268" s="1">
        <v>45174.359722222223</v>
      </c>
      <c r="D1268" t="s">
        <v>16</v>
      </c>
      <c r="E1268" t="s">
        <v>17</v>
      </c>
      <c r="F1268" t="s">
        <v>1125</v>
      </c>
      <c r="G1268" t="s">
        <v>19</v>
      </c>
      <c r="H1268">
        <v>183</v>
      </c>
      <c r="I1268">
        <v>6</v>
      </c>
      <c r="J1268" t="s">
        <v>20</v>
      </c>
      <c r="K1268" t="s">
        <v>38</v>
      </c>
      <c r="L1268" t="s">
        <v>29</v>
      </c>
      <c r="M1268" t="s">
        <v>39</v>
      </c>
      <c r="N1268">
        <v>0</v>
      </c>
      <c r="O1268">
        <v>0</v>
      </c>
      <c r="P1268" s="8">
        <f>INT(Delivery_data[[#This Row],[Order Timestamp]])</f>
        <v>45174</v>
      </c>
      <c r="Q1268">
        <f ca="1">IF(Delivery_data[[#This Row],[Order Status]]="In Progress", TODAY()-Delivery_data[[#This Row],[Order Date]], "")</f>
        <v>809</v>
      </c>
      <c r="R1268">
        <f>IF(Delivery_data[[#This Row],[On Time]]=1,0,1)</f>
        <v>1</v>
      </c>
    </row>
    <row r="1269" spans="1:18" x14ac:dyDescent="0.35">
      <c r="A1269">
        <v>1899</v>
      </c>
      <c r="B1269" t="s">
        <v>1373</v>
      </c>
      <c r="C1269" s="1">
        <v>45176.491666666669</v>
      </c>
      <c r="D1269" t="s">
        <v>25</v>
      </c>
      <c r="E1269" t="s">
        <v>258</v>
      </c>
      <c r="F1269" t="s">
        <v>1125</v>
      </c>
      <c r="G1269" t="s">
        <v>233</v>
      </c>
      <c r="H1269">
        <v>103</v>
      </c>
      <c r="I1269">
        <v>6</v>
      </c>
      <c r="J1269" t="s">
        <v>35</v>
      </c>
      <c r="K1269" t="s">
        <v>28</v>
      </c>
      <c r="L1269" t="s">
        <v>29</v>
      </c>
      <c r="M1269" t="s">
        <v>39</v>
      </c>
      <c r="N1269">
        <v>0</v>
      </c>
      <c r="O1269">
        <v>1</v>
      </c>
      <c r="P1269" s="8">
        <f>INT(Delivery_data[[#This Row],[Order Timestamp]])</f>
        <v>45176</v>
      </c>
      <c r="Q1269" t="str">
        <f ca="1">IF(Delivery_data[[#This Row],[Order Status]]="In Progress", TODAY()-Delivery_data[[#This Row],[Order Date]], "")</f>
        <v/>
      </c>
      <c r="R1269">
        <f>IF(Delivery_data[[#This Row],[On Time]]=1,0,1)</f>
        <v>1</v>
      </c>
    </row>
    <row r="1270" spans="1:18" x14ac:dyDescent="0.35">
      <c r="A1270">
        <v>1904</v>
      </c>
      <c r="B1270" t="s">
        <v>1374</v>
      </c>
      <c r="C1270" s="1">
        <v>45172.572916666664</v>
      </c>
      <c r="D1270" t="s">
        <v>25</v>
      </c>
      <c r="E1270" t="s">
        <v>274</v>
      </c>
      <c r="F1270" t="s">
        <v>1125</v>
      </c>
      <c r="G1270" t="s">
        <v>233</v>
      </c>
      <c r="H1270">
        <v>229</v>
      </c>
      <c r="I1270">
        <v>10</v>
      </c>
      <c r="J1270" t="s">
        <v>35</v>
      </c>
      <c r="K1270" t="s">
        <v>38</v>
      </c>
      <c r="L1270" t="s">
        <v>29</v>
      </c>
      <c r="M1270" t="s">
        <v>39</v>
      </c>
      <c r="N1270">
        <v>0</v>
      </c>
      <c r="O1270">
        <v>1</v>
      </c>
      <c r="P1270" s="8">
        <f>INT(Delivery_data[[#This Row],[Order Timestamp]])</f>
        <v>45172</v>
      </c>
      <c r="Q1270" t="str">
        <f ca="1">IF(Delivery_data[[#This Row],[Order Status]]="In Progress", TODAY()-Delivery_data[[#This Row],[Order Date]], "")</f>
        <v/>
      </c>
      <c r="R1270">
        <f>IF(Delivery_data[[#This Row],[On Time]]=1,0,1)</f>
        <v>1</v>
      </c>
    </row>
    <row r="1271" spans="1:18" x14ac:dyDescent="0.35">
      <c r="A1271">
        <v>1921</v>
      </c>
      <c r="B1271" t="s">
        <v>1375</v>
      </c>
      <c r="C1271" s="1">
        <v>45170.686805555553</v>
      </c>
      <c r="D1271" t="s">
        <v>25</v>
      </c>
      <c r="E1271" t="s">
        <v>416</v>
      </c>
      <c r="F1271" t="s">
        <v>1125</v>
      </c>
      <c r="G1271" t="s">
        <v>557</v>
      </c>
      <c r="H1271">
        <v>67</v>
      </c>
      <c r="I1271">
        <v>1</v>
      </c>
      <c r="J1271" t="s">
        <v>20</v>
      </c>
      <c r="K1271" t="s">
        <v>51</v>
      </c>
      <c r="L1271" t="s">
        <v>29</v>
      </c>
      <c r="M1271" t="s">
        <v>23</v>
      </c>
      <c r="N1271">
        <v>0</v>
      </c>
      <c r="O1271">
        <v>0</v>
      </c>
      <c r="P1271" s="8">
        <f>INT(Delivery_data[[#This Row],[Order Timestamp]])</f>
        <v>45170</v>
      </c>
      <c r="Q1271" t="str">
        <f ca="1">IF(Delivery_data[[#This Row],[Order Status]]="In Progress", TODAY()-Delivery_data[[#This Row],[Order Date]], "")</f>
        <v/>
      </c>
      <c r="R1271">
        <f>IF(Delivery_data[[#This Row],[On Time]]=1,0,1)</f>
        <v>1</v>
      </c>
    </row>
    <row r="1272" spans="1:18" x14ac:dyDescent="0.35">
      <c r="A1272">
        <v>1939</v>
      </c>
      <c r="B1272" t="s">
        <v>1376</v>
      </c>
      <c r="C1272" s="1">
        <v>45175.506249999999</v>
      </c>
      <c r="D1272" t="s">
        <v>25</v>
      </c>
      <c r="E1272" t="s">
        <v>80</v>
      </c>
      <c r="F1272" t="s">
        <v>1125</v>
      </c>
      <c r="G1272" t="s">
        <v>463</v>
      </c>
      <c r="H1272">
        <v>187</v>
      </c>
      <c r="I1272">
        <v>22</v>
      </c>
      <c r="J1272" t="s">
        <v>20</v>
      </c>
      <c r="K1272" t="s">
        <v>38</v>
      </c>
      <c r="L1272" t="s">
        <v>29</v>
      </c>
      <c r="M1272" t="s">
        <v>30</v>
      </c>
      <c r="N1272">
        <v>0</v>
      </c>
      <c r="O1272">
        <v>0</v>
      </c>
      <c r="P1272" s="8">
        <f>INT(Delivery_data[[#This Row],[Order Timestamp]])</f>
        <v>45175</v>
      </c>
      <c r="Q1272" t="str">
        <f ca="1">IF(Delivery_data[[#This Row],[Order Status]]="In Progress", TODAY()-Delivery_data[[#This Row],[Order Date]], "")</f>
        <v/>
      </c>
      <c r="R1272">
        <f>IF(Delivery_data[[#This Row],[On Time]]=1,0,1)</f>
        <v>1</v>
      </c>
    </row>
    <row r="1273" spans="1:18" x14ac:dyDescent="0.35">
      <c r="A1273">
        <v>1943</v>
      </c>
      <c r="B1273" t="s">
        <v>1377</v>
      </c>
      <c r="C1273" s="1">
        <v>45175.452777777777</v>
      </c>
      <c r="D1273" t="s">
        <v>25</v>
      </c>
      <c r="E1273" t="s">
        <v>284</v>
      </c>
      <c r="F1273" t="s">
        <v>1125</v>
      </c>
      <c r="G1273" t="s">
        <v>233</v>
      </c>
      <c r="H1273">
        <v>200</v>
      </c>
      <c r="I1273">
        <v>21</v>
      </c>
      <c r="J1273" t="s">
        <v>27</v>
      </c>
      <c r="K1273" t="s">
        <v>21</v>
      </c>
      <c r="L1273" t="s">
        <v>29</v>
      </c>
      <c r="M1273" t="s">
        <v>39</v>
      </c>
      <c r="N1273">
        <v>0</v>
      </c>
      <c r="O1273">
        <v>0</v>
      </c>
      <c r="P1273" s="8">
        <f>INT(Delivery_data[[#This Row],[Order Timestamp]])</f>
        <v>45175</v>
      </c>
      <c r="Q1273" t="str">
        <f ca="1">IF(Delivery_data[[#This Row],[Order Status]]="In Progress", TODAY()-Delivery_data[[#This Row],[Order Date]], "")</f>
        <v/>
      </c>
      <c r="R1273">
        <f>IF(Delivery_data[[#This Row],[On Time]]=1,0,1)</f>
        <v>1</v>
      </c>
    </row>
    <row r="1274" spans="1:18" x14ac:dyDescent="0.35">
      <c r="A1274">
        <v>1958</v>
      </c>
      <c r="B1274" t="s">
        <v>1378</v>
      </c>
      <c r="C1274" s="1">
        <v>45171.558333333334</v>
      </c>
      <c r="D1274" t="s">
        <v>16</v>
      </c>
      <c r="E1274" t="s">
        <v>222</v>
      </c>
      <c r="F1274" t="s">
        <v>1125</v>
      </c>
      <c r="G1274" t="s">
        <v>557</v>
      </c>
      <c r="H1274">
        <v>228</v>
      </c>
      <c r="I1274">
        <v>21</v>
      </c>
      <c r="J1274" t="s">
        <v>35</v>
      </c>
      <c r="K1274" t="s">
        <v>21</v>
      </c>
      <c r="L1274" t="s">
        <v>29</v>
      </c>
      <c r="M1274" t="s">
        <v>30</v>
      </c>
      <c r="N1274">
        <v>0</v>
      </c>
      <c r="O1274">
        <v>1</v>
      </c>
      <c r="P1274" s="8">
        <f>INT(Delivery_data[[#This Row],[Order Timestamp]])</f>
        <v>45171</v>
      </c>
      <c r="Q1274">
        <f ca="1">IF(Delivery_data[[#This Row],[Order Status]]="In Progress", TODAY()-Delivery_data[[#This Row],[Order Date]], "")</f>
        <v>812</v>
      </c>
      <c r="R1274">
        <f>IF(Delivery_data[[#This Row],[On Time]]=1,0,1)</f>
        <v>1</v>
      </c>
    </row>
    <row r="1275" spans="1:18" x14ac:dyDescent="0.35">
      <c r="A1275">
        <v>1980</v>
      </c>
      <c r="B1275" t="s">
        <v>1379</v>
      </c>
      <c r="C1275" s="1">
        <v>45172.461111111108</v>
      </c>
      <c r="D1275" t="s">
        <v>25</v>
      </c>
      <c r="E1275" t="s">
        <v>102</v>
      </c>
      <c r="F1275" t="s">
        <v>1125</v>
      </c>
      <c r="G1275" t="s">
        <v>362</v>
      </c>
      <c r="H1275">
        <v>214</v>
      </c>
      <c r="I1275">
        <v>10</v>
      </c>
      <c r="J1275" t="s">
        <v>20</v>
      </c>
      <c r="K1275" t="s">
        <v>28</v>
      </c>
      <c r="L1275" t="s">
        <v>29</v>
      </c>
      <c r="M1275" t="s">
        <v>39</v>
      </c>
      <c r="N1275">
        <v>0</v>
      </c>
      <c r="O1275">
        <v>0</v>
      </c>
      <c r="P1275" s="8">
        <f>INT(Delivery_data[[#This Row],[Order Timestamp]])</f>
        <v>45172</v>
      </c>
      <c r="Q1275" t="str">
        <f ca="1">IF(Delivery_data[[#This Row],[Order Status]]="In Progress", TODAY()-Delivery_data[[#This Row],[Order Date]], "")</f>
        <v/>
      </c>
      <c r="R1275">
        <f>IF(Delivery_data[[#This Row],[On Time]]=1,0,1)</f>
        <v>1</v>
      </c>
    </row>
    <row r="1276" spans="1:18" x14ac:dyDescent="0.35">
      <c r="A1276">
        <v>1993</v>
      </c>
      <c r="B1276" t="s">
        <v>1380</v>
      </c>
      <c r="C1276" s="1">
        <v>45172.418055555558</v>
      </c>
      <c r="D1276" t="s">
        <v>25</v>
      </c>
      <c r="E1276" t="s">
        <v>195</v>
      </c>
      <c r="F1276" t="s">
        <v>1125</v>
      </c>
      <c r="G1276" t="s">
        <v>233</v>
      </c>
      <c r="H1276">
        <v>63</v>
      </c>
      <c r="I1276">
        <v>27</v>
      </c>
      <c r="J1276" t="s">
        <v>27</v>
      </c>
      <c r="K1276" t="s">
        <v>28</v>
      </c>
      <c r="L1276" t="s">
        <v>29</v>
      </c>
      <c r="M1276" t="s">
        <v>23</v>
      </c>
      <c r="N1276">
        <v>0</v>
      </c>
      <c r="O1276">
        <v>0</v>
      </c>
      <c r="P1276" s="8">
        <f>INT(Delivery_data[[#This Row],[Order Timestamp]])</f>
        <v>45172</v>
      </c>
      <c r="Q1276" t="str">
        <f ca="1">IF(Delivery_data[[#This Row],[Order Status]]="In Progress", TODAY()-Delivery_data[[#This Row],[Order Date]], "")</f>
        <v/>
      </c>
      <c r="R1276">
        <f>IF(Delivery_data[[#This Row],[On Time]]=1,0,1)</f>
        <v>1</v>
      </c>
    </row>
    <row r="1277" spans="1:18" x14ac:dyDescent="0.35">
      <c r="A1277">
        <v>1998</v>
      </c>
      <c r="B1277" t="s">
        <v>1381</v>
      </c>
      <c r="C1277" s="1">
        <v>45170.520833333336</v>
      </c>
      <c r="D1277" t="s">
        <v>16</v>
      </c>
      <c r="E1277" t="s">
        <v>216</v>
      </c>
      <c r="F1277" t="s">
        <v>1125</v>
      </c>
      <c r="G1277" t="s">
        <v>362</v>
      </c>
      <c r="H1277">
        <v>159</v>
      </c>
      <c r="I1277">
        <v>12</v>
      </c>
      <c r="J1277" t="s">
        <v>35</v>
      </c>
      <c r="K1277" t="s">
        <v>21</v>
      </c>
      <c r="L1277" t="s">
        <v>29</v>
      </c>
      <c r="M1277" t="s">
        <v>30</v>
      </c>
      <c r="N1277">
        <v>0</v>
      </c>
      <c r="O1277">
        <v>1</v>
      </c>
      <c r="P1277" s="8">
        <f>INT(Delivery_data[[#This Row],[Order Timestamp]])</f>
        <v>45170</v>
      </c>
      <c r="Q1277">
        <f ca="1">IF(Delivery_data[[#This Row],[Order Status]]="In Progress", TODAY()-Delivery_data[[#This Row],[Order Date]], "")</f>
        <v>813</v>
      </c>
      <c r="R1277">
        <f>IF(Delivery_data[[#This Row],[On Time]]=1,0,1)</f>
        <v>1</v>
      </c>
    </row>
    <row r="1278" spans="1:18" x14ac:dyDescent="0.35">
      <c r="A1278">
        <v>2002</v>
      </c>
      <c r="B1278" t="s">
        <v>1382</v>
      </c>
      <c r="C1278" s="1">
        <v>45176.695833333331</v>
      </c>
      <c r="D1278" t="s">
        <v>16</v>
      </c>
      <c r="E1278" t="s">
        <v>139</v>
      </c>
      <c r="F1278" t="s">
        <v>1125</v>
      </c>
      <c r="G1278" t="s">
        <v>463</v>
      </c>
      <c r="H1278">
        <v>133</v>
      </c>
      <c r="I1278">
        <v>25</v>
      </c>
      <c r="J1278" t="s">
        <v>20</v>
      </c>
      <c r="K1278" t="s">
        <v>28</v>
      </c>
      <c r="L1278" t="s">
        <v>29</v>
      </c>
      <c r="M1278" t="s">
        <v>23</v>
      </c>
      <c r="N1278">
        <v>0</v>
      </c>
      <c r="O1278">
        <v>0</v>
      </c>
      <c r="P1278" s="8">
        <f>INT(Delivery_data[[#This Row],[Order Timestamp]])</f>
        <v>45176</v>
      </c>
      <c r="Q1278">
        <f ca="1">IF(Delivery_data[[#This Row],[Order Status]]="In Progress", TODAY()-Delivery_data[[#This Row],[Order Date]], "")</f>
        <v>807</v>
      </c>
      <c r="R1278">
        <f>IF(Delivery_data[[#This Row],[On Time]]=1,0,1)</f>
        <v>1</v>
      </c>
    </row>
    <row r="1279" spans="1:18" x14ac:dyDescent="0.35">
      <c r="A1279">
        <v>2006</v>
      </c>
      <c r="B1279" t="s">
        <v>946</v>
      </c>
      <c r="C1279" s="1">
        <v>45173.619444444441</v>
      </c>
      <c r="D1279" t="s">
        <v>16</v>
      </c>
      <c r="E1279" t="s">
        <v>126</v>
      </c>
      <c r="F1279" t="s">
        <v>1125</v>
      </c>
      <c r="G1279" t="s">
        <v>557</v>
      </c>
      <c r="H1279">
        <v>230</v>
      </c>
      <c r="I1279">
        <v>23</v>
      </c>
      <c r="J1279" t="s">
        <v>27</v>
      </c>
      <c r="K1279" t="s">
        <v>28</v>
      </c>
      <c r="L1279" t="s">
        <v>29</v>
      </c>
      <c r="M1279" t="s">
        <v>23</v>
      </c>
      <c r="N1279">
        <v>0</v>
      </c>
      <c r="O1279">
        <v>0</v>
      </c>
      <c r="P1279" s="8">
        <f>INT(Delivery_data[[#This Row],[Order Timestamp]])</f>
        <v>45173</v>
      </c>
      <c r="Q1279">
        <f ca="1">IF(Delivery_data[[#This Row],[Order Status]]="In Progress", TODAY()-Delivery_data[[#This Row],[Order Date]], "")</f>
        <v>810</v>
      </c>
      <c r="R1279">
        <f>IF(Delivery_data[[#This Row],[On Time]]=1,0,1)</f>
        <v>1</v>
      </c>
    </row>
    <row r="1280" spans="1:18" x14ac:dyDescent="0.35">
      <c r="A1280">
        <v>2025</v>
      </c>
      <c r="B1280" t="s">
        <v>1383</v>
      </c>
      <c r="C1280" s="1">
        <v>45175.412499999999</v>
      </c>
      <c r="D1280" t="s">
        <v>16</v>
      </c>
      <c r="E1280" t="s">
        <v>342</v>
      </c>
      <c r="F1280" t="s">
        <v>1125</v>
      </c>
      <c r="G1280" t="s">
        <v>233</v>
      </c>
      <c r="H1280">
        <v>161</v>
      </c>
      <c r="I1280">
        <v>2</v>
      </c>
      <c r="J1280" t="s">
        <v>35</v>
      </c>
      <c r="K1280" t="s">
        <v>38</v>
      </c>
      <c r="L1280" t="s">
        <v>29</v>
      </c>
      <c r="M1280" t="s">
        <v>39</v>
      </c>
      <c r="N1280">
        <v>0</v>
      </c>
      <c r="O1280">
        <v>1</v>
      </c>
      <c r="P1280" s="8">
        <f>INT(Delivery_data[[#This Row],[Order Timestamp]])</f>
        <v>45175</v>
      </c>
      <c r="Q1280">
        <f ca="1">IF(Delivery_data[[#This Row],[Order Status]]="In Progress", TODAY()-Delivery_data[[#This Row],[Order Date]], "")</f>
        <v>808</v>
      </c>
      <c r="R1280">
        <f>IF(Delivery_data[[#This Row],[On Time]]=1,0,1)</f>
        <v>1</v>
      </c>
    </row>
    <row r="1281" spans="1:18" x14ac:dyDescent="0.35">
      <c r="A1281">
        <v>2043</v>
      </c>
      <c r="B1281" t="s">
        <v>1384</v>
      </c>
      <c r="C1281" s="1">
        <v>45172.385416666664</v>
      </c>
      <c r="D1281" t="s">
        <v>25</v>
      </c>
      <c r="E1281" t="s">
        <v>83</v>
      </c>
      <c r="F1281" t="s">
        <v>1125</v>
      </c>
      <c r="G1281" t="s">
        <v>463</v>
      </c>
      <c r="H1281">
        <v>131</v>
      </c>
      <c r="I1281">
        <v>7</v>
      </c>
      <c r="J1281" t="s">
        <v>20</v>
      </c>
      <c r="K1281" t="s">
        <v>51</v>
      </c>
      <c r="L1281" t="s">
        <v>29</v>
      </c>
      <c r="M1281" t="s">
        <v>30</v>
      </c>
      <c r="N1281">
        <v>0</v>
      </c>
      <c r="O1281">
        <v>0</v>
      </c>
      <c r="P1281" s="8">
        <f>INT(Delivery_data[[#This Row],[Order Timestamp]])</f>
        <v>45172</v>
      </c>
      <c r="Q1281" t="str">
        <f ca="1">IF(Delivery_data[[#This Row],[Order Status]]="In Progress", TODAY()-Delivery_data[[#This Row],[Order Date]], "")</f>
        <v/>
      </c>
      <c r="R1281">
        <f>IF(Delivery_data[[#This Row],[On Time]]=1,0,1)</f>
        <v>1</v>
      </c>
    </row>
    <row r="1282" spans="1:18" x14ac:dyDescent="0.35">
      <c r="A1282">
        <v>2045</v>
      </c>
      <c r="B1282" t="s">
        <v>972</v>
      </c>
      <c r="C1282" s="1">
        <v>45172.418749999997</v>
      </c>
      <c r="D1282" t="s">
        <v>16</v>
      </c>
      <c r="E1282" t="s">
        <v>68</v>
      </c>
      <c r="F1282" t="s">
        <v>1125</v>
      </c>
      <c r="G1282" t="s">
        <v>362</v>
      </c>
      <c r="H1282">
        <v>102</v>
      </c>
      <c r="I1282">
        <v>4</v>
      </c>
      <c r="J1282" t="s">
        <v>35</v>
      </c>
      <c r="K1282" t="s">
        <v>38</v>
      </c>
      <c r="L1282" t="s">
        <v>29</v>
      </c>
      <c r="M1282" t="s">
        <v>23</v>
      </c>
      <c r="N1282">
        <v>0</v>
      </c>
      <c r="O1282">
        <v>1</v>
      </c>
      <c r="P1282" s="8">
        <f>INT(Delivery_data[[#This Row],[Order Timestamp]])</f>
        <v>45172</v>
      </c>
      <c r="Q1282">
        <f ca="1">IF(Delivery_data[[#This Row],[Order Status]]="In Progress", TODAY()-Delivery_data[[#This Row],[Order Date]], "")</f>
        <v>811</v>
      </c>
      <c r="R1282">
        <f>IF(Delivery_data[[#This Row],[On Time]]=1,0,1)</f>
        <v>1</v>
      </c>
    </row>
    <row r="1283" spans="1:18" x14ac:dyDescent="0.35">
      <c r="A1283">
        <v>2061</v>
      </c>
      <c r="B1283" t="s">
        <v>1385</v>
      </c>
      <c r="C1283" s="1">
        <v>45176.57916666667</v>
      </c>
      <c r="D1283" t="s">
        <v>16</v>
      </c>
      <c r="E1283" t="s">
        <v>129</v>
      </c>
      <c r="F1283" t="s">
        <v>1125</v>
      </c>
      <c r="G1283" t="s">
        <v>463</v>
      </c>
      <c r="H1283">
        <v>145</v>
      </c>
      <c r="I1283">
        <v>6</v>
      </c>
      <c r="J1283" t="s">
        <v>27</v>
      </c>
      <c r="K1283" t="s">
        <v>28</v>
      </c>
      <c r="L1283" t="s">
        <v>29</v>
      </c>
      <c r="M1283" t="s">
        <v>30</v>
      </c>
      <c r="N1283">
        <v>0</v>
      </c>
      <c r="O1283">
        <v>0</v>
      </c>
      <c r="P1283" s="8">
        <f>INT(Delivery_data[[#This Row],[Order Timestamp]])</f>
        <v>45176</v>
      </c>
      <c r="Q1283">
        <f ca="1">IF(Delivery_data[[#This Row],[Order Status]]="In Progress", TODAY()-Delivery_data[[#This Row],[Order Date]], "")</f>
        <v>807</v>
      </c>
      <c r="R1283">
        <f>IF(Delivery_data[[#This Row],[On Time]]=1,0,1)</f>
        <v>1</v>
      </c>
    </row>
    <row r="1284" spans="1:18" x14ac:dyDescent="0.35">
      <c r="A1284">
        <v>2066</v>
      </c>
      <c r="B1284" t="s">
        <v>1386</v>
      </c>
      <c r="C1284" s="1">
        <v>45175.386111111111</v>
      </c>
      <c r="D1284" t="s">
        <v>16</v>
      </c>
      <c r="E1284" t="s">
        <v>41</v>
      </c>
      <c r="F1284" t="s">
        <v>1125</v>
      </c>
      <c r="G1284" t="s">
        <v>233</v>
      </c>
      <c r="H1284">
        <v>220</v>
      </c>
      <c r="I1284">
        <v>19</v>
      </c>
      <c r="J1284" t="s">
        <v>20</v>
      </c>
      <c r="K1284" t="s">
        <v>38</v>
      </c>
      <c r="L1284" t="s">
        <v>29</v>
      </c>
      <c r="M1284" t="s">
        <v>39</v>
      </c>
      <c r="N1284">
        <v>0</v>
      </c>
      <c r="O1284">
        <v>0</v>
      </c>
      <c r="P1284" s="8">
        <f>INT(Delivery_data[[#This Row],[Order Timestamp]])</f>
        <v>45175</v>
      </c>
      <c r="Q1284">
        <f ca="1">IF(Delivery_data[[#This Row],[Order Status]]="In Progress", TODAY()-Delivery_data[[#This Row],[Order Date]], "")</f>
        <v>808</v>
      </c>
      <c r="R1284">
        <f>IF(Delivery_data[[#This Row],[On Time]]=1,0,1)</f>
        <v>1</v>
      </c>
    </row>
    <row r="1285" spans="1:18" x14ac:dyDescent="0.35">
      <c r="A1285">
        <v>2068</v>
      </c>
      <c r="B1285" t="s">
        <v>1387</v>
      </c>
      <c r="C1285" s="1">
        <v>45175.530555555553</v>
      </c>
      <c r="D1285" t="s">
        <v>25</v>
      </c>
      <c r="E1285" t="s">
        <v>66</v>
      </c>
      <c r="F1285" t="s">
        <v>1125</v>
      </c>
      <c r="G1285" t="s">
        <v>362</v>
      </c>
      <c r="H1285">
        <v>221</v>
      </c>
      <c r="I1285">
        <v>8</v>
      </c>
      <c r="J1285" t="s">
        <v>20</v>
      </c>
      <c r="K1285" t="s">
        <v>21</v>
      </c>
      <c r="L1285" t="s">
        <v>29</v>
      </c>
      <c r="M1285" t="s">
        <v>30</v>
      </c>
      <c r="N1285">
        <v>0</v>
      </c>
      <c r="O1285">
        <v>0</v>
      </c>
      <c r="P1285" s="8">
        <f>INT(Delivery_data[[#This Row],[Order Timestamp]])</f>
        <v>45175</v>
      </c>
      <c r="Q1285" t="str">
        <f ca="1">IF(Delivery_data[[#This Row],[Order Status]]="In Progress", TODAY()-Delivery_data[[#This Row],[Order Date]], "")</f>
        <v/>
      </c>
      <c r="R1285">
        <f>IF(Delivery_data[[#This Row],[On Time]]=1,0,1)</f>
        <v>1</v>
      </c>
    </row>
    <row r="1286" spans="1:18" x14ac:dyDescent="0.35">
      <c r="A1286">
        <v>2073</v>
      </c>
      <c r="B1286" t="s">
        <v>1388</v>
      </c>
      <c r="C1286" s="1">
        <v>45172.538888888892</v>
      </c>
      <c r="D1286" t="s">
        <v>16</v>
      </c>
      <c r="E1286" t="s">
        <v>83</v>
      </c>
      <c r="F1286" t="s">
        <v>1125</v>
      </c>
      <c r="G1286" t="s">
        <v>557</v>
      </c>
      <c r="H1286">
        <v>110</v>
      </c>
      <c r="I1286">
        <v>13</v>
      </c>
      <c r="J1286" t="s">
        <v>35</v>
      </c>
      <c r="K1286" t="s">
        <v>28</v>
      </c>
      <c r="L1286" t="s">
        <v>29</v>
      </c>
      <c r="M1286" t="s">
        <v>30</v>
      </c>
      <c r="N1286">
        <v>0</v>
      </c>
      <c r="O1286">
        <v>1</v>
      </c>
      <c r="P1286" s="8">
        <f>INT(Delivery_data[[#This Row],[Order Timestamp]])</f>
        <v>45172</v>
      </c>
      <c r="Q1286">
        <f ca="1">IF(Delivery_data[[#This Row],[Order Status]]="In Progress", TODAY()-Delivery_data[[#This Row],[Order Date]], "")</f>
        <v>811</v>
      </c>
      <c r="R1286">
        <f>IF(Delivery_data[[#This Row],[On Time]]=1,0,1)</f>
        <v>1</v>
      </c>
    </row>
    <row r="1287" spans="1:18" x14ac:dyDescent="0.35">
      <c r="A1287">
        <v>2077</v>
      </c>
      <c r="B1287" t="s">
        <v>1389</v>
      </c>
      <c r="C1287" s="1">
        <v>45177.47152777778</v>
      </c>
      <c r="D1287" t="s">
        <v>25</v>
      </c>
      <c r="E1287" t="s">
        <v>91</v>
      </c>
      <c r="F1287" t="s">
        <v>1125</v>
      </c>
      <c r="G1287" t="s">
        <v>557</v>
      </c>
      <c r="H1287">
        <v>159</v>
      </c>
      <c r="I1287">
        <v>19</v>
      </c>
      <c r="J1287" t="s">
        <v>27</v>
      </c>
      <c r="K1287" t="s">
        <v>33</v>
      </c>
      <c r="L1287" t="s">
        <v>29</v>
      </c>
      <c r="M1287" t="s">
        <v>39</v>
      </c>
      <c r="N1287">
        <v>0</v>
      </c>
      <c r="O1287">
        <v>0</v>
      </c>
      <c r="P1287" s="8">
        <f>INT(Delivery_data[[#This Row],[Order Timestamp]])</f>
        <v>45177</v>
      </c>
      <c r="Q1287" t="str">
        <f ca="1">IF(Delivery_data[[#This Row],[Order Status]]="In Progress", TODAY()-Delivery_data[[#This Row],[Order Date]], "")</f>
        <v/>
      </c>
      <c r="R1287">
        <f>IF(Delivery_data[[#This Row],[On Time]]=1,0,1)</f>
        <v>1</v>
      </c>
    </row>
    <row r="1288" spans="1:18" x14ac:dyDescent="0.35">
      <c r="A1288">
        <v>2078</v>
      </c>
      <c r="B1288" t="s">
        <v>1390</v>
      </c>
      <c r="C1288" s="1">
        <v>45174.507638888892</v>
      </c>
      <c r="D1288" t="s">
        <v>25</v>
      </c>
      <c r="E1288" t="s">
        <v>108</v>
      </c>
      <c r="F1288" t="s">
        <v>1125</v>
      </c>
      <c r="G1288" t="s">
        <v>233</v>
      </c>
      <c r="H1288">
        <v>91</v>
      </c>
      <c r="I1288">
        <v>4</v>
      </c>
      <c r="J1288" t="s">
        <v>35</v>
      </c>
      <c r="K1288" t="s">
        <v>21</v>
      </c>
      <c r="L1288" t="s">
        <v>29</v>
      </c>
      <c r="M1288" t="s">
        <v>39</v>
      </c>
      <c r="N1288">
        <v>0</v>
      </c>
      <c r="O1288">
        <v>1</v>
      </c>
      <c r="P1288" s="8">
        <f>INT(Delivery_data[[#This Row],[Order Timestamp]])</f>
        <v>45174</v>
      </c>
      <c r="Q1288" t="str">
        <f ca="1">IF(Delivery_data[[#This Row],[Order Status]]="In Progress", TODAY()-Delivery_data[[#This Row],[Order Date]], "")</f>
        <v/>
      </c>
      <c r="R1288">
        <f>IF(Delivery_data[[#This Row],[On Time]]=1,0,1)</f>
        <v>1</v>
      </c>
    </row>
    <row r="1289" spans="1:18" x14ac:dyDescent="0.35">
      <c r="A1289">
        <v>2093</v>
      </c>
      <c r="B1289" t="s">
        <v>1391</v>
      </c>
      <c r="C1289" s="1">
        <v>45175.701388888891</v>
      </c>
      <c r="D1289" t="s">
        <v>16</v>
      </c>
      <c r="E1289" t="s">
        <v>666</v>
      </c>
      <c r="F1289" t="s">
        <v>1125</v>
      </c>
      <c r="G1289" t="s">
        <v>557</v>
      </c>
      <c r="H1289">
        <v>94</v>
      </c>
      <c r="I1289">
        <v>21</v>
      </c>
      <c r="J1289" t="s">
        <v>20</v>
      </c>
      <c r="K1289" t="s">
        <v>28</v>
      </c>
      <c r="L1289" t="s">
        <v>29</v>
      </c>
      <c r="M1289" t="s">
        <v>30</v>
      </c>
      <c r="N1289">
        <v>0</v>
      </c>
      <c r="O1289">
        <v>0</v>
      </c>
      <c r="P1289" s="8">
        <f>INT(Delivery_data[[#This Row],[Order Timestamp]])</f>
        <v>45175</v>
      </c>
      <c r="Q1289">
        <f ca="1">IF(Delivery_data[[#This Row],[Order Status]]="In Progress", TODAY()-Delivery_data[[#This Row],[Order Date]], "")</f>
        <v>808</v>
      </c>
      <c r="R1289">
        <f>IF(Delivery_data[[#This Row],[On Time]]=1,0,1)</f>
        <v>1</v>
      </c>
    </row>
    <row r="1290" spans="1:18" x14ac:dyDescent="0.35">
      <c r="A1290">
        <v>2095</v>
      </c>
      <c r="B1290" t="s">
        <v>1392</v>
      </c>
      <c r="C1290" s="1">
        <v>45174.693749999999</v>
      </c>
      <c r="D1290" t="s">
        <v>25</v>
      </c>
      <c r="E1290" t="s">
        <v>37</v>
      </c>
      <c r="F1290" t="s">
        <v>1125</v>
      </c>
      <c r="G1290" t="s">
        <v>362</v>
      </c>
      <c r="H1290">
        <v>197</v>
      </c>
      <c r="I1290">
        <v>4</v>
      </c>
      <c r="J1290" t="s">
        <v>35</v>
      </c>
      <c r="K1290" t="s">
        <v>38</v>
      </c>
      <c r="L1290" t="s">
        <v>29</v>
      </c>
      <c r="M1290" t="s">
        <v>30</v>
      </c>
      <c r="N1290">
        <v>0</v>
      </c>
      <c r="O1290">
        <v>1</v>
      </c>
      <c r="P1290" s="8">
        <f>INT(Delivery_data[[#This Row],[Order Timestamp]])</f>
        <v>45174</v>
      </c>
      <c r="Q1290" t="str">
        <f ca="1">IF(Delivery_data[[#This Row],[Order Status]]="In Progress", TODAY()-Delivery_data[[#This Row],[Order Date]], "")</f>
        <v/>
      </c>
      <c r="R1290">
        <f>IF(Delivery_data[[#This Row],[On Time]]=1,0,1)</f>
        <v>1</v>
      </c>
    </row>
    <row r="1291" spans="1:18" x14ac:dyDescent="0.35">
      <c r="A1291">
        <v>2108</v>
      </c>
      <c r="B1291" t="s">
        <v>1393</v>
      </c>
      <c r="C1291" s="1">
        <v>45170.640972222223</v>
      </c>
      <c r="D1291" t="s">
        <v>16</v>
      </c>
      <c r="E1291" t="s">
        <v>68</v>
      </c>
      <c r="F1291" t="s">
        <v>1125</v>
      </c>
      <c r="G1291" t="s">
        <v>557</v>
      </c>
      <c r="H1291">
        <v>65</v>
      </c>
      <c r="I1291">
        <v>11</v>
      </c>
      <c r="J1291" t="s">
        <v>27</v>
      </c>
      <c r="K1291" t="s">
        <v>28</v>
      </c>
      <c r="L1291" t="s">
        <v>29</v>
      </c>
      <c r="M1291" t="s">
        <v>39</v>
      </c>
      <c r="N1291">
        <v>0</v>
      </c>
      <c r="O1291">
        <v>0</v>
      </c>
      <c r="P1291" s="8">
        <f>INT(Delivery_data[[#This Row],[Order Timestamp]])</f>
        <v>45170</v>
      </c>
      <c r="Q1291">
        <f ca="1">IF(Delivery_data[[#This Row],[Order Status]]="In Progress", TODAY()-Delivery_data[[#This Row],[Order Date]], "")</f>
        <v>813</v>
      </c>
      <c r="R1291">
        <f>IF(Delivery_data[[#This Row],[On Time]]=1,0,1)</f>
        <v>1</v>
      </c>
    </row>
    <row r="1292" spans="1:18" x14ac:dyDescent="0.35">
      <c r="A1292">
        <v>2114</v>
      </c>
      <c r="B1292" t="s">
        <v>1394</v>
      </c>
      <c r="C1292" s="1">
        <v>45171.460416666669</v>
      </c>
      <c r="D1292" t="s">
        <v>25</v>
      </c>
      <c r="E1292" t="s">
        <v>158</v>
      </c>
      <c r="F1292" t="s">
        <v>1125</v>
      </c>
      <c r="G1292" t="s">
        <v>233</v>
      </c>
      <c r="H1292">
        <v>149</v>
      </c>
      <c r="I1292">
        <v>6</v>
      </c>
      <c r="J1292" t="s">
        <v>35</v>
      </c>
      <c r="K1292" t="s">
        <v>38</v>
      </c>
      <c r="L1292" t="s">
        <v>29</v>
      </c>
      <c r="M1292" t="s">
        <v>30</v>
      </c>
      <c r="N1292">
        <v>0</v>
      </c>
      <c r="O1292">
        <v>1</v>
      </c>
      <c r="P1292" s="8">
        <f>INT(Delivery_data[[#This Row],[Order Timestamp]])</f>
        <v>45171</v>
      </c>
      <c r="Q1292" t="str">
        <f ca="1">IF(Delivery_data[[#This Row],[Order Status]]="In Progress", TODAY()-Delivery_data[[#This Row],[Order Date]], "")</f>
        <v/>
      </c>
      <c r="R1292">
        <f>IF(Delivery_data[[#This Row],[On Time]]=1,0,1)</f>
        <v>1</v>
      </c>
    </row>
    <row r="1293" spans="1:18" x14ac:dyDescent="0.35">
      <c r="A1293">
        <v>2121</v>
      </c>
      <c r="B1293" t="s">
        <v>1395</v>
      </c>
      <c r="C1293" s="1">
        <v>45170.410416666666</v>
      </c>
      <c r="D1293" t="s">
        <v>25</v>
      </c>
      <c r="E1293" t="s">
        <v>227</v>
      </c>
      <c r="F1293" t="s">
        <v>1125</v>
      </c>
      <c r="G1293" t="s">
        <v>362</v>
      </c>
      <c r="H1293">
        <v>161</v>
      </c>
      <c r="I1293">
        <v>21</v>
      </c>
      <c r="J1293" t="s">
        <v>20</v>
      </c>
      <c r="K1293" t="s">
        <v>51</v>
      </c>
      <c r="L1293" t="s">
        <v>29</v>
      </c>
      <c r="M1293" t="s">
        <v>23</v>
      </c>
      <c r="N1293">
        <v>0</v>
      </c>
      <c r="O1293">
        <v>0</v>
      </c>
      <c r="P1293" s="8">
        <f>INT(Delivery_data[[#This Row],[Order Timestamp]])</f>
        <v>45170</v>
      </c>
      <c r="Q1293" t="str">
        <f ca="1">IF(Delivery_data[[#This Row],[Order Status]]="In Progress", TODAY()-Delivery_data[[#This Row],[Order Date]], "")</f>
        <v/>
      </c>
      <c r="R1293">
        <f>IF(Delivery_data[[#This Row],[On Time]]=1,0,1)</f>
        <v>1</v>
      </c>
    </row>
    <row r="1294" spans="1:18" x14ac:dyDescent="0.35">
      <c r="A1294">
        <v>2131</v>
      </c>
      <c r="B1294" t="s">
        <v>1396</v>
      </c>
      <c r="C1294" s="1">
        <v>45173.569444444445</v>
      </c>
      <c r="D1294" t="s">
        <v>16</v>
      </c>
      <c r="E1294" t="s">
        <v>222</v>
      </c>
      <c r="F1294" t="s">
        <v>1125</v>
      </c>
      <c r="G1294" t="s">
        <v>233</v>
      </c>
      <c r="H1294">
        <v>188</v>
      </c>
      <c r="I1294">
        <v>15</v>
      </c>
      <c r="J1294" t="s">
        <v>20</v>
      </c>
      <c r="K1294" t="s">
        <v>21</v>
      </c>
      <c r="L1294" t="s">
        <v>29</v>
      </c>
      <c r="M1294" t="s">
        <v>39</v>
      </c>
      <c r="N1294">
        <v>0</v>
      </c>
      <c r="O1294">
        <v>0</v>
      </c>
      <c r="P1294" s="8">
        <f>INT(Delivery_data[[#This Row],[Order Timestamp]])</f>
        <v>45173</v>
      </c>
      <c r="Q1294">
        <f ca="1">IF(Delivery_data[[#This Row],[Order Status]]="In Progress", TODAY()-Delivery_data[[#This Row],[Order Date]], "")</f>
        <v>810</v>
      </c>
      <c r="R1294">
        <f>IF(Delivery_data[[#This Row],[On Time]]=1,0,1)</f>
        <v>1</v>
      </c>
    </row>
    <row r="1295" spans="1:18" x14ac:dyDescent="0.35">
      <c r="A1295">
        <v>2132</v>
      </c>
      <c r="B1295" t="s">
        <v>1397</v>
      </c>
      <c r="C1295" s="1">
        <v>45177.704861111109</v>
      </c>
      <c r="D1295" t="s">
        <v>16</v>
      </c>
      <c r="E1295" t="s">
        <v>191</v>
      </c>
      <c r="F1295" t="s">
        <v>1125</v>
      </c>
      <c r="G1295" t="s">
        <v>463</v>
      </c>
      <c r="H1295">
        <v>75</v>
      </c>
      <c r="I1295">
        <v>28</v>
      </c>
      <c r="J1295" t="s">
        <v>20</v>
      </c>
      <c r="K1295" t="s">
        <v>38</v>
      </c>
      <c r="L1295" t="s">
        <v>29</v>
      </c>
      <c r="M1295" t="s">
        <v>23</v>
      </c>
      <c r="N1295">
        <v>0</v>
      </c>
      <c r="O1295">
        <v>0</v>
      </c>
      <c r="P1295" s="8">
        <f>INT(Delivery_data[[#This Row],[Order Timestamp]])</f>
        <v>45177</v>
      </c>
      <c r="Q1295">
        <f ca="1">IF(Delivery_data[[#This Row],[Order Status]]="In Progress", TODAY()-Delivery_data[[#This Row],[Order Date]], "")</f>
        <v>806</v>
      </c>
      <c r="R1295">
        <f>IF(Delivery_data[[#This Row],[On Time]]=1,0,1)</f>
        <v>1</v>
      </c>
    </row>
    <row r="1296" spans="1:18" x14ac:dyDescent="0.35">
      <c r="A1296">
        <v>2143</v>
      </c>
      <c r="B1296" t="s">
        <v>1398</v>
      </c>
      <c r="C1296" s="1">
        <v>45177.397916666669</v>
      </c>
      <c r="D1296" t="s">
        <v>16</v>
      </c>
      <c r="E1296" t="s">
        <v>559</v>
      </c>
      <c r="F1296" t="s">
        <v>1125</v>
      </c>
      <c r="G1296" t="s">
        <v>19</v>
      </c>
      <c r="H1296">
        <v>184</v>
      </c>
      <c r="I1296">
        <v>1</v>
      </c>
      <c r="J1296" t="s">
        <v>27</v>
      </c>
      <c r="K1296" t="s">
        <v>33</v>
      </c>
      <c r="L1296" t="s">
        <v>29</v>
      </c>
      <c r="M1296" t="s">
        <v>39</v>
      </c>
      <c r="N1296">
        <v>0</v>
      </c>
      <c r="O1296">
        <v>0</v>
      </c>
      <c r="P1296" s="8">
        <f>INT(Delivery_data[[#This Row],[Order Timestamp]])</f>
        <v>45177</v>
      </c>
      <c r="Q1296">
        <f ca="1">IF(Delivery_data[[#This Row],[Order Status]]="In Progress", TODAY()-Delivery_data[[#This Row],[Order Date]], "")</f>
        <v>806</v>
      </c>
      <c r="R1296">
        <f>IF(Delivery_data[[#This Row],[On Time]]=1,0,1)</f>
        <v>1</v>
      </c>
    </row>
    <row r="1297" spans="1:18" x14ac:dyDescent="0.35">
      <c r="A1297">
        <v>2146</v>
      </c>
      <c r="B1297" t="s">
        <v>1399</v>
      </c>
      <c r="C1297" s="1">
        <v>45171.362500000003</v>
      </c>
      <c r="D1297" t="s">
        <v>25</v>
      </c>
      <c r="E1297" t="s">
        <v>271</v>
      </c>
      <c r="F1297" t="s">
        <v>1125</v>
      </c>
      <c r="G1297" t="s">
        <v>233</v>
      </c>
      <c r="H1297">
        <v>66</v>
      </c>
      <c r="I1297">
        <v>18</v>
      </c>
      <c r="J1297" t="s">
        <v>27</v>
      </c>
      <c r="K1297" t="s">
        <v>51</v>
      </c>
      <c r="L1297" t="s">
        <v>29</v>
      </c>
      <c r="M1297" t="s">
        <v>30</v>
      </c>
      <c r="N1297">
        <v>0</v>
      </c>
      <c r="O1297">
        <v>0</v>
      </c>
      <c r="P1297" s="8">
        <f>INT(Delivery_data[[#This Row],[Order Timestamp]])</f>
        <v>45171</v>
      </c>
      <c r="Q1297" t="str">
        <f ca="1">IF(Delivery_data[[#This Row],[Order Status]]="In Progress", TODAY()-Delivery_data[[#This Row],[Order Date]], "")</f>
        <v/>
      </c>
      <c r="R1297">
        <f>IF(Delivery_data[[#This Row],[On Time]]=1,0,1)</f>
        <v>1</v>
      </c>
    </row>
    <row r="1298" spans="1:18" x14ac:dyDescent="0.35">
      <c r="A1298">
        <v>2155</v>
      </c>
      <c r="B1298" t="s">
        <v>1400</v>
      </c>
      <c r="C1298" s="1">
        <v>45177.468055555553</v>
      </c>
      <c r="D1298" t="s">
        <v>16</v>
      </c>
      <c r="E1298" t="s">
        <v>195</v>
      </c>
      <c r="F1298" t="s">
        <v>1125</v>
      </c>
      <c r="G1298" t="s">
        <v>19</v>
      </c>
      <c r="H1298">
        <v>162</v>
      </c>
      <c r="I1298">
        <v>3</v>
      </c>
      <c r="J1298" t="s">
        <v>35</v>
      </c>
      <c r="K1298" t="s">
        <v>21</v>
      </c>
      <c r="L1298" t="s">
        <v>29</v>
      </c>
      <c r="M1298" t="s">
        <v>39</v>
      </c>
      <c r="N1298">
        <v>0</v>
      </c>
      <c r="O1298">
        <v>1</v>
      </c>
      <c r="P1298" s="8">
        <f>INT(Delivery_data[[#This Row],[Order Timestamp]])</f>
        <v>45177</v>
      </c>
      <c r="Q1298">
        <f ca="1">IF(Delivery_data[[#This Row],[Order Status]]="In Progress", TODAY()-Delivery_data[[#This Row],[Order Date]], "")</f>
        <v>806</v>
      </c>
      <c r="R1298">
        <f>IF(Delivery_data[[#This Row],[On Time]]=1,0,1)</f>
        <v>1</v>
      </c>
    </row>
    <row r="1299" spans="1:18" x14ac:dyDescent="0.35">
      <c r="A1299">
        <v>2162</v>
      </c>
      <c r="B1299" t="s">
        <v>1401</v>
      </c>
      <c r="C1299" s="1">
        <v>45170.490972222222</v>
      </c>
      <c r="D1299" t="s">
        <v>25</v>
      </c>
      <c r="E1299" t="s">
        <v>48</v>
      </c>
      <c r="F1299" t="s">
        <v>1125</v>
      </c>
      <c r="G1299" t="s">
        <v>362</v>
      </c>
      <c r="H1299">
        <v>118</v>
      </c>
      <c r="I1299">
        <v>11</v>
      </c>
      <c r="J1299" t="s">
        <v>35</v>
      </c>
      <c r="K1299" t="s">
        <v>51</v>
      </c>
      <c r="L1299" t="s">
        <v>29</v>
      </c>
      <c r="M1299" t="s">
        <v>39</v>
      </c>
      <c r="N1299">
        <v>0</v>
      </c>
      <c r="O1299">
        <v>1</v>
      </c>
      <c r="P1299" s="8">
        <f>INT(Delivery_data[[#This Row],[Order Timestamp]])</f>
        <v>45170</v>
      </c>
      <c r="Q1299" t="str">
        <f ca="1">IF(Delivery_data[[#This Row],[Order Status]]="In Progress", TODAY()-Delivery_data[[#This Row],[Order Date]], "")</f>
        <v/>
      </c>
      <c r="R1299">
        <f>IF(Delivery_data[[#This Row],[On Time]]=1,0,1)</f>
        <v>1</v>
      </c>
    </row>
    <row r="1300" spans="1:18" x14ac:dyDescent="0.35">
      <c r="A1300">
        <v>2190</v>
      </c>
      <c r="B1300" t="s">
        <v>177</v>
      </c>
      <c r="C1300" s="1">
        <v>45176.574999999997</v>
      </c>
      <c r="D1300" t="s">
        <v>16</v>
      </c>
      <c r="E1300" t="s">
        <v>72</v>
      </c>
      <c r="F1300" t="s">
        <v>1125</v>
      </c>
      <c r="G1300" t="s">
        <v>19</v>
      </c>
      <c r="H1300">
        <v>166</v>
      </c>
      <c r="I1300">
        <v>17</v>
      </c>
      <c r="J1300" t="s">
        <v>27</v>
      </c>
      <c r="K1300" t="s">
        <v>21</v>
      </c>
      <c r="L1300" t="s">
        <v>29</v>
      </c>
      <c r="M1300" t="s">
        <v>39</v>
      </c>
      <c r="N1300">
        <v>0</v>
      </c>
      <c r="O1300">
        <v>0</v>
      </c>
      <c r="P1300" s="8">
        <f>INT(Delivery_data[[#This Row],[Order Timestamp]])</f>
        <v>45176</v>
      </c>
      <c r="Q1300">
        <f ca="1">IF(Delivery_data[[#This Row],[Order Status]]="In Progress", TODAY()-Delivery_data[[#This Row],[Order Date]], "")</f>
        <v>807</v>
      </c>
      <c r="R1300">
        <f>IF(Delivery_data[[#This Row],[On Time]]=1,0,1)</f>
        <v>1</v>
      </c>
    </row>
    <row r="1301" spans="1:18" x14ac:dyDescent="0.35">
      <c r="A1301">
        <v>2212</v>
      </c>
      <c r="B1301" t="s">
        <v>1402</v>
      </c>
      <c r="C1301" s="1">
        <v>45170.69027777778</v>
      </c>
      <c r="D1301" t="s">
        <v>16</v>
      </c>
      <c r="E1301" t="s">
        <v>98</v>
      </c>
      <c r="F1301" t="s">
        <v>1125</v>
      </c>
      <c r="G1301" t="s">
        <v>19</v>
      </c>
      <c r="H1301">
        <v>218</v>
      </c>
      <c r="I1301">
        <v>16</v>
      </c>
      <c r="J1301" t="s">
        <v>35</v>
      </c>
      <c r="K1301" t="s">
        <v>33</v>
      </c>
      <c r="L1301" t="s">
        <v>29</v>
      </c>
      <c r="M1301" t="s">
        <v>23</v>
      </c>
      <c r="N1301">
        <v>0</v>
      </c>
      <c r="O1301">
        <v>1</v>
      </c>
      <c r="P1301" s="8">
        <f>INT(Delivery_data[[#This Row],[Order Timestamp]])</f>
        <v>45170</v>
      </c>
      <c r="Q1301">
        <f ca="1">IF(Delivery_data[[#This Row],[Order Status]]="In Progress", TODAY()-Delivery_data[[#This Row],[Order Date]], "")</f>
        <v>813</v>
      </c>
      <c r="R1301">
        <f>IF(Delivery_data[[#This Row],[On Time]]=1,0,1)</f>
        <v>1</v>
      </c>
    </row>
    <row r="1302" spans="1:18" x14ac:dyDescent="0.35">
      <c r="A1302">
        <v>2225</v>
      </c>
      <c r="B1302" t="s">
        <v>1403</v>
      </c>
      <c r="C1302" s="1">
        <v>45172.618750000001</v>
      </c>
      <c r="D1302" t="s">
        <v>25</v>
      </c>
      <c r="E1302" t="s">
        <v>172</v>
      </c>
      <c r="F1302" t="s">
        <v>1125</v>
      </c>
      <c r="G1302" t="s">
        <v>362</v>
      </c>
      <c r="H1302">
        <v>141</v>
      </c>
      <c r="I1302">
        <v>29</v>
      </c>
      <c r="J1302" t="s">
        <v>27</v>
      </c>
      <c r="K1302" t="s">
        <v>51</v>
      </c>
      <c r="L1302" t="s">
        <v>29</v>
      </c>
      <c r="M1302" t="s">
        <v>39</v>
      </c>
      <c r="N1302">
        <v>0</v>
      </c>
      <c r="O1302">
        <v>0</v>
      </c>
      <c r="P1302" s="8">
        <f>INT(Delivery_data[[#This Row],[Order Timestamp]])</f>
        <v>45172</v>
      </c>
      <c r="Q1302" t="str">
        <f ca="1">IF(Delivery_data[[#This Row],[Order Status]]="In Progress", TODAY()-Delivery_data[[#This Row],[Order Date]], "")</f>
        <v/>
      </c>
      <c r="R1302">
        <f>IF(Delivery_data[[#This Row],[On Time]]=1,0,1)</f>
        <v>1</v>
      </c>
    </row>
    <row r="1303" spans="1:18" x14ac:dyDescent="0.35">
      <c r="A1303">
        <v>2235</v>
      </c>
      <c r="B1303" t="s">
        <v>1404</v>
      </c>
      <c r="C1303" s="1">
        <v>45171.525000000001</v>
      </c>
      <c r="D1303" t="s">
        <v>16</v>
      </c>
      <c r="E1303" t="s">
        <v>110</v>
      </c>
      <c r="F1303" t="s">
        <v>1125</v>
      </c>
      <c r="G1303" t="s">
        <v>557</v>
      </c>
      <c r="H1303">
        <v>93</v>
      </c>
      <c r="I1303">
        <v>28</v>
      </c>
      <c r="J1303" t="s">
        <v>20</v>
      </c>
      <c r="K1303" t="s">
        <v>21</v>
      </c>
      <c r="L1303" t="s">
        <v>29</v>
      </c>
      <c r="M1303" t="s">
        <v>30</v>
      </c>
      <c r="N1303">
        <v>0</v>
      </c>
      <c r="O1303">
        <v>0</v>
      </c>
      <c r="P1303" s="8">
        <f>INT(Delivery_data[[#This Row],[Order Timestamp]])</f>
        <v>45171</v>
      </c>
      <c r="Q1303">
        <f ca="1">IF(Delivery_data[[#This Row],[Order Status]]="In Progress", TODAY()-Delivery_data[[#This Row],[Order Date]], "")</f>
        <v>812</v>
      </c>
      <c r="R1303">
        <f>IF(Delivery_data[[#This Row],[On Time]]=1,0,1)</f>
        <v>1</v>
      </c>
    </row>
    <row r="1304" spans="1:18" x14ac:dyDescent="0.35">
      <c r="A1304">
        <v>2242</v>
      </c>
      <c r="B1304" t="s">
        <v>1405</v>
      </c>
      <c r="C1304" s="1">
        <v>45172.490972222222</v>
      </c>
      <c r="D1304" t="s">
        <v>25</v>
      </c>
      <c r="E1304" t="s">
        <v>360</v>
      </c>
      <c r="F1304" t="s">
        <v>1125</v>
      </c>
      <c r="G1304" t="s">
        <v>233</v>
      </c>
      <c r="H1304">
        <v>175</v>
      </c>
      <c r="I1304">
        <v>5</v>
      </c>
      <c r="J1304" t="s">
        <v>27</v>
      </c>
      <c r="K1304" t="s">
        <v>28</v>
      </c>
      <c r="L1304" t="s">
        <v>29</v>
      </c>
      <c r="M1304" t="s">
        <v>23</v>
      </c>
      <c r="N1304">
        <v>0</v>
      </c>
      <c r="O1304">
        <v>0</v>
      </c>
      <c r="P1304" s="8">
        <f>INT(Delivery_data[[#This Row],[Order Timestamp]])</f>
        <v>45172</v>
      </c>
      <c r="Q1304" t="str">
        <f ca="1">IF(Delivery_data[[#This Row],[Order Status]]="In Progress", TODAY()-Delivery_data[[#This Row],[Order Date]], "")</f>
        <v/>
      </c>
      <c r="R1304">
        <f>IF(Delivery_data[[#This Row],[On Time]]=1,0,1)</f>
        <v>1</v>
      </c>
    </row>
    <row r="1305" spans="1:18" x14ac:dyDescent="0.35">
      <c r="A1305">
        <v>2246</v>
      </c>
      <c r="B1305" t="s">
        <v>1406</v>
      </c>
      <c r="C1305" s="1">
        <v>45172.347222222219</v>
      </c>
      <c r="D1305" t="s">
        <v>16</v>
      </c>
      <c r="E1305" t="s">
        <v>292</v>
      </c>
      <c r="F1305" t="s">
        <v>1125</v>
      </c>
      <c r="G1305" t="s">
        <v>19</v>
      </c>
      <c r="H1305">
        <v>223</v>
      </c>
      <c r="I1305">
        <v>27</v>
      </c>
      <c r="J1305" t="s">
        <v>35</v>
      </c>
      <c r="K1305" t="s">
        <v>38</v>
      </c>
      <c r="L1305" t="s">
        <v>29</v>
      </c>
      <c r="M1305" t="s">
        <v>39</v>
      </c>
      <c r="N1305">
        <v>0</v>
      </c>
      <c r="O1305">
        <v>1</v>
      </c>
      <c r="P1305" s="8">
        <f>INT(Delivery_data[[#This Row],[Order Timestamp]])</f>
        <v>45172</v>
      </c>
      <c r="Q1305">
        <f ca="1">IF(Delivery_data[[#This Row],[Order Status]]="In Progress", TODAY()-Delivery_data[[#This Row],[Order Date]], "")</f>
        <v>811</v>
      </c>
      <c r="R1305">
        <f>IF(Delivery_data[[#This Row],[On Time]]=1,0,1)</f>
        <v>1</v>
      </c>
    </row>
    <row r="1306" spans="1:18" x14ac:dyDescent="0.35">
      <c r="A1306">
        <v>2268</v>
      </c>
      <c r="B1306" t="s">
        <v>1407</v>
      </c>
      <c r="C1306" s="1">
        <v>45172.581250000003</v>
      </c>
      <c r="D1306" t="s">
        <v>16</v>
      </c>
      <c r="E1306" t="s">
        <v>342</v>
      </c>
      <c r="F1306" t="s">
        <v>1125</v>
      </c>
      <c r="G1306" t="s">
        <v>557</v>
      </c>
      <c r="H1306">
        <v>228</v>
      </c>
      <c r="I1306">
        <v>6</v>
      </c>
      <c r="J1306" t="s">
        <v>27</v>
      </c>
      <c r="K1306" t="s">
        <v>21</v>
      </c>
      <c r="L1306" t="s">
        <v>29</v>
      </c>
      <c r="M1306" t="s">
        <v>39</v>
      </c>
      <c r="N1306">
        <v>0</v>
      </c>
      <c r="O1306">
        <v>0</v>
      </c>
      <c r="P1306" s="8">
        <f>INT(Delivery_data[[#This Row],[Order Timestamp]])</f>
        <v>45172</v>
      </c>
      <c r="Q1306">
        <f ca="1">IF(Delivery_data[[#This Row],[Order Status]]="In Progress", TODAY()-Delivery_data[[#This Row],[Order Date]], "")</f>
        <v>811</v>
      </c>
      <c r="R1306">
        <f>IF(Delivery_data[[#This Row],[On Time]]=1,0,1)</f>
        <v>1</v>
      </c>
    </row>
    <row r="1307" spans="1:18" x14ac:dyDescent="0.35">
      <c r="A1307">
        <v>2272</v>
      </c>
      <c r="B1307" t="s">
        <v>1408</v>
      </c>
      <c r="C1307" s="1">
        <v>45171.64166666667</v>
      </c>
      <c r="D1307" t="s">
        <v>16</v>
      </c>
      <c r="E1307" t="s">
        <v>64</v>
      </c>
      <c r="F1307" t="s">
        <v>1125</v>
      </c>
      <c r="G1307" t="s">
        <v>233</v>
      </c>
      <c r="H1307">
        <v>238</v>
      </c>
      <c r="I1307">
        <v>21</v>
      </c>
      <c r="J1307" t="s">
        <v>27</v>
      </c>
      <c r="K1307" t="s">
        <v>33</v>
      </c>
      <c r="L1307" t="s">
        <v>29</v>
      </c>
      <c r="M1307" t="s">
        <v>23</v>
      </c>
      <c r="N1307">
        <v>0</v>
      </c>
      <c r="O1307">
        <v>0</v>
      </c>
      <c r="P1307" s="8">
        <f>INT(Delivery_data[[#This Row],[Order Timestamp]])</f>
        <v>45171</v>
      </c>
      <c r="Q1307">
        <f ca="1">IF(Delivery_data[[#This Row],[Order Status]]="In Progress", TODAY()-Delivery_data[[#This Row],[Order Date]], "")</f>
        <v>812</v>
      </c>
      <c r="R1307">
        <f>IF(Delivery_data[[#This Row],[On Time]]=1,0,1)</f>
        <v>1</v>
      </c>
    </row>
    <row r="1308" spans="1:18" x14ac:dyDescent="0.35">
      <c r="A1308">
        <v>2273</v>
      </c>
      <c r="B1308" t="s">
        <v>1409</v>
      </c>
      <c r="C1308" s="1">
        <v>45175.352083333331</v>
      </c>
      <c r="D1308" t="s">
        <v>16</v>
      </c>
      <c r="E1308" t="s">
        <v>320</v>
      </c>
      <c r="F1308" t="s">
        <v>1125</v>
      </c>
      <c r="G1308" t="s">
        <v>233</v>
      </c>
      <c r="H1308">
        <v>166</v>
      </c>
      <c r="I1308">
        <v>11</v>
      </c>
      <c r="J1308" t="s">
        <v>20</v>
      </c>
      <c r="K1308" t="s">
        <v>38</v>
      </c>
      <c r="L1308" t="s">
        <v>29</v>
      </c>
      <c r="M1308" t="s">
        <v>23</v>
      </c>
      <c r="N1308">
        <v>0</v>
      </c>
      <c r="O1308">
        <v>0</v>
      </c>
      <c r="P1308" s="8">
        <f>INT(Delivery_data[[#This Row],[Order Timestamp]])</f>
        <v>45175</v>
      </c>
      <c r="Q1308">
        <f ca="1">IF(Delivery_data[[#This Row],[Order Status]]="In Progress", TODAY()-Delivery_data[[#This Row],[Order Date]], "")</f>
        <v>808</v>
      </c>
      <c r="R1308">
        <f>IF(Delivery_data[[#This Row],[On Time]]=1,0,1)</f>
        <v>1</v>
      </c>
    </row>
    <row r="1309" spans="1:18" x14ac:dyDescent="0.35">
      <c r="A1309">
        <v>2281</v>
      </c>
      <c r="B1309" t="s">
        <v>1410</v>
      </c>
      <c r="C1309" s="1">
        <v>45174.697222222225</v>
      </c>
      <c r="D1309" t="s">
        <v>16</v>
      </c>
      <c r="E1309" t="s">
        <v>50</v>
      </c>
      <c r="F1309" t="s">
        <v>1125</v>
      </c>
      <c r="G1309" t="s">
        <v>233</v>
      </c>
      <c r="H1309">
        <v>159</v>
      </c>
      <c r="I1309">
        <v>24</v>
      </c>
      <c r="J1309" t="s">
        <v>27</v>
      </c>
      <c r="K1309" t="s">
        <v>33</v>
      </c>
      <c r="L1309" t="s">
        <v>29</v>
      </c>
      <c r="M1309" t="s">
        <v>30</v>
      </c>
      <c r="N1309">
        <v>0</v>
      </c>
      <c r="O1309">
        <v>0</v>
      </c>
      <c r="P1309" s="8">
        <f>INT(Delivery_data[[#This Row],[Order Timestamp]])</f>
        <v>45174</v>
      </c>
      <c r="Q1309">
        <f ca="1">IF(Delivery_data[[#This Row],[Order Status]]="In Progress", TODAY()-Delivery_data[[#This Row],[Order Date]], "")</f>
        <v>809</v>
      </c>
      <c r="R1309">
        <f>IF(Delivery_data[[#This Row],[On Time]]=1,0,1)</f>
        <v>1</v>
      </c>
    </row>
    <row r="1310" spans="1:18" x14ac:dyDescent="0.35">
      <c r="A1310">
        <v>2286</v>
      </c>
      <c r="B1310" t="s">
        <v>1411</v>
      </c>
      <c r="C1310" s="1">
        <v>45172.683333333334</v>
      </c>
      <c r="D1310" t="s">
        <v>25</v>
      </c>
      <c r="E1310" t="s">
        <v>58</v>
      </c>
      <c r="F1310" t="s">
        <v>1125</v>
      </c>
      <c r="G1310" t="s">
        <v>362</v>
      </c>
      <c r="H1310">
        <v>105</v>
      </c>
      <c r="I1310">
        <v>20</v>
      </c>
      <c r="J1310" t="s">
        <v>20</v>
      </c>
      <c r="K1310" t="s">
        <v>21</v>
      </c>
      <c r="L1310" t="s">
        <v>29</v>
      </c>
      <c r="M1310" t="s">
        <v>23</v>
      </c>
      <c r="N1310">
        <v>0</v>
      </c>
      <c r="O1310">
        <v>0</v>
      </c>
      <c r="P1310" s="8">
        <f>INT(Delivery_data[[#This Row],[Order Timestamp]])</f>
        <v>45172</v>
      </c>
      <c r="Q1310" t="str">
        <f ca="1">IF(Delivery_data[[#This Row],[Order Status]]="In Progress", TODAY()-Delivery_data[[#This Row],[Order Date]], "")</f>
        <v/>
      </c>
      <c r="R1310">
        <f>IF(Delivery_data[[#This Row],[On Time]]=1,0,1)</f>
        <v>1</v>
      </c>
    </row>
    <row r="1311" spans="1:18" x14ac:dyDescent="0.35">
      <c r="A1311">
        <v>2300</v>
      </c>
      <c r="B1311" t="s">
        <v>1412</v>
      </c>
      <c r="C1311" s="1">
        <v>45177.529861111114</v>
      </c>
      <c r="D1311" t="s">
        <v>25</v>
      </c>
      <c r="E1311" t="s">
        <v>53</v>
      </c>
      <c r="F1311" t="s">
        <v>1125</v>
      </c>
      <c r="G1311" t="s">
        <v>19</v>
      </c>
      <c r="H1311">
        <v>104</v>
      </c>
      <c r="I1311">
        <v>12</v>
      </c>
      <c r="J1311" t="s">
        <v>27</v>
      </c>
      <c r="K1311" t="s">
        <v>51</v>
      </c>
      <c r="L1311" t="s">
        <v>29</v>
      </c>
      <c r="M1311" t="s">
        <v>30</v>
      </c>
      <c r="N1311">
        <v>0</v>
      </c>
      <c r="O1311">
        <v>0</v>
      </c>
      <c r="P1311" s="8">
        <f>INT(Delivery_data[[#This Row],[Order Timestamp]])</f>
        <v>45177</v>
      </c>
      <c r="Q1311" t="str">
        <f ca="1">IF(Delivery_data[[#This Row],[Order Status]]="In Progress", TODAY()-Delivery_data[[#This Row],[Order Date]], "")</f>
        <v/>
      </c>
      <c r="R1311">
        <f>IF(Delivery_data[[#This Row],[On Time]]=1,0,1)</f>
        <v>1</v>
      </c>
    </row>
    <row r="1312" spans="1:18" x14ac:dyDescent="0.35">
      <c r="A1312">
        <v>2313</v>
      </c>
      <c r="B1312" t="s">
        <v>1413</v>
      </c>
      <c r="C1312" s="1">
        <v>45172.347222222219</v>
      </c>
      <c r="D1312" t="s">
        <v>25</v>
      </c>
      <c r="E1312" t="s">
        <v>200</v>
      </c>
      <c r="F1312" t="s">
        <v>1125</v>
      </c>
      <c r="G1312" t="s">
        <v>19</v>
      </c>
      <c r="H1312">
        <v>95</v>
      </c>
      <c r="I1312">
        <v>4</v>
      </c>
      <c r="J1312" t="s">
        <v>27</v>
      </c>
      <c r="K1312" t="s">
        <v>33</v>
      </c>
      <c r="L1312" t="s">
        <v>29</v>
      </c>
      <c r="M1312" t="s">
        <v>23</v>
      </c>
      <c r="N1312">
        <v>0</v>
      </c>
      <c r="O1312">
        <v>0</v>
      </c>
      <c r="P1312" s="8">
        <f>INT(Delivery_data[[#This Row],[Order Timestamp]])</f>
        <v>45172</v>
      </c>
      <c r="Q1312" t="str">
        <f ca="1">IF(Delivery_data[[#This Row],[Order Status]]="In Progress", TODAY()-Delivery_data[[#This Row],[Order Date]], "")</f>
        <v/>
      </c>
      <c r="R1312">
        <f>IF(Delivery_data[[#This Row],[On Time]]=1,0,1)</f>
        <v>1</v>
      </c>
    </row>
    <row r="1313" spans="1:18" x14ac:dyDescent="0.35">
      <c r="A1313">
        <v>2322</v>
      </c>
      <c r="B1313" t="s">
        <v>1414</v>
      </c>
      <c r="C1313" s="1">
        <v>45177.347916666666</v>
      </c>
      <c r="D1313" t="s">
        <v>16</v>
      </c>
      <c r="E1313" t="s">
        <v>68</v>
      </c>
      <c r="F1313" t="s">
        <v>1125</v>
      </c>
      <c r="G1313" t="s">
        <v>463</v>
      </c>
      <c r="H1313">
        <v>192</v>
      </c>
      <c r="I1313">
        <v>2</v>
      </c>
      <c r="J1313" t="s">
        <v>20</v>
      </c>
      <c r="K1313" t="s">
        <v>28</v>
      </c>
      <c r="L1313" t="s">
        <v>29</v>
      </c>
      <c r="M1313" t="s">
        <v>30</v>
      </c>
      <c r="N1313">
        <v>0</v>
      </c>
      <c r="O1313">
        <v>0</v>
      </c>
      <c r="P1313" s="8">
        <f>INT(Delivery_data[[#This Row],[Order Timestamp]])</f>
        <v>45177</v>
      </c>
      <c r="Q1313">
        <f ca="1">IF(Delivery_data[[#This Row],[Order Status]]="In Progress", TODAY()-Delivery_data[[#This Row],[Order Date]], "")</f>
        <v>806</v>
      </c>
      <c r="R1313">
        <f>IF(Delivery_data[[#This Row],[On Time]]=1,0,1)</f>
        <v>1</v>
      </c>
    </row>
    <row r="1314" spans="1:18" x14ac:dyDescent="0.35">
      <c r="A1314">
        <v>2360</v>
      </c>
      <c r="B1314" t="s">
        <v>1415</v>
      </c>
      <c r="C1314" s="1">
        <v>45174.523611111108</v>
      </c>
      <c r="D1314" t="s">
        <v>16</v>
      </c>
      <c r="E1314" t="s">
        <v>227</v>
      </c>
      <c r="F1314" t="s">
        <v>1125</v>
      </c>
      <c r="G1314" t="s">
        <v>362</v>
      </c>
      <c r="H1314">
        <v>209</v>
      </c>
      <c r="I1314">
        <v>19</v>
      </c>
      <c r="J1314" t="s">
        <v>27</v>
      </c>
      <c r="K1314" t="s">
        <v>33</v>
      </c>
      <c r="L1314" t="s">
        <v>29</v>
      </c>
      <c r="M1314" t="s">
        <v>30</v>
      </c>
      <c r="N1314">
        <v>0</v>
      </c>
      <c r="O1314">
        <v>0</v>
      </c>
      <c r="P1314" s="8">
        <f>INT(Delivery_data[[#This Row],[Order Timestamp]])</f>
        <v>45174</v>
      </c>
      <c r="Q1314">
        <f ca="1">IF(Delivery_data[[#This Row],[Order Status]]="In Progress", TODAY()-Delivery_data[[#This Row],[Order Date]], "")</f>
        <v>809</v>
      </c>
      <c r="R1314">
        <f>IF(Delivery_data[[#This Row],[On Time]]=1,0,1)</f>
        <v>1</v>
      </c>
    </row>
    <row r="1315" spans="1:18" x14ac:dyDescent="0.35">
      <c r="A1315">
        <v>2363</v>
      </c>
      <c r="B1315" t="s">
        <v>1416</v>
      </c>
      <c r="C1315" s="1">
        <v>45173.412499999999</v>
      </c>
      <c r="D1315" t="s">
        <v>16</v>
      </c>
      <c r="E1315" t="s">
        <v>216</v>
      </c>
      <c r="F1315" t="s">
        <v>1125</v>
      </c>
      <c r="G1315" t="s">
        <v>463</v>
      </c>
      <c r="H1315">
        <v>123</v>
      </c>
      <c r="I1315">
        <v>25</v>
      </c>
      <c r="J1315" t="s">
        <v>20</v>
      </c>
      <c r="K1315" t="s">
        <v>28</v>
      </c>
      <c r="L1315" t="s">
        <v>29</v>
      </c>
      <c r="M1315" t="s">
        <v>30</v>
      </c>
      <c r="N1315">
        <v>0</v>
      </c>
      <c r="O1315">
        <v>0</v>
      </c>
      <c r="P1315" s="8">
        <f>INT(Delivery_data[[#This Row],[Order Timestamp]])</f>
        <v>45173</v>
      </c>
      <c r="Q1315">
        <f ca="1">IF(Delivery_data[[#This Row],[Order Status]]="In Progress", TODAY()-Delivery_data[[#This Row],[Order Date]], "")</f>
        <v>810</v>
      </c>
      <c r="R1315">
        <f>IF(Delivery_data[[#This Row],[On Time]]=1,0,1)</f>
        <v>1</v>
      </c>
    </row>
    <row r="1316" spans="1:18" x14ac:dyDescent="0.35">
      <c r="A1316">
        <v>2365</v>
      </c>
      <c r="B1316" t="s">
        <v>717</v>
      </c>
      <c r="C1316" s="1">
        <v>45171.354861111111</v>
      </c>
      <c r="D1316" t="s">
        <v>25</v>
      </c>
      <c r="E1316" t="s">
        <v>76</v>
      </c>
      <c r="F1316" t="s">
        <v>1125</v>
      </c>
      <c r="G1316" t="s">
        <v>557</v>
      </c>
      <c r="H1316">
        <v>128</v>
      </c>
      <c r="I1316">
        <v>18</v>
      </c>
      <c r="J1316" t="s">
        <v>27</v>
      </c>
      <c r="K1316" t="s">
        <v>28</v>
      </c>
      <c r="L1316" t="s">
        <v>29</v>
      </c>
      <c r="M1316" t="s">
        <v>23</v>
      </c>
      <c r="N1316">
        <v>0</v>
      </c>
      <c r="O1316">
        <v>0</v>
      </c>
      <c r="P1316" s="8">
        <f>INT(Delivery_data[[#This Row],[Order Timestamp]])</f>
        <v>45171</v>
      </c>
      <c r="Q1316" t="str">
        <f ca="1">IF(Delivery_data[[#This Row],[Order Status]]="In Progress", TODAY()-Delivery_data[[#This Row],[Order Date]], "")</f>
        <v/>
      </c>
      <c r="R1316">
        <f>IF(Delivery_data[[#This Row],[On Time]]=1,0,1)</f>
        <v>1</v>
      </c>
    </row>
    <row r="1317" spans="1:18" x14ac:dyDescent="0.35">
      <c r="A1317">
        <v>2377</v>
      </c>
      <c r="B1317" t="s">
        <v>1417</v>
      </c>
      <c r="C1317" s="1">
        <v>45175.565972222219</v>
      </c>
      <c r="D1317" t="s">
        <v>16</v>
      </c>
      <c r="E1317" t="s">
        <v>342</v>
      </c>
      <c r="F1317" t="s">
        <v>1125</v>
      </c>
      <c r="G1317" t="s">
        <v>233</v>
      </c>
      <c r="H1317">
        <v>197</v>
      </c>
      <c r="I1317">
        <v>20</v>
      </c>
      <c r="J1317" t="s">
        <v>35</v>
      </c>
      <c r="K1317" t="s">
        <v>21</v>
      </c>
      <c r="L1317" t="s">
        <v>29</v>
      </c>
      <c r="M1317" t="s">
        <v>30</v>
      </c>
      <c r="N1317">
        <v>0</v>
      </c>
      <c r="O1317">
        <v>1</v>
      </c>
      <c r="P1317" s="8">
        <f>INT(Delivery_data[[#This Row],[Order Timestamp]])</f>
        <v>45175</v>
      </c>
      <c r="Q1317">
        <f ca="1">IF(Delivery_data[[#This Row],[Order Status]]="In Progress", TODAY()-Delivery_data[[#This Row],[Order Date]], "")</f>
        <v>808</v>
      </c>
      <c r="R1317">
        <f>IF(Delivery_data[[#This Row],[On Time]]=1,0,1)</f>
        <v>1</v>
      </c>
    </row>
    <row r="1318" spans="1:18" x14ac:dyDescent="0.35">
      <c r="A1318">
        <v>2387</v>
      </c>
      <c r="B1318" t="s">
        <v>1418</v>
      </c>
      <c r="C1318" s="1">
        <v>45171.554861111108</v>
      </c>
      <c r="D1318" t="s">
        <v>16</v>
      </c>
      <c r="E1318" t="s">
        <v>85</v>
      </c>
      <c r="F1318" t="s">
        <v>1125</v>
      </c>
      <c r="G1318" t="s">
        <v>19</v>
      </c>
      <c r="H1318">
        <v>151</v>
      </c>
      <c r="I1318">
        <v>8</v>
      </c>
      <c r="J1318" t="s">
        <v>20</v>
      </c>
      <c r="K1318" t="s">
        <v>33</v>
      </c>
      <c r="L1318" t="s">
        <v>29</v>
      </c>
      <c r="M1318" t="s">
        <v>30</v>
      </c>
      <c r="N1318">
        <v>0</v>
      </c>
      <c r="O1318">
        <v>0</v>
      </c>
      <c r="P1318" s="8">
        <f>INT(Delivery_data[[#This Row],[Order Timestamp]])</f>
        <v>45171</v>
      </c>
      <c r="Q1318">
        <f ca="1">IF(Delivery_data[[#This Row],[Order Status]]="In Progress", TODAY()-Delivery_data[[#This Row],[Order Date]], "")</f>
        <v>812</v>
      </c>
      <c r="R1318">
        <f>IF(Delivery_data[[#This Row],[On Time]]=1,0,1)</f>
        <v>1</v>
      </c>
    </row>
    <row r="1319" spans="1:18" x14ac:dyDescent="0.35">
      <c r="A1319">
        <v>2396</v>
      </c>
      <c r="B1319" t="s">
        <v>1419</v>
      </c>
      <c r="C1319" s="1">
        <v>45173.537499999999</v>
      </c>
      <c r="D1319" t="s">
        <v>16</v>
      </c>
      <c r="E1319" t="s">
        <v>155</v>
      </c>
      <c r="F1319" t="s">
        <v>1125</v>
      </c>
      <c r="G1319" t="s">
        <v>233</v>
      </c>
      <c r="H1319">
        <v>75</v>
      </c>
      <c r="I1319">
        <v>4</v>
      </c>
      <c r="J1319" t="s">
        <v>27</v>
      </c>
      <c r="K1319" t="s">
        <v>21</v>
      </c>
      <c r="L1319" t="s">
        <v>29</v>
      </c>
      <c r="M1319" t="s">
        <v>23</v>
      </c>
      <c r="N1319">
        <v>0</v>
      </c>
      <c r="O1319">
        <v>0</v>
      </c>
      <c r="P1319" s="8">
        <f>INT(Delivery_data[[#This Row],[Order Timestamp]])</f>
        <v>45173</v>
      </c>
      <c r="Q1319">
        <f ca="1">IF(Delivery_data[[#This Row],[Order Status]]="In Progress", TODAY()-Delivery_data[[#This Row],[Order Date]], "")</f>
        <v>810</v>
      </c>
      <c r="R1319">
        <f>IF(Delivery_data[[#This Row],[On Time]]=1,0,1)</f>
        <v>1</v>
      </c>
    </row>
    <row r="1320" spans="1:18" x14ac:dyDescent="0.35">
      <c r="A1320">
        <v>2413</v>
      </c>
      <c r="B1320" t="s">
        <v>1420</v>
      </c>
      <c r="C1320" s="1">
        <v>45173.573611111111</v>
      </c>
      <c r="D1320" t="s">
        <v>16</v>
      </c>
      <c r="E1320" t="s">
        <v>165</v>
      </c>
      <c r="F1320" t="s">
        <v>1125</v>
      </c>
      <c r="G1320" t="s">
        <v>463</v>
      </c>
      <c r="H1320">
        <v>68</v>
      </c>
      <c r="I1320">
        <v>16</v>
      </c>
      <c r="J1320" t="s">
        <v>27</v>
      </c>
      <c r="K1320" t="s">
        <v>28</v>
      </c>
      <c r="L1320" t="s">
        <v>29</v>
      </c>
      <c r="M1320" t="s">
        <v>23</v>
      </c>
      <c r="N1320">
        <v>0</v>
      </c>
      <c r="O1320">
        <v>0</v>
      </c>
      <c r="P1320" s="8">
        <f>INT(Delivery_data[[#This Row],[Order Timestamp]])</f>
        <v>45173</v>
      </c>
      <c r="Q1320">
        <f ca="1">IF(Delivery_data[[#This Row],[Order Status]]="In Progress", TODAY()-Delivery_data[[#This Row],[Order Date]], "")</f>
        <v>810</v>
      </c>
      <c r="R1320">
        <f>IF(Delivery_data[[#This Row],[On Time]]=1,0,1)</f>
        <v>1</v>
      </c>
    </row>
    <row r="1321" spans="1:18" x14ac:dyDescent="0.35">
      <c r="A1321">
        <v>2417</v>
      </c>
      <c r="B1321" t="s">
        <v>1421</v>
      </c>
      <c r="C1321" s="1">
        <v>45174.470833333333</v>
      </c>
      <c r="D1321" t="s">
        <v>25</v>
      </c>
      <c r="E1321" t="s">
        <v>666</v>
      </c>
      <c r="F1321" t="s">
        <v>1125</v>
      </c>
      <c r="G1321" t="s">
        <v>463</v>
      </c>
      <c r="H1321">
        <v>230</v>
      </c>
      <c r="I1321">
        <v>9</v>
      </c>
      <c r="J1321" t="s">
        <v>35</v>
      </c>
      <c r="K1321" t="s">
        <v>33</v>
      </c>
      <c r="L1321" t="s">
        <v>29</v>
      </c>
      <c r="M1321" t="s">
        <v>23</v>
      </c>
      <c r="N1321">
        <v>0</v>
      </c>
      <c r="O1321">
        <v>1</v>
      </c>
      <c r="P1321" s="8">
        <f>INT(Delivery_data[[#This Row],[Order Timestamp]])</f>
        <v>45174</v>
      </c>
      <c r="Q1321" t="str">
        <f ca="1">IF(Delivery_data[[#This Row],[Order Status]]="In Progress", TODAY()-Delivery_data[[#This Row],[Order Date]], "")</f>
        <v/>
      </c>
      <c r="R1321">
        <f>IF(Delivery_data[[#This Row],[On Time]]=1,0,1)</f>
        <v>1</v>
      </c>
    </row>
    <row r="1322" spans="1:18" x14ac:dyDescent="0.35">
      <c r="A1322">
        <v>2420</v>
      </c>
      <c r="B1322" t="s">
        <v>1422</v>
      </c>
      <c r="C1322" s="1">
        <v>45176.442361111112</v>
      </c>
      <c r="D1322" t="s">
        <v>16</v>
      </c>
      <c r="E1322" t="s">
        <v>113</v>
      </c>
      <c r="F1322" t="s">
        <v>1125</v>
      </c>
      <c r="G1322" t="s">
        <v>463</v>
      </c>
      <c r="H1322">
        <v>65</v>
      </c>
      <c r="I1322">
        <v>7</v>
      </c>
      <c r="J1322" t="s">
        <v>27</v>
      </c>
      <c r="K1322" t="s">
        <v>33</v>
      </c>
      <c r="L1322" t="s">
        <v>29</v>
      </c>
      <c r="M1322" t="s">
        <v>23</v>
      </c>
      <c r="N1322">
        <v>0</v>
      </c>
      <c r="O1322">
        <v>0</v>
      </c>
      <c r="P1322" s="8">
        <f>INT(Delivery_data[[#This Row],[Order Timestamp]])</f>
        <v>45176</v>
      </c>
      <c r="Q1322">
        <f ca="1">IF(Delivery_data[[#This Row],[Order Status]]="In Progress", TODAY()-Delivery_data[[#This Row],[Order Date]], "")</f>
        <v>807</v>
      </c>
      <c r="R1322">
        <f>IF(Delivery_data[[#This Row],[On Time]]=1,0,1)</f>
        <v>1</v>
      </c>
    </row>
    <row r="1323" spans="1:18" x14ac:dyDescent="0.35">
      <c r="A1323">
        <v>2440</v>
      </c>
      <c r="B1323" t="s">
        <v>1423</v>
      </c>
      <c r="C1323" s="1">
        <v>45172.34097222222</v>
      </c>
      <c r="D1323" t="s">
        <v>16</v>
      </c>
      <c r="E1323" t="s">
        <v>78</v>
      </c>
      <c r="F1323" t="s">
        <v>1125</v>
      </c>
      <c r="G1323" t="s">
        <v>557</v>
      </c>
      <c r="H1323">
        <v>233</v>
      </c>
      <c r="I1323">
        <v>18</v>
      </c>
      <c r="J1323" t="s">
        <v>35</v>
      </c>
      <c r="K1323" t="s">
        <v>21</v>
      </c>
      <c r="L1323" t="s">
        <v>29</v>
      </c>
      <c r="M1323" t="s">
        <v>30</v>
      </c>
      <c r="N1323">
        <v>0</v>
      </c>
      <c r="O1323">
        <v>1</v>
      </c>
      <c r="P1323" s="8">
        <f>INT(Delivery_data[[#This Row],[Order Timestamp]])</f>
        <v>45172</v>
      </c>
      <c r="Q1323">
        <f ca="1">IF(Delivery_data[[#This Row],[Order Status]]="In Progress", TODAY()-Delivery_data[[#This Row],[Order Date]], "")</f>
        <v>811</v>
      </c>
      <c r="R1323">
        <f>IF(Delivery_data[[#This Row],[On Time]]=1,0,1)</f>
        <v>1</v>
      </c>
    </row>
    <row r="1324" spans="1:18" x14ac:dyDescent="0.35">
      <c r="A1324">
        <v>2445</v>
      </c>
      <c r="B1324" t="s">
        <v>1424</v>
      </c>
      <c r="C1324" s="1">
        <v>45175.625</v>
      </c>
      <c r="D1324" t="s">
        <v>16</v>
      </c>
      <c r="E1324" t="s">
        <v>172</v>
      </c>
      <c r="F1324" t="s">
        <v>1125</v>
      </c>
      <c r="G1324" t="s">
        <v>557</v>
      </c>
      <c r="H1324">
        <v>62</v>
      </c>
      <c r="I1324">
        <v>28</v>
      </c>
      <c r="J1324" t="s">
        <v>35</v>
      </c>
      <c r="K1324" t="s">
        <v>21</v>
      </c>
      <c r="L1324" t="s">
        <v>29</v>
      </c>
      <c r="M1324" t="s">
        <v>39</v>
      </c>
      <c r="N1324">
        <v>0</v>
      </c>
      <c r="O1324">
        <v>1</v>
      </c>
      <c r="P1324" s="8">
        <f>INT(Delivery_data[[#This Row],[Order Timestamp]])</f>
        <v>45175</v>
      </c>
      <c r="Q1324">
        <f ca="1">IF(Delivery_data[[#This Row],[Order Status]]="In Progress", TODAY()-Delivery_data[[#This Row],[Order Date]], "")</f>
        <v>808</v>
      </c>
      <c r="R1324">
        <f>IF(Delivery_data[[#This Row],[On Time]]=1,0,1)</f>
        <v>1</v>
      </c>
    </row>
    <row r="1325" spans="1:18" x14ac:dyDescent="0.35">
      <c r="A1325">
        <v>2465</v>
      </c>
      <c r="B1325" t="s">
        <v>1425</v>
      </c>
      <c r="C1325" s="1">
        <v>45170.69027777778</v>
      </c>
      <c r="D1325" t="s">
        <v>16</v>
      </c>
      <c r="E1325" t="s">
        <v>78</v>
      </c>
      <c r="F1325" t="s">
        <v>1125</v>
      </c>
      <c r="G1325" t="s">
        <v>463</v>
      </c>
      <c r="H1325">
        <v>152</v>
      </c>
      <c r="I1325">
        <v>23</v>
      </c>
      <c r="J1325" t="s">
        <v>20</v>
      </c>
      <c r="K1325" t="s">
        <v>33</v>
      </c>
      <c r="L1325" t="s">
        <v>29</v>
      </c>
      <c r="M1325" t="s">
        <v>39</v>
      </c>
      <c r="N1325">
        <v>0</v>
      </c>
      <c r="O1325">
        <v>0</v>
      </c>
      <c r="P1325" s="8">
        <f>INT(Delivery_data[[#This Row],[Order Timestamp]])</f>
        <v>45170</v>
      </c>
      <c r="Q1325">
        <f ca="1">IF(Delivery_data[[#This Row],[Order Status]]="In Progress", TODAY()-Delivery_data[[#This Row],[Order Date]], "")</f>
        <v>813</v>
      </c>
      <c r="R1325">
        <f>IF(Delivery_data[[#This Row],[On Time]]=1,0,1)</f>
        <v>1</v>
      </c>
    </row>
    <row r="1326" spans="1:18" x14ac:dyDescent="0.35">
      <c r="A1326">
        <v>2481</v>
      </c>
      <c r="B1326" t="s">
        <v>1426</v>
      </c>
      <c r="C1326" s="1">
        <v>45177.582638888889</v>
      </c>
      <c r="D1326" t="s">
        <v>16</v>
      </c>
      <c r="E1326" t="s">
        <v>26</v>
      </c>
      <c r="F1326" t="s">
        <v>1125</v>
      </c>
      <c r="G1326" t="s">
        <v>19</v>
      </c>
      <c r="H1326">
        <v>224</v>
      </c>
      <c r="I1326">
        <v>14</v>
      </c>
      <c r="J1326" t="s">
        <v>20</v>
      </c>
      <c r="K1326" t="s">
        <v>21</v>
      </c>
      <c r="L1326" t="s">
        <v>29</v>
      </c>
      <c r="M1326" t="s">
        <v>39</v>
      </c>
      <c r="N1326">
        <v>0</v>
      </c>
      <c r="O1326">
        <v>0</v>
      </c>
      <c r="P1326" s="8">
        <f>INT(Delivery_data[[#This Row],[Order Timestamp]])</f>
        <v>45177</v>
      </c>
      <c r="Q1326">
        <f ca="1">IF(Delivery_data[[#This Row],[Order Status]]="In Progress", TODAY()-Delivery_data[[#This Row],[Order Date]], "")</f>
        <v>806</v>
      </c>
      <c r="R1326">
        <f>IF(Delivery_data[[#This Row],[On Time]]=1,0,1)</f>
        <v>1</v>
      </c>
    </row>
    <row r="1327" spans="1:18" x14ac:dyDescent="0.35">
      <c r="A1327">
        <v>2485</v>
      </c>
      <c r="B1327" t="s">
        <v>1427</v>
      </c>
      <c r="C1327" s="1">
        <v>45176.698611111111</v>
      </c>
      <c r="D1327" t="s">
        <v>16</v>
      </c>
      <c r="E1327" t="s">
        <v>267</v>
      </c>
      <c r="F1327" t="s">
        <v>1125</v>
      </c>
      <c r="G1327" t="s">
        <v>19</v>
      </c>
      <c r="H1327">
        <v>222</v>
      </c>
      <c r="I1327">
        <v>4</v>
      </c>
      <c r="J1327" t="s">
        <v>20</v>
      </c>
      <c r="K1327" t="s">
        <v>21</v>
      </c>
      <c r="L1327" t="s">
        <v>29</v>
      </c>
      <c r="M1327" t="s">
        <v>39</v>
      </c>
      <c r="N1327">
        <v>0</v>
      </c>
      <c r="O1327">
        <v>0</v>
      </c>
      <c r="P1327" s="8">
        <f>INT(Delivery_data[[#This Row],[Order Timestamp]])</f>
        <v>45176</v>
      </c>
      <c r="Q1327">
        <f ca="1">IF(Delivery_data[[#This Row],[Order Status]]="In Progress", TODAY()-Delivery_data[[#This Row],[Order Date]], "")</f>
        <v>807</v>
      </c>
      <c r="R1327">
        <f>IF(Delivery_data[[#This Row],[On Time]]=1,0,1)</f>
        <v>1</v>
      </c>
    </row>
    <row r="1328" spans="1:18" x14ac:dyDescent="0.35">
      <c r="A1328">
        <v>2486</v>
      </c>
      <c r="B1328" t="s">
        <v>1428</v>
      </c>
      <c r="C1328" s="1">
        <v>45175.467361111114</v>
      </c>
      <c r="D1328" t="s">
        <v>16</v>
      </c>
      <c r="E1328" t="s">
        <v>200</v>
      </c>
      <c r="F1328" t="s">
        <v>1125</v>
      </c>
      <c r="G1328" t="s">
        <v>463</v>
      </c>
      <c r="H1328">
        <v>159</v>
      </c>
      <c r="I1328">
        <v>6</v>
      </c>
      <c r="J1328" t="s">
        <v>27</v>
      </c>
      <c r="K1328" t="s">
        <v>51</v>
      </c>
      <c r="L1328" t="s">
        <v>29</v>
      </c>
      <c r="M1328" t="s">
        <v>23</v>
      </c>
      <c r="N1328">
        <v>0</v>
      </c>
      <c r="O1328">
        <v>0</v>
      </c>
      <c r="P1328" s="8">
        <f>INT(Delivery_data[[#This Row],[Order Timestamp]])</f>
        <v>45175</v>
      </c>
      <c r="Q1328">
        <f ca="1">IF(Delivery_data[[#This Row],[Order Status]]="In Progress", TODAY()-Delivery_data[[#This Row],[Order Date]], "")</f>
        <v>808</v>
      </c>
      <c r="R1328">
        <f>IF(Delivery_data[[#This Row],[On Time]]=1,0,1)</f>
        <v>1</v>
      </c>
    </row>
    <row r="1329" spans="1:18" x14ac:dyDescent="0.35">
      <c r="A1329">
        <v>2500</v>
      </c>
      <c r="B1329" t="s">
        <v>1429</v>
      </c>
      <c r="C1329" s="1">
        <v>45172.646527777775</v>
      </c>
      <c r="D1329" t="s">
        <v>25</v>
      </c>
      <c r="E1329" t="s">
        <v>271</v>
      </c>
      <c r="F1329" t="s">
        <v>1125</v>
      </c>
      <c r="G1329" t="s">
        <v>362</v>
      </c>
      <c r="H1329">
        <v>134</v>
      </c>
      <c r="I1329">
        <v>23</v>
      </c>
      <c r="J1329" t="s">
        <v>27</v>
      </c>
      <c r="K1329" t="s">
        <v>21</v>
      </c>
      <c r="L1329" t="s">
        <v>29</v>
      </c>
      <c r="M1329" t="s">
        <v>39</v>
      </c>
      <c r="N1329">
        <v>0</v>
      </c>
      <c r="O1329">
        <v>0</v>
      </c>
      <c r="P1329" s="8">
        <f>INT(Delivery_data[[#This Row],[Order Timestamp]])</f>
        <v>45172</v>
      </c>
      <c r="Q1329" t="str">
        <f ca="1">IF(Delivery_data[[#This Row],[Order Status]]="In Progress", TODAY()-Delivery_data[[#This Row],[Order Date]], "")</f>
        <v/>
      </c>
      <c r="R1329">
        <f>IF(Delivery_data[[#This Row],[On Time]]=1,0,1)</f>
        <v>1</v>
      </c>
    </row>
    <row r="1330" spans="1:18" x14ac:dyDescent="0.35">
      <c r="A1330">
        <v>1002</v>
      </c>
      <c r="B1330" t="s">
        <v>1430</v>
      </c>
      <c r="C1330" s="1">
        <v>45170.657638888886</v>
      </c>
      <c r="D1330" t="s">
        <v>25</v>
      </c>
      <c r="E1330" t="s">
        <v>70</v>
      </c>
      <c r="F1330" t="s">
        <v>1125</v>
      </c>
      <c r="G1330" t="s">
        <v>463</v>
      </c>
      <c r="H1330">
        <v>163</v>
      </c>
      <c r="I1330">
        <v>19</v>
      </c>
      <c r="J1330" t="s">
        <v>35</v>
      </c>
      <c r="K1330" t="s">
        <v>33</v>
      </c>
      <c r="L1330" t="s">
        <v>22</v>
      </c>
      <c r="M1330" t="s">
        <v>23</v>
      </c>
      <c r="N1330">
        <v>0</v>
      </c>
      <c r="O1330">
        <v>1</v>
      </c>
      <c r="P1330" s="8">
        <f>INT(Delivery_data[[#This Row],[Order Timestamp]])</f>
        <v>45170</v>
      </c>
      <c r="Q1330" t="str">
        <f ca="1">IF(Delivery_data[[#This Row],[Order Status]]="In Progress", TODAY()-Delivery_data[[#This Row],[Order Date]], "")</f>
        <v/>
      </c>
      <c r="R1330">
        <f>IF(Delivery_data[[#This Row],[On Time]]=1,0,1)</f>
        <v>1</v>
      </c>
    </row>
    <row r="1331" spans="1:18" x14ac:dyDescent="0.35">
      <c r="A1331">
        <v>1004</v>
      </c>
      <c r="B1331" t="s">
        <v>1431</v>
      </c>
      <c r="C1331" s="1">
        <v>45172.611805555556</v>
      </c>
      <c r="D1331" t="s">
        <v>25</v>
      </c>
      <c r="E1331" t="s">
        <v>58</v>
      </c>
      <c r="F1331" t="s">
        <v>1125</v>
      </c>
      <c r="G1331" t="s">
        <v>463</v>
      </c>
      <c r="H1331">
        <v>143</v>
      </c>
      <c r="I1331">
        <v>17</v>
      </c>
      <c r="J1331" t="s">
        <v>20</v>
      </c>
      <c r="K1331" t="s">
        <v>51</v>
      </c>
      <c r="L1331" t="s">
        <v>22</v>
      </c>
      <c r="M1331" t="s">
        <v>23</v>
      </c>
      <c r="N1331">
        <v>0</v>
      </c>
      <c r="O1331">
        <v>0</v>
      </c>
      <c r="P1331" s="8">
        <f>INT(Delivery_data[[#This Row],[Order Timestamp]])</f>
        <v>45172</v>
      </c>
      <c r="Q1331" t="str">
        <f ca="1">IF(Delivery_data[[#This Row],[Order Status]]="In Progress", TODAY()-Delivery_data[[#This Row],[Order Date]], "")</f>
        <v/>
      </c>
      <c r="R1331">
        <f>IF(Delivery_data[[#This Row],[On Time]]=1,0,1)</f>
        <v>1</v>
      </c>
    </row>
    <row r="1332" spans="1:18" x14ac:dyDescent="0.35">
      <c r="A1332">
        <v>1023</v>
      </c>
      <c r="B1332" t="s">
        <v>1432</v>
      </c>
      <c r="C1332" s="1">
        <v>45175.44027777778</v>
      </c>
      <c r="D1332" t="s">
        <v>25</v>
      </c>
      <c r="E1332" t="s">
        <v>230</v>
      </c>
      <c r="F1332" t="s">
        <v>1125</v>
      </c>
      <c r="G1332" t="s">
        <v>362</v>
      </c>
      <c r="H1332">
        <v>151</v>
      </c>
      <c r="I1332">
        <v>6</v>
      </c>
      <c r="J1332" t="s">
        <v>20</v>
      </c>
      <c r="K1332" t="s">
        <v>21</v>
      </c>
      <c r="L1332" t="s">
        <v>22</v>
      </c>
      <c r="M1332" t="s">
        <v>39</v>
      </c>
      <c r="N1332">
        <v>0</v>
      </c>
      <c r="O1332">
        <v>0</v>
      </c>
      <c r="P1332" s="8">
        <f>INT(Delivery_data[[#This Row],[Order Timestamp]])</f>
        <v>45175</v>
      </c>
      <c r="Q1332" t="str">
        <f ca="1">IF(Delivery_data[[#This Row],[Order Status]]="In Progress", TODAY()-Delivery_data[[#This Row],[Order Date]], "")</f>
        <v/>
      </c>
      <c r="R1332">
        <f>IF(Delivery_data[[#This Row],[On Time]]=1,0,1)</f>
        <v>1</v>
      </c>
    </row>
    <row r="1333" spans="1:18" x14ac:dyDescent="0.35">
      <c r="A1333">
        <v>1051</v>
      </c>
      <c r="B1333" t="s">
        <v>1433</v>
      </c>
      <c r="C1333" s="1">
        <v>45175.662499999999</v>
      </c>
      <c r="D1333" t="s">
        <v>25</v>
      </c>
      <c r="E1333" t="s">
        <v>254</v>
      </c>
      <c r="F1333" t="s">
        <v>1125</v>
      </c>
      <c r="G1333" t="s">
        <v>233</v>
      </c>
      <c r="H1333">
        <v>104</v>
      </c>
      <c r="I1333">
        <v>19</v>
      </c>
      <c r="J1333" t="s">
        <v>27</v>
      </c>
      <c r="K1333" t="s">
        <v>21</v>
      </c>
      <c r="L1333" t="s">
        <v>22</v>
      </c>
      <c r="M1333" t="s">
        <v>23</v>
      </c>
      <c r="N1333">
        <v>0</v>
      </c>
      <c r="O1333">
        <v>0</v>
      </c>
      <c r="P1333" s="8">
        <f>INT(Delivery_data[[#This Row],[Order Timestamp]])</f>
        <v>45175</v>
      </c>
      <c r="Q1333" t="str">
        <f ca="1">IF(Delivery_data[[#This Row],[Order Status]]="In Progress", TODAY()-Delivery_data[[#This Row],[Order Date]], "")</f>
        <v/>
      </c>
      <c r="R1333">
        <f>IF(Delivery_data[[#This Row],[On Time]]=1,0,1)</f>
        <v>1</v>
      </c>
    </row>
    <row r="1334" spans="1:18" x14ac:dyDescent="0.35">
      <c r="A1334">
        <v>1077</v>
      </c>
      <c r="B1334" t="s">
        <v>1434</v>
      </c>
      <c r="C1334" s="1">
        <v>45174.339583333334</v>
      </c>
      <c r="D1334" t="s">
        <v>16</v>
      </c>
      <c r="E1334" t="s">
        <v>206</v>
      </c>
      <c r="F1334" t="s">
        <v>1125</v>
      </c>
      <c r="G1334" t="s">
        <v>233</v>
      </c>
      <c r="H1334">
        <v>187</v>
      </c>
      <c r="I1334">
        <v>21</v>
      </c>
      <c r="J1334" t="s">
        <v>27</v>
      </c>
      <c r="K1334" t="s">
        <v>38</v>
      </c>
      <c r="L1334" t="s">
        <v>22</v>
      </c>
      <c r="M1334" t="s">
        <v>30</v>
      </c>
      <c r="N1334">
        <v>0</v>
      </c>
      <c r="O1334">
        <v>0</v>
      </c>
      <c r="P1334" s="8">
        <f>INT(Delivery_data[[#This Row],[Order Timestamp]])</f>
        <v>45174</v>
      </c>
      <c r="Q1334">
        <f ca="1">IF(Delivery_data[[#This Row],[Order Status]]="In Progress", TODAY()-Delivery_data[[#This Row],[Order Date]], "")</f>
        <v>809</v>
      </c>
      <c r="R1334">
        <f>IF(Delivery_data[[#This Row],[On Time]]=1,0,1)</f>
        <v>1</v>
      </c>
    </row>
    <row r="1335" spans="1:18" x14ac:dyDescent="0.35">
      <c r="A1335">
        <v>1092</v>
      </c>
      <c r="B1335" t="s">
        <v>1435</v>
      </c>
      <c r="C1335" s="1">
        <v>45170.449305555558</v>
      </c>
      <c r="D1335" t="s">
        <v>25</v>
      </c>
      <c r="E1335" t="s">
        <v>96</v>
      </c>
      <c r="F1335" t="s">
        <v>1125</v>
      </c>
      <c r="G1335" t="s">
        <v>233</v>
      </c>
      <c r="H1335">
        <v>198</v>
      </c>
      <c r="I1335">
        <v>23</v>
      </c>
      <c r="J1335" t="s">
        <v>35</v>
      </c>
      <c r="K1335" t="s">
        <v>38</v>
      </c>
      <c r="L1335" t="s">
        <v>22</v>
      </c>
      <c r="M1335" t="s">
        <v>39</v>
      </c>
      <c r="N1335">
        <v>0</v>
      </c>
      <c r="O1335">
        <v>1</v>
      </c>
      <c r="P1335" s="8">
        <f>INT(Delivery_data[[#This Row],[Order Timestamp]])</f>
        <v>45170</v>
      </c>
      <c r="Q1335" t="str">
        <f ca="1">IF(Delivery_data[[#This Row],[Order Status]]="In Progress", TODAY()-Delivery_data[[#This Row],[Order Date]], "")</f>
        <v/>
      </c>
      <c r="R1335">
        <f>IF(Delivery_data[[#This Row],[On Time]]=1,0,1)</f>
        <v>1</v>
      </c>
    </row>
    <row r="1336" spans="1:18" x14ac:dyDescent="0.35">
      <c r="A1336">
        <v>1100</v>
      </c>
      <c r="B1336" t="s">
        <v>1436</v>
      </c>
      <c r="C1336" s="1">
        <v>45176.377083333333</v>
      </c>
      <c r="D1336" t="s">
        <v>25</v>
      </c>
      <c r="E1336" t="s">
        <v>100</v>
      </c>
      <c r="F1336" t="s">
        <v>1125</v>
      </c>
      <c r="G1336" t="s">
        <v>463</v>
      </c>
      <c r="H1336">
        <v>202</v>
      </c>
      <c r="I1336">
        <v>20</v>
      </c>
      <c r="J1336" t="s">
        <v>20</v>
      </c>
      <c r="K1336" t="s">
        <v>33</v>
      </c>
      <c r="L1336" t="s">
        <v>22</v>
      </c>
      <c r="M1336" t="s">
        <v>23</v>
      </c>
      <c r="N1336">
        <v>0</v>
      </c>
      <c r="O1336">
        <v>0</v>
      </c>
      <c r="P1336" s="8">
        <f>INT(Delivery_data[[#This Row],[Order Timestamp]])</f>
        <v>45176</v>
      </c>
      <c r="Q1336" t="str">
        <f ca="1">IF(Delivery_data[[#This Row],[Order Status]]="In Progress", TODAY()-Delivery_data[[#This Row],[Order Date]], "")</f>
        <v/>
      </c>
      <c r="R1336">
        <f>IF(Delivery_data[[#This Row],[On Time]]=1,0,1)</f>
        <v>1</v>
      </c>
    </row>
    <row r="1337" spans="1:18" x14ac:dyDescent="0.35">
      <c r="A1337">
        <v>1105</v>
      </c>
      <c r="B1337" t="s">
        <v>1437</v>
      </c>
      <c r="C1337" s="1">
        <v>45172.542361111111</v>
      </c>
      <c r="D1337" t="s">
        <v>16</v>
      </c>
      <c r="E1337" t="s">
        <v>134</v>
      </c>
      <c r="F1337" t="s">
        <v>1125</v>
      </c>
      <c r="G1337" t="s">
        <v>233</v>
      </c>
      <c r="H1337">
        <v>239</v>
      </c>
      <c r="I1337">
        <v>22</v>
      </c>
      <c r="J1337" t="s">
        <v>35</v>
      </c>
      <c r="K1337" t="s">
        <v>38</v>
      </c>
      <c r="L1337" t="s">
        <v>22</v>
      </c>
      <c r="M1337" t="s">
        <v>39</v>
      </c>
      <c r="N1337">
        <v>0</v>
      </c>
      <c r="O1337">
        <v>1</v>
      </c>
      <c r="P1337" s="8">
        <f>INT(Delivery_data[[#This Row],[Order Timestamp]])</f>
        <v>45172</v>
      </c>
      <c r="Q1337">
        <f ca="1">IF(Delivery_data[[#This Row],[Order Status]]="In Progress", TODAY()-Delivery_data[[#This Row],[Order Date]], "")</f>
        <v>811</v>
      </c>
      <c r="R1337">
        <f>IF(Delivery_data[[#This Row],[On Time]]=1,0,1)</f>
        <v>1</v>
      </c>
    </row>
    <row r="1338" spans="1:18" x14ac:dyDescent="0.35">
      <c r="A1338">
        <v>1119</v>
      </c>
      <c r="B1338" t="s">
        <v>1438</v>
      </c>
      <c r="C1338" s="1">
        <v>45177.419444444444</v>
      </c>
      <c r="D1338" t="s">
        <v>25</v>
      </c>
      <c r="E1338" t="s">
        <v>284</v>
      </c>
      <c r="F1338" t="s">
        <v>1125</v>
      </c>
      <c r="G1338" t="s">
        <v>362</v>
      </c>
      <c r="H1338">
        <v>149</v>
      </c>
      <c r="I1338">
        <v>17</v>
      </c>
      <c r="J1338" t="s">
        <v>27</v>
      </c>
      <c r="K1338" t="s">
        <v>51</v>
      </c>
      <c r="L1338" t="s">
        <v>22</v>
      </c>
      <c r="M1338" t="s">
        <v>30</v>
      </c>
      <c r="N1338">
        <v>0</v>
      </c>
      <c r="O1338">
        <v>0</v>
      </c>
      <c r="P1338" s="8">
        <f>INT(Delivery_data[[#This Row],[Order Timestamp]])</f>
        <v>45177</v>
      </c>
      <c r="Q1338" t="str">
        <f ca="1">IF(Delivery_data[[#This Row],[Order Status]]="In Progress", TODAY()-Delivery_data[[#This Row],[Order Date]], "")</f>
        <v/>
      </c>
      <c r="R1338">
        <f>IF(Delivery_data[[#This Row],[On Time]]=1,0,1)</f>
        <v>1</v>
      </c>
    </row>
    <row r="1339" spans="1:18" x14ac:dyDescent="0.35">
      <c r="A1339">
        <v>1122</v>
      </c>
      <c r="B1339" t="s">
        <v>628</v>
      </c>
      <c r="C1339" s="1">
        <v>45172.347222222219</v>
      </c>
      <c r="D1339" t="s">
        <v>25</v>
      </c>
      <c r="E1339" t="s">
        <v>113</v>
      </c>
      <c r="F1339" t="s">
        <v>1125</v>
      </c>
      <c r="G1339" t="s">
        <v>362</v>
      </c>
      <c r="H1339">
        <v>81</v>
      </c>
      <c r="I1339">
        <v>15</v>
      </c>
      <c r="J1339" t="s">
        <v>27</v>
      </c>
      <c r="K1339" t="s">
        <v>33</v>
      </c>
      <c r="L1339" t="s">
        <v>22</v>
      </c>
      <c r="M1339" t="s">
        <v>30</v>
      </c>
      <c r="N1339">
        <v>0</v>
      </c>
      <c r="O1339">
        <v>0</v>
      </c>
      <c r="P1339" s="8">
        <f>INT(Delivery_data[[#This Row],[Order Timestamp]])</f>
        <v>45172</v>
      </c>
      <c r="Q1339" t="str">
        <f ca="1">IF(Delivery_data[[#This Row],[Order Status]]="In Progress", TODAY()-Delivery_data[[#This Row],[Order Date]], "")</f>
        <v/>
      </c>
      <c r="R1339">
        <f>IF(Delivery_data[[#This Row],[On Time]]=1,0,1)</f>
        <v>1</v>
      </c>
    </row>
    <row r="1340" spans="1:18" x14ac:dyDescent="0.35">
      <c r="A1340">
        <v>1131</v>
      </c>
      <c r="B1340" t="s">
        <v>1439</v>
      </c>
      <c r="C1340" s="1">
        <v>45174.565972222219</v>
      </c>
      <c r="D1340" t="s">
        <v>25</v>
      </c>
      <c r="E1340" t="s">
        <v>248</v>
      </c>
      <c r="F1340" t="s">
        <v>1125</v>
      </c>
      <c r="G1340" t="s">
        <v>362</v>
      </c>
      <c r="H1340">
        <v>73</v>
      </c>
      <c r="I1340">
        <v>25</v>
      </c>
      <c r="J1340" t="s">
        <v>35</v>
      </c>
      <c r="K1340" t="s">
        <v>28</v>
      </c>
      <c r="L1340" t="s">
        <v>22</v>
      </c>
      <c r="M1340" t="s">
        <v>23</v>
      </c>
      <c r="N1340">
        <v>0</v>
      </c>
      <c r="O1340">
        <v>1</v>
      </c>
      <c r="P1340" s="8">
        <f>INT(Delivery_data[[#This Row],[Order Timestamp]])</f>
        <v>45174</v>
      </c>
      <c r="Q1340" t="str">
        <f ca="1">IF(Delivery_data[[#This Row],[Order Status]]="In Progress", TODAY()-Delivery_data[[#This Row],[Order Date]], "")</f>
        <v/>
      </c>
      <c r="R1340">
        <f>IF(Delivery_data[[#This Row],[On Time]]=1,0,1)</f>
        <v>1</v>
      </c>
    </row>
    <row r="1341" spans="1:18" x14ac:dyDescent="0.35">
      <c r="A1341">
        <v>1162</v>
      </c>
      <c r="B1341" t="s">
        <v>1440</v>
      </c>
      <c r="C1341" s="1">
        <v>45172.578472222223</v>
      </c>
      <c r="D1341" t="s">
        <v>25</v>
      </c>
      <c r="E1341" t="s">
        <v>108</v>
      </c>
      <c r="F1341" t="s">
        <v>1125</v>
      </c>
      <c r="G1341" t="s">
        <v>19</v>
      </c>
      <c r="H1341">
        <v>118</v>
      </c>
      <c r="I1341">
        <v>19</v>
      </c>
      <c r="J1341" t="s">
        <v>35</v>
      </c>
      <c r="K1341" t="s">
        <v>38</v>
      </c>
      <c r="L1341" t="s">
        <v>22</v>
      </c>
      <c r="M1341" t="s">
        <v>23</v>
      </c>
      <c r="N1341">
        <v>0</v>
      </c>
      <c r="O1341">
        <v>1</v>
      </c>
      <c r="P1341" s="8">
        <f>INT(Delivery_data[[#This Row],[Order Timestamp]])</f>
        <v>45172</v>
      </c>
      <c r="Q1341" t="str">
        <f ca="1">IF(Delivery_data[[#This Row],[Order Status]]="In Progress", TODAY()-Delivery_data[[#This Row],[Order Date]], "")</f>
        <v/>
      </c>
      <c r="R1341">
        <f>IF(Delivery_data[[#This Row],[On Time]]=1,0,1)</f>
        <v>1</v>
      </c>
    </row>
    <row r="1342" spans="1:18" x14ac:dyDescent="0.35">
      <c r="A1342">
        <v>1164</v>
      </c>
      <c r="B1342" t="s">
        <v>1441</v>
      </c>
      <c r="C1342" s="1">
        <v>45172.367361111108</v>
      </c>
      <c r="D1342" t="s">
        <v>25</v>
      </c>
      <c r="E1342" t="s">
        <v>158</v>
      </c>
      <c r="F1342" t="s">
        <v>1125</v>
      </c>
      <c r="G1342" t="s">
        <v>463</v>
      </c>
      <c r="H1342">
        <v>236</v>
      </c>
      <c r="I1342">
        <v>20</v>
      </c>
      <c r="J1342" t="s">
        <v>27</v>
      </c>
      <c r="K1342" t="s">
        <v>21</v>
      </c>
      <c r="L1342" t="s">
        <v>22</v>
      </c>
      <c r="M1342" t="s">
        <v>30</v>
      </c>
      <c r="N1342">
        <v>0</v>
      </c>
      <c r="O1342">
        <v>0</v>
      </c>
      <c r="P1342" s="8">
        <f>INT(Delivery_data[[#This Row],[Order Timestamp]])</f>
        <v>45172</v>
      </c>
      <c r="Q1342" t="str">
        <f ca="1">IF(Delivery_data[[#This Row],[Order Status]]="In Progress", TODAY()-Delivery_data[[#This Row],[Order Date]], "")</f>
        <v/>
      </c>
      <c r="R1342">
        <f>IF(Delivery_data[[#This Row],[On Time]]=1,0,1)</f>
        <v>1</v>
      </c>
    </row>
    <row r="1343" spans="1:18" x14ac:dyDescent="0.35">
      <c r="A1343">
        <v>1166</v>
      </c>
      <c r="B1343" t="s">
        <v>1442</v>
      </c>
      <c r="C1343" s="1">
        <v>45174.336805555555</v>
      </c>
      <c r="D1343" t="s">
        <v>25</v>
      </c>
      <c r="E1343" t="s">
        <v>447</v>
      </c>
      <c r="F1343" t="s">
        <v>1125</v>
      </c>
      <c r="G1343" t="s">
        <v>557</v>
      </c>
      <c r="H1343">
        <v>155</v>
      </c>
      <c r="I1343">
        <v>13</v>
      </c>
      <c r="J1343" t="s">
        <v>27</v>
      </c>
      <c r="K1343" t="s">
        <v>51</v>
      </c>
      <c r="L1343" t="s">
        <v>22</v>
      </c>
      <c r="M1343" t="s">
        <v>23</v>
      </c>
      <c r="N1343">
        <v>0</v>
      </c>
      <c r="O1343">
        <v>0</v>
      </c>
      <c r="P1343" s="8">
        <f>INT(Delivery_data[[#This Row],[Order Timestamp]])</f>
        <v>45174</v>
      </c>
      <c r="Q1343" t="str">
        <f ca="1">IF(Delivery_data[[#This Row],[Order Status]]="In Progress", TODAY()-Delivery_data[[#This Row],[Order Date]], "")</f>
        <v/>
      </c>
      <c r="R1343">
        <f>IF(Delivery_data[[#This Row],[On Time]]=1,0,1)</f>
        <v>1</v>
      </c>
    </row>
    <row r="1344" spans="1:18" x14ac:dyDescent="0.35">
      <c r="A1344">
        <v>1176</v>
      </c>
      <c r="B1344" t="s">
        <v>1443</v>
      </c>
      <c r="C1344" s="1">
        <v>45177.413194444445</v>
      </c>
      <c r="D1344" t="s">
        <v>25</v>
      </c>
      <c r="E1344" t="s">
        <v>37</v>
      </c>
      <c r="F1344" t="s">
        <v>1125</v>
      </c>
      <c r="G1344" t="s">
        <v>233</v>
      </c>
      <c r="H1344">
        <v>172</v>
      </c>
      <c r="I1344">
        <v>12</v>
      </c>
      <c r="J1344" t="s">
        <v>27</v>
      </c>
      <c r="K1344" t="s">
        <v>21</v>
      </c>
      <c r="L1344" t="s">
        <v>22</v>
      </c>
      <c r="M1344" t="s">
        <v>30</v>
      </c>
      <c r="N1344">
        <v>0</v>
      </c>
      <c r="O1344">
        <v>0</v>
      </c>
      <c r="P1344" s="8">
        <f>INT(Delivery_data[[#This Row],[Order Timestamp]])</f>
        <v>45177</v>
      </c>
      <c r="Q1344" t="str">
        <f ca="1">IF(Delivery_data[[#This Row],[Order Status]]="In Progress", TODAY()-Delivery_data[[#This Row],[Order Date]], "")</f>
        <v/>
      </c>
      <c r="R1344">
        <f>IF(Delivery_data[[#This Row],[On Time]]=1,0,1)</f>
        <v>1</v>
      </c>
    </row>
    <row r="1345" spans="1:18" x14ac:dyDescent="0.35">
      <c r="A1345">
        <v>1210</v>
      </c>
      <c r="B1345" t="s">
        <v>1444</v>
      </c>
      <c r="C1345" s="1">
        <v>45177.339583333334</v>
      </c>
      <c r="D1345" t="s">
        <v>16</v>
      </c>
      <c r="E1345" t="s">
        <v>94</v>
      </c>
      <c r="F1345" t="s">
        <v>1125</v>
      </c>
      <c r="G1345" t="s">
        <v>19</v>
      </c>
      <c r="H1345">
        <v>212</v>
      </c>
      <c r="I1345">
        <v>23</v>
      </c>
      <c r="J1345" t="s">
        <v>35</v>
      </c>
      <c r="K1345" t="s">
        <v>51</v>
      </c>
      <c r="L1345" t="s">
        <v>22</v>
      </c>
      <c r="M1345" t="s">
        <v>23</v>
      </c>
      <c r="N1345">
        <v>0</v>
      </c>
      <c r="O1345">
        <v>1</v>
      </c>
      <c r="P1345" s="8">
        <f>INT(Delivery_data[[#This Row],[Order Timestamp]])</f>
        <v>45177</v>
      </c>
      <c r="Q1345">
        <f ca="1">IF(Delivery_data[[#This Row],[Order Status]]="In Progress", TODAY()-Delivery_data[[#This Row],[Order Date]], "")</f>
        <v>806</v>
      </c>
      <c r="R1345">
        <f>IF(Delivery_data[[#This Row],[On Time]]=1,0,1)</f>
        <v>1</v>
      </c>
    </row>
    <row r="1346" spans="1:18" x14ac:dyDescent="0.35">
      <c r="A1346">
        <v>1217</v>
      </c>
      <c r="B1346" t="s">
        <v>1445</v>
      </c>
      <c r="C1346" s="1">
        <v>45172.593055555553</v>
      </c>
      <c r="D1346" t="s">
        <v>16</v>
      </c>
      <c r="E1346" t="s">
        <v>254</v>
      </c>
      <c r="F1346" t="s">
        <v>1125</v>
      </c>
      <c r="G1346" t="s">
        <v>463</v>
      </c>
      <c r="H1346">
        <v>221</v>
      </c>
      <c r="I1346">
        <v>7</v>
      </c>
      <c r="J1346" t="s">
        <v>20</v>
      </c>
      <c r="K1346" t="s">
        <v>33</v>
      </c>
      <c r="L1346" t="s">
        <v>22</v>
      </c>
      <c r="M1346" t="s">
        <v>30</v>
      </c>
      <c r="N1346">
        <v>0</v>
      </c>
      <c r="O1346">
        <v>0</v>
      </c>
      <c r="P1346" s="8">
        <f>INT(Delivery_data[[#This Row],[Order Timestamp]])</f>
        <v>45172</v>
      </c>
      <c r="Q1346">
        <f ca="1">IF(Delivery_data[[#This Row],[Order Status]]="In Progress", TODAY()-Delivery_data[[#This Row],[Order Date]], "")</f>
        <v>811</v>
      </c>
      <c r="R1346">
        <f>IF(Delivery_data[[#This Row],[On Time]]=1,0,1)</f>
        <v>1</v>
      </c>
    </row>
    <row r="1347" spans="1:18" x14ac:dyDescent="0.35">
      <c r="A1347">
        <v>1229</v>
      </c>
      <c r="B1347" t="s">
        <v>1311</v>
      </c>
      <c r="C1347" s="1">
        <v>45172.620138888888</v>
      </c>
      <c r="D1347" t="s">
        <v>16</v>
      </c>
      <c r="E1347" t="s">
        <v>447</v>
      </c>
      <c r="F1347" t="s">
        <v>1125</v>
      </c>
      <c r="G1347" t="s">
        <v>463</v>
      </c>
      <c r="H1347">
        <v>75</v>
      </c>
      <c r="I1347">
        <v>1</v>
      </c>
      <c r="J1347" t="s">
        <v>27</v>
      </c>
      <c r="K1347" t="s">
        <v>21</v>
      </c>
      <c r="L1347" t="s">
        <v>22</v>
      </c>
      <c r="M1347" t="s">
        <v>39</v>
      </c>
      <c r="N1347">
        <v>0</v>
      </c>
      <c r="O1347">
        <v>0</v>
      </c>
      <c r="P1347" s="8">
        <f>INT(Delivery_data[[#This Row],[Order Timestamp]])</f>
        <v>45172</v>
      </c>
      <c r="Q1347">
        <f ca="1">IF(Delivery_data[[#This Row],[Order Status]]="In Progress", TODAY()-Delivery_data[[#This Row],[Order Date]], "")</f>
        <v>811</v>
      </c>
      <c r="R1347">
        <f>IF(Delivery_data[[#This Row],[On Time]]=1,0,1)</f>
        <v>1</v>
      </c>
    </row>
    <row r="1348" spans="1:18" x14ac:dyDescent="0.35">
      <c r="A1348">
        <v>1233</v>
      </c>
      <c r="B1348" t="s">
        <v>1446</v>
      </c>
      <c r="C1348" s="1">
        <v>45170.376388888886</v>
      </c>
      <c r="D1348" t="s">
        <v>16</v>
      </c>
      <c r="E1348" t="s">
        <v>314</v>
      </c>
      <c r="F1348" t="s">
        <v>1125</v>
      </c>
      <c r="G1348" t="s">
        <v>463</v>
      </c>
      <c r="H1348">
        <v>63</v>
      </c>
      <c r="I1348">
        <v>8</v>
      </c>
      <c r="J1348" t="s">
        <v>35</v>
      </c>
      <c r="K1348" t="s">
        <v>38</v>
      </c>
      <c r="L1348" t="s">
        <v>22</v>
      </c>
      <c r="M1348" t="s">
        <v>23</v>
      </c>
      <c r="N1348">
        <v>0</v>
      </c>
      <c r="O1348">
        <v>1</v>
      </c>
      <c r="P1348" s="8">
        <f>INT(Delivery_data[[#This Row],[Order Timestamp]])</f>
        <v>45170</v>
      </c>
      <c r="Q1348">
        <f ca="1">IF(Delivery_data[[#This Row],[Order Status]]="In Progress", TODAY()-Delivery_data[[#This Row],[Order Date]], "")</f>
        <v>813</v>
      </c>
      <c r="R1348">
        <f>IF(Delivery_data[[#This Row],[On Time]]=1,0,1)</f>
        <v>1</v>
      </c>
    </row>
    <row r="1349" spans="1:18" x14ac:dyDescent="0.35">
      <c r="A1349">
        <v>1238</v>
      </c>
      <c r="B1349" t="s">
        <v>1447</v>
      </c>
      <c r="C1349" s="1">
        <v>45171.533333333333</v>
      </c>
      <c r="D1349" t="s">
        <v>16</v>
      </c>
      <c r="E1349" t="s">
        <v>58</v>
      </c>
      <c r="F1349" t="s">
        <v>1125</v>
      </c>
      <c r="G1349" t="s">
        <v>463</v>
      </c>
      <c r="H1349">
        <v>111</v>
      </c>
      <c r="I1349">
        <v>19</v>
      </c>
      <c r="J1349" t="s">
        <v>20</v>
      </c>
      <c r="K1349" t="s">
        <v>28</v>
      </c>
      <c r="L1349" t="s">
        <v>22</v>
      </c>
      <c r="M1349" t="s">
        <v>39</v>
      </c>
      <c r="N1349">
        <v>0</v>
      </c>
      <c r="O1349">
        <v>0</v>
      </c>
      <c r="P1349" s="8">
        <f>INT(Delivery_data[[#This Row],[Order Timestamp]])</f>
        <v>45171</v>
      </c>
      <c r="Q1349">
        <f ca="1">IF(Delivery_data[[#This Row],[Order Status]]="In Progress", TODAY()-Delivery_data[[#This Row],[Order Date]], "")</f>
        <v>812</v>
      </c>
      <c r="R1349">
        <f>IF(Delivery_data[[#This Row],[On Time]]=1,0,1)</f>
        <v>1</v>
      </c>
    </row>
    <row r="1350" spans="1:18" x14ac:dyDescent="0.35">
      <c r="A1350">
        <v>1252</v>
      </c>
      <c r="B1350" t="s">
        <v>1448</v>
      </c>
      <c r="C1350" s="1">
        <v>45171.59097222222</v>
      </c>
      <c r="D1350" t="s">
        <v>25</v>
      </c>
      <c r="E1350" t="s">
        <v>287</v>
      </c>
      <c r="F1350" t="s">
        <v>1125</v>
      </c>
      <c r="G1350" t="s">
        <v>233</v>
      </c>
      <c r="H1350">
        <v>141</v>
      </c>
      <c r="I1350">
        <v>18</v>
      </c>
      <c r="J1350" t="s">
        <v>20</v>
      </c>
      <c r="K1350" t="s">
        <v>38</v>
      </c>
      <c r="L1350" t="s">
        <v>22</v>
      </c>
      <c r="M1350" t="s">
        <v>30</v>
      </c>
      <c r="N1350">
        <v>0</v>
      </c>
      <c r="O1350">
        <v>0</v>
      </c>
      <c r="P1350" s="8">
        <f>INT(Delivery_data[[#This Row],[Order Timestamp]])</f>
        <v>45171</v>
      </c>
      <c r="Q1350" t="str">
        <f ca="1">IF(Delivery_data[[#This Row],[Order Status]]="In Progress", TODAY()-Delivery_data[[#This Row],[Order Date]], "")</f>
        <v/>
      </c>
      <c r="R1350">
        <f>IF(Delivery_data[[#This Row],[On Time]]=1,0,1)</f>
        <v>1</v>
      </c>
    </row>
    <row r="1351" spans="1:18" x14ac:dyDescent="0.35">
      <c r="A1351">
        <v>1254</v>
      </c>
      <c r="B1351" t="s">
        <v>1449</v>
      </c>
      <c r="C1351" s="1">
        <v>45175.59097222222</v>
      </c>
      <c r="D1351" t="s">
        <v>25</v>
      </c>
      <c r="E1351" t="s">
        <v>653</v>
      </c>
      <c r="F1351" t="s">
        <v>1125</v>
      </c>
      <c r="G1351" t="s">
        <v>19</v>
      </c>
      <c r="H1351">
        <v>64</v>
      </c>
      <c r="I1351">
        <v>9</v>
      </c>
      <c r="J1351" t="s">
        <v>27</v>
      </c>
      <c r="K1351" t="s">
        <v>33</v>
      </c>
      <c r="L1351" t="s">
        <v>22</v>
      </c>
      <c r="M1351" t="s">
        <v>30</v>
      </c>
      <c r="N1351">
        <v>0</v>
      </c>
      <c r="O1351">
        <v>0</v>
      </c>
      <c r="P1351" s="8">
        <f>INT(Delivery_data[[#This Row],[Order Timestamp]])</f>
        <v>45175</v>
      </c>
      <c r="Q1351" t="str">
        <f ca="1">IF(Delivery_data[[#This Row],[Order Status]]="In Progress", TODAY()-Delivery_data[[#This Row],[Order Date]], "")</f>
        <v/>
      </c>
      <c r="R1351">
        <f>IF(Delivery_data[[#This Row],[On Time]]=1,0,1)</f>
        <v>1</v>
      </c>
    </row>
    <row r="1352" spans="1:18" x14ac:dyDescent="0.35">
      <c r="A1352">
        <v>1256</v>
      </c>
      <c r="B1352" t="s">
        <v>1450</v>
      </c>
      <c r="C1352" s="1">
        <v>45176.643750000003</v>
      </c>
      <c r="D1352" t="s">
        <v>16</v>
      </c>
      <c r="E1352" t="s">
        <v>416</v>
      </c>
      <c r="F1352" t="s">
        <v>1125</v>
      </c>
      <c r="G1352" t="s">
        <v>557</v>
      </c>
      <c r="H1352">
        <v>67</v>
      </c>
      <c r="I1352">
        <v>22</v>
      </c>
      <c r="J1352" t="s">
        <v>35</v>
      </c>
      <c r="K1352" t="s">
        <v>38</v>
      </c>
      <c r="L1352" t="s">
        <v>22</v>
      </c>
      <c r="M1352" t="s">
        <v>39</v>
      </c>
      <c r="N1352">
        <v>0</v>
      </c>
      <c r="O1352">
        <v>1</v>
      </c>
      <c r="P1352" s="8">
        <f>INT(Delivery_data[[#This Row],[Order Timestamp]])</f>
        <v>45176</v>
      </c>
      <c r="Q1352">
        <f ca="1">IF(Delivery_data[[#This Row],[Order Status]]="In Progress", TODAY()-Delivery_data[[#This Row],[Order Date]], "")</f>
        <v>807</v>
      </c>
      <c r="R1352">
        <f>IF(Delivery_data[[#This Row],[On Time]]=1,0,1)</f>
        <v>1</v>
      </c>
    </row>
    <row r="1353" spans="1:18" x14ac:dyDescent="0.35">
      <c r="A1353">
        <v>1262</v>
      </c>
      <c r="B1353" t="s">
        <v>1451</v>
      </c>
      <c r="C1353" s="1">
        <v>45172.602083333331</v>
      </c>
      <c r="D1353" t="s">
        <v>25</v>
      </c>
      <c r="E1353" t="s">
        <v>108</v>
      </c>
      <c r="F1353" t="s">
        <v>1125</v>
      </c>
      <c r="G1353" t="s">
        <v>19</v>
      </c>
      <c r="H1353">
        <v>66</v>
      </c>
      <c r="I1353">
        <v>22</v>
      </c>
      <c r="J1353" t="s">
        <v>27</v>
      </c>
      <c r="K1353" t="s">
        <v>38</v>
      </c>
      <c r="L1353" t="s">
        <v>22</v>
      </c>
      <c r="M1353" t="s">
        <v>39</v>
      </c>
      <c r="N1353">
        <v>0</v>
      </c>
      <c r="O1353">
        <v>0</v>
      </c>
      <c r="P1353" s="8">
        <f>INT(Delivery_data[[#This Row],[Order Timestamp]])</f>
        <v>45172</v>
      </c>
      <c r="Q1353" t="str">
        <f ca="1">IF(Delivery_data[[#This Row],[Order Status]]="In Progress", TODAY()-Delivery_data[[#This Row],[Order Date]], "")</f>
        <v/>
      </c>
      <c r="R1353">
        <f>IF(Delivery_data[[#This Row],[On Time]]=1,0,1)</f>
        <v>1</v>
      </c>
    </row>
    <row r="1354" spans="1:18" x14ac:dyDescent="0.35">
      <c r="A1354">
        <v>1272</v>
      </c>
      <c r="B1354" t="s">
        <v>1452</v>
      </c>
      <c r="C1354" s="1">
        <v>45174.334027777775</v>
      </c>
      <c r="D1354" t="s">
        <v>16</v>
      </c>
      <c r="E1354" t="s">
        <v>50</v>
      </c>
      <c r="F1354" t="s">
        <v>1125</v>
      </c>
      <c r="G1354" t="s">
        <v>463</v>
      </c>
      <c r="H1354">
        <v>235</v>
      </c>
      <c r="I1354">
        <v>18</v>
      </c>
      <c r="J1354" t="s">
        <v>27</v>
      </c>
      <c r="K1354" t="s">
        <v>51</v>
      </c>
      <c r="L1354" t="s">
        <v>22</v>
      </c>
      <c r="M1354" t="s">
        <v>30</v>
      </c>
      <c r="N1354">
        <v>0</v>
      </c>
      <c r="O1354">
        <v>0</v>
      </c>
      <c r="P1354" s="8">
        <f>INT(Delivery_data[[#This Row],[Order Timestamp]])</f>
        <v>45174</v>
      </c>
      <c r="Q1354">
        <f ca="1">IF(Delivery_data[[#This Row],[Order Status]]="In Progress", TODAY()-Delivery_data[[#This Row],[Order Date]], "")</f>
        <v>809</v>
      </c>
      <c r="R1354">
        <f>IF(Delivery_data[[#This Row],[On Time]]=1,0,1)</f>
        <v>1</v>
      </c>
    </row>
    <row r="1355" spans="1:18" x14ac:dyDescent="0.35">
      <c r="A1355">
        <v>1273</v>
      </c>
      <c r="B1355" t="s">
        <v>1453</v>
      </c>
      <c r="C1355" s="1">
        <v>45171.481944444444</v>
      </c>
      <c r="D1355" t="s">
        <v>16</v>
      </c>
      <c r="E1355" t="s">
        <v>161</v>
      </c>
      <c r="F1355" t="s">
        <v>1125</v>
      </c>
      <c r="G1355" t="s">
        <v>233</v>
      </c>
      <c r="H1355">
        <v>221</v>
      </c>
      <c r="I1355">
        <v>24</v>
      </c>
      <c r="J1355" t="s">
        <v>20</v>
      </c>
      <c r="K1355" t="s">
        <v>51</v>
      </c>
      <c r="L1355" t="s">
        <v>22</v>
      </c>
      <c r="M1355" t="s">
        <v>23</v>
      </c>
      <c r="N1355">
        <v>0</v>
      </c>
      <c r="O1355">
        <v>0</v>
      </c>
      <c r="P1355" s="8">
        <f>INT(Delivery_data[[#This Row],[Order Timestamp]])</f>
        <v>45171</v>
      </c>
      <c r="Q1355">
        <f ca="1">IF(Delivery_data[[#This Row],[Order Status]]="In Progress", TODAY()-Delivery_data[[#This Row],[Order Date]], "")</f>
        <v>812</v>
      </c>
      <c r="R1355">
        <f>IF(Delivery_data[[#This Row],[On Time]]=1,0,1)</f>
        <v>1</v>
      </c>
    </row>
    <row r="1356" spans="1:18" x14ac:dyDescent="0.35">
      <c r="A1356">
        <v>1285</v>
      </c>
      <c r="B1356" t="s">
        <v>1454</v>
      </c>
      <c r="C1356" s="1">
        <v>45173.381249999999</v>
      </c>
      <c r="D1356" t="s">
        <v>25</v>
      </c>
      <c r="E1356" t="s">
        <v>83</v>
      </c>
      <c r="F1356" t="s">
        <v>1125</v>
      </c>
      <c r="G1356" t="s">
        <v>557</v>
      </c>
      <c r="H1356">
        <v>159</v>
      </c>
      <c r="I1356">
        <v>6</v>
      </c>
      <c r="J1356" t="s">
        <v>35</v>
      </c>
      <c r="K1356" t="s">
        <v>21</v>
      </c>
      <c r="L1356" t="s">
        <v>22</v>
      </c>
      <c r="M1356" t="s">
        <v>23</v>
      </c>
      <c r="N1356">
        <v>0</v>
      </c>
      <c r="O1356">
        <v>1</v>
      </c>
      <c r="P1356" s="8">
        <f>INT(Delivery_data[[#This Row],[Order Timestamp]])</f>
        <v>45173</v>
      </c>
      <c r="Q1356" t="str">
        <f ca="1">IF(Delivery_data[[#This Row],[Order Status]]="In Progress", TODAY()-Delivery_data[[#This Row],[Order Date]], "")</f>
        <v/>
      </c>
      <c r="R1356">
        <f>IF(Delivery_data[[#This Row],[On Time]]=1,0,1)</f>
        <v>1</v>
      </c>
    </row>
    <row r="1357" spans="1:18" x14ac:dyDescent="0.35">
      <c r="A1357">
        <v>1289</v>
      </c>
      <c r="B1357" t="s">
        <v>1455</v>
      </c>
      <c r="C1357" s="1">
        <v>45172.560416666667</v>
      </c>
      <c r="D1357" t="s">
        <v>16</v>
      </c>
      <c r="E1357" t="s">
        <v>58</v>
      </c>
      <c r="F1357" t="s">
        <v>1125</v>
      </c>
      <c r="G1357" t="s">
        <v>19</v>
      </c>
      <c r="H1357">
        <v>145</v>
      </c>
      <c r="I1357">
        <v>13</v>
      </c>
      <c r="J1357" t="s">
        <v>35</v>
      </c>
      <c r="K1357" t="s">
        <v>28</v>
      </c>
      <c r="L1357" t="s">
        <v>22</v>
      </c>
      <c r="M1357" t="s">
        <v>39</v>
      </c>
      <c r="N1357">
        <v>0</v>
      </c>
      <c r="O1357">
        <v>1</v>
      </c>
      <c r="P1357" s="8">
        <f>INT(Delivery_data[[#This Row],[Order Timestamp]])</f>
        <v>45172</v>
      </c>
      <c r="Q1357">
        <f ca="1">IF(Delivery_data[[#This Row],[Order Status]]="In Progress", TODAY()-Delivery_data[[#This Row],[Order Date]], "")</f>
        <v>811</v>
      </c>
      <c r="R1357">
        <f>IF(Delivery_data[[#This Row],[On Time]]=1,0,1)</f>
        <v>1</v>
      </c>
    </row>
    <row r="1358" spans="1:18" x14ac:dyDescent="0.35">
      <c r="A1358">
        <v>1291</v>
      </c>
      <c r="B1358" t="s">
        <v>1456</v>
      </c>
      <c r="C1358" s="1">
        <v>45177.402083333334</v>
      </c>
      <c r="D1358" t="s">
        <v>25</v>
      </c>
      <c r="E1358" t="s">
        <v>66</v>
      </c>
      <c r="F1358" t="s">
        <v>1125</v>
      </c>
      <c r="G1358" t="s">
        <v>19</v>
      </c>
      <c r="H1358">
        <v>161</v>
      </c>
      <c r="I1358">
        <v>11</v>
      </c>
      <c r="J1358" t="s">
        <v>27</v>
      </c>
      <c r="K1358" t="s">
        <v>28</v>
      </c>
      <c r="L1358" t="s">
        <v>22</v>
      </c>
      <c r="M1358" t="s">
        <v>30</v>
      </c>
      <c r="N1358">
        <v>0</v>
      </c>
      <c r="O1358">
        <v>0</v>
      </c>
      <c r="P1358" s="8">
        <f>INT(Delivery_data[[#This Row],[Order Timestamp]])</f>
        <v>45177</v>
      </c>
      <c r="Q1358" t="str">
        <f ca="1">IF(Delivery_data[[#This Row],[Order Status]]="In Progress", TODAY()-Delivery_data[[#This Row],[Order Date]], "")</f>
        <v/>
      </c>
      <c r="R1358">
        <f>IF(Delivery_data[[#This Row],[On Time]]=1,0,1)</f>
        <v>1</v>
      </c>
    </row>
    <row r="1359" spans="1:18" x14ac:dyDescent="0.35">
      <c r="A1359">
        <v>1293</v>
      </c>
      <c r="B1359" t="s">
        <v>1457</v>
      </c>
      <c r="C1359" s="1">
        <v>45176.455555555556</v>
      </c>
      <c r="D1359" t="s">
        <v>25</v>
      </c>
      <c r="E1359" t="s">
        <v>666</v>
      </c>
      <c r="F1359" t="s">
        <v>1125</v>
      </c>
      <c r="G1359" t="s">
        <v>19</v>
      </c>
      <c r="H1359">
        <v>236</v>
      </c>
      <c r="I1359">
        <v>6</v>
      </c>
      <c r="J1359" t="s">
        <v>27</v>
      </c>
      <c r="K1359" t="s">
        <v>21</v>
      </c>
      <c r="L1359" t="s">
        <v>22</v>
      </c>
      <c r="M1359" t="s">
        <v>23</v>
      </c>
      <c r="N1359">
        <v>0</v>
      </c>
      <c r="O1359">
        <v>0</v>
      </c>
      <c r="P1359" s="8">
        <f>INT(Delivery_data[[#This Row],[Order Timestamp]])</f>
        <v>45176</v>
      </c>
      <c r="Q1359" t="str">
        <f ca="1">IF(Delivery_data[[#This Row],[Order Status]]="In Progress", TODAY()-Delivery_data[[#This Row],[Order Date]], "")</f>
        <v/>
      </c>
      <c r="R1359">
        <f>IF(Delivery_data[[#This Row],[On Time]]=1,0,1)</f>
        <v>1</v>
      </c>
    </row>
    <row r="1360" spans="1:18" x14ac:dyDescent="0.35">
      <c r="A1360">
        <v>1336</v>
      </c>
      <c r="B1360" t="s">
        <v>1458</v>
      </c>
      <c r="C1360" s="1">
        <v>45174.59097222222</v>
      </c>
      <c r="D1360" t="s">
        <v>16</v>
      </c>
      <c r="E1360" t="s">
        <v>346</v>
      </c>
      <c r="F1360" t="s">
        <v>1125</v>
      </c>
      <c r="G1360" t="s">
        <v>557</v>
      </c>
      <c r="H1360">
        <v>237</v>
      </c>
      <c r="I1360">
        <v>9</v>
      </c>
      <c r="J1360" t="s">
        <v>35</v>
      </c>
      <c r="K1360" t="s">
        <v>33</v>
      </c>
      <c r="L1360" t="s">
        <v>22</v>
      </c>
      <c r="M1360" t="s">
        <v>23</v>
      </c>
      <c r="N1360">
        <v>0</v>
      </c>
      <c r="O1360">
        <v>1</v>
      </c>
      <c r="P1360" s="8">
        <f>INT(Delivery_data[[#This Row],[Order Timestamp]])</f>
        <v>45174</v>
      </c>
      <c r="Q1360">
        <f ca="1">IF(Delivery_data[[#This Row],[Order Status]]="In Progress", TODAY()-Delivery_data[[#This Row],[Order Date]], "")</f>
        <v>809</v>
      </c>
      <c r="R1360">
        <f>IF(Delivery_data[[#This Row],[On Time]]=1,0,1)</f>
        <v>1</v>
      </c>
    </row>
    <row r="1361" spans="1:18" x14ac:dyDescent="0.35">
      <c r="A1361">
        <v>1350</v>
      </c>
      <c r="B1361" t="s">
        <v>1459</v>
      </c>
      <c r="C1361" s="1">
        <v>45176.523611111108</v>
      </c>
      <c r="D1361" t="s">
        <v>16</v>
      </c>
      <c r="E1361" t="s">
        <v>96</v>
      </c>
      <c r="F1361" t="s">
        <v>1125</v>
      </c>
      <c r="G1361" t="s">
        <v>463</v>
      </c>
      <c r="H1361">
        <v>107</v>
      </c>
      <c r="I1361">
        <v>26</v>
      </c>
      <c r="J1361" t="s">
        <v>27</v>
      </c>
      <c r="K1361" t="s">
        <v>33</v>
      </c>
      <c r="L1361" t="s">
        <v>22</v>
      </c>
      <c r="M1361" t="s">
        <v>30</v>
      </c>
      <c r="N1361">
        <v>0</v>
      </c>
      <c r="O1361">
        <v>0</v>
      </c>
      <c r="P1361" s="8">
        <f>INT(Delivery_data[[#This Row],[Order Timestamp]])</f>
        <v>45176</v>
      </c>
      <c r="Q1361">
        <f ca="1">IF(Delivery_data[[#This Row],[Order Status]]="In Progress", TODAY()-Delivery_data[[#This Row],[Order Date]], "")</f>
        <v>807</v>
      </c>
      <c r="R1361">
        <f>IF(Delivery_data[[#This Row],[On Time]]=1,0,1)</f>
        <v>1</v>
      </c>
    </row>
    <row r="1362" spans="1:18" x14ac:dyDescent="0.35">
      <c r="A1362">
        <v>1354</v>
      </c>
      <c r="B1362" t="s">
        <v>1460</v>
      </c>
      <c r="C1362" s="1">
        <v>45177.631249999999</v>
      </c>
      <c r="D1362" t="s">
        <v>16</v>
      </c>
      <c r="E1362" t="s">
        <v>271</v>
      </c>
      <c r="F1362" t="s">
        <v>1125</v>
      </c>
      <c r="G1362" t="s">
        <v>362</v>
      </c>
      <c r="H1362">
        <v>146</v>
      </c>
      <c r="I1362">
        <v>17</v>
      </c>
      <c r="J1362" t="s">
        <v>27</v>
      </c>
      <c r="K1362" t="s">
        <v>28</v>
      </c>
      <c r="L1362" t="s">
        <v>22</v>
      </c>
      <c r="M1362" t="s">
        <v>23</v>
      </c>
      <c r="N1362">
        <v>0</v>
      </c>
      <c r="O1362">
        <v>0</v>
      </c>
      <c r="P1362" s="8">
        <f>INT(Delivery_data[[#This Row],[Order Timestamp]])</f>
        <v>45177</v>
      </c>
      <c r="Q1362">
        <f ca="1">IF(Delivery_data[[#This Row],[Order Status]]="In Progress", TODAY()-Delivery_data[[#This Row],[Order Date]], "")</f>
        <v>806</v>
      </c>
      <c r="R1362">
        <f>IF(Delivery_data[[#This Row],[On Time]]=1,0,1)</f>
        <v>1</v>
      </c>
    </row>
    <row r="1363" spans="1:18" x14ac:dyDescent="0.35">
      <c r="A1363">
        <v>1377</v>
      </c>
      <c r="B1363" t="s">
        <v>1461</v>
      </c>
      <c r="C1363" s="1">
        <v>45172.603472222225</v>
      </c>
      <c r="D1363" t="s">
        <v>25</v>
      </c>
      <c r="E1363" t="s">
        <v>271</v>
      </c>
      <c r="F1363" t="s">
        <v>1125</v>
      </c>
      <c r="G1363" t="s">
        <v>362</v>
      </c>
      <c r="H1363">
        <v>182</v>
      </c>
      <c r="I1363">
        <v>17</v>
      </c>
      <c r="J1363" t="s">
        <v>35</v>
      </c>
      <c r="K1363" t="s">
        <v>28</v>
      </c>
      <c r="L1363" t="s">
        <v>22</v>
      </c>
      <c r="M1363" t="s">
        <v>23</v>
      </c>
      <c r="N1363">
        <v>0</v>
      </c>
      <c r="O1363">
        <v>1</v>
      </c>
      <c r="P1363" s="8">
        <f>INT(Delivery_data[[#This Row],[Order Timestamp]])</f>
        <v>45172</v>
      </c>
      <c r="Q1363" t="str">
        <f ca="1">IF(Delivery_data[[#This Row],[Order Status]]="In Progress", TODAY()-Delivery_data[[#This Row],[Order Date]], "")</f>
        <v/>
      </c>
      <c r="R1363">
        <f>IF(Delivery_data[[#This Row],[On Time]]=1,0,1)</f>
        <v>1</v>
      </c>
    </row>
    <row r="1364" spans="1:18" x14ac:dyDescent="0.35">
      <c r="A1364">
        <v>1394</v>
      </c>
      <c r="B1364" t="s">
        <v>1462</v>
      </c>
      <c r="C1364" s="1">
        <v>45171.395833333336</v>
      </c>
      <c r="D1364" t="s">
        <v>16</v>
      </c>
      <c r="E1364" t="s">
        <v>346</v>
      </c>
      <c r="F1364" t="s">
        <v>1125</v>
      </c>
      <c r="G1364" t="s">
        <v>463</v>
      </c>
      <c r="H1364">
        <v>92</v>
      </c>
      <c r="I1364">
        <v>5</v>
      </c>
      <c r="J1364" t="s">
        <v>20</v>
      </c>
      <c r="K1364" t="s">
        <v>38</v>
      </c>
      <c r="L1364" t="s">
        <v>22</v>
      </c>
      <c r="M1364" t="s">
        <v>23</v>
      </c>
      <c r="N1364">
        <v>0</v>
      </c>
      <c r="O1364">
        <v>0</v>
      </c>
      <c r="P1364" s="8">
        <f>INT(Delivery_data[[#This Row],[Order Timestamp]])</f>
        <v>45171</v>
      </c>
      <c r="Q1364">
        <f ca="1">IF(Delivery_data[[#This Row],[Order Status]]="In Progress", TODAY()-Delivery_data[[#This Row],[Order Date]], "")</f>
        <v>812</v>
      </c>
      <c r="R1364">
        <f>IF(Delivery_data[[#This Row],[On Time]]=1,0,1)</f>
        <v>1</v>
      </c>
    </row>
    <row r="1365" spans="1:18" x14ac:dyDescent="0.35">
      <c r="A1365">
        <v>1396</v>
      </c>
      <c r="B1365" t="s">
        <v>1463</v>
      </c>
      <c r="C1365" s="1">
        <v>45176.495138888888</v>
      </c>
      <c r="D1365" t="s">
        <v>25</v>
      </c>
      <c r="E1365" t="s">
        <v>258</v>
      </c>
      <c r="F1365" t="s">
        <v>1125</v>
      </c>
      <c r="G1365" t="s">
        <v>557</v>
      </c>
      <c r="H1365">
        <v>146</v>
      </c>
      <c r="I1365">
        <v>29</v>
      </c>
      <c r="J1365" t="s">
        <v>35</v>
      </c>
      <c r="K1365" t="s">
        <v>33</v>
      </c>
      <c r="L1365" t="s">
        <v>22</v>
      </c>
      <c r="M1365" t="s">
        <v>23</v>
      </c>
      <c r="N1365">
        <v>0</v>
      </c>
      <c r="O1365">
        <v>1</v>
      </c>
      <c r="P1365" s="8">
        <f>INT(Delivery_data[[#This Row],[Order Timestamp]])</f>
        <v>45176</v>
      </c>
      <c r="Q1365" t="str">
        <f ca="1">IF(Delivery_data[[#This Row],[Order Status]]="In Progress", TODAY()-Delivery_data[[#This Row],[Order Date]], "")</f>
        <v/>
      </c>
      <c r="R1365">
        <f>IF(Delivery_data[[#This Row],[On Time]]=1,0,1)</f>
        <v>1</v>
      </c>
    </row>
    <row r="1366" spans="1:18" x14ac:dyDescent="0.35">
      <c r="A1366">
        <v>1403</v>
      </c>
      <c r="B1366" t="s">
        <v>1464</v>
      </c>
      <c r="C1366" s="1">
        <v>45174.429861111108</v>
      </c>
      <c r="D1366" t="s">
        <v>16</v>
      </c>
      <c r="E1366" t="s">
        <v>284</v>
      </c>
      <c r="F1366" t="s">
        <v>1125</v>
      </c>
      <c r="G1366" t="s">
        <v>557</v>
      </c>
      <c r="H1366">
        <v>186</v>
      </c>
      <c r="I1366">
        <v>26</v>
      </c>
      <c r="J1366" t="s">
        <v>20</v>
      </c>
      <c r="K1366" t="s">
        <v>28</v>
      </c>
      <c r="L1366" t="s">
        <v>22</v>
      </c>
      <c r="M1366" t="s">
        <v>39</v>
      </c>
      <c r="N1366">
        <v>0</v>
      </c>
      <c r="O1366">
        <v>0</v>
      </c>
      <c r="P1366" s="8">
        <f>INT(Delivery_data[[#This Row],[Order Timestamp]])</f>
        <v>45174</v>
      </c>
      <c r="Q1366">
        <f ca="1">IF(Delivery_data[[#This Row],[Order Status]]="In Progress", TODAY()-Delivery_data[[#This Row],[Order Date]], "")</f>
        <v>809</v>
      </c>
      <c r="R1366">
        <f>IF(Delivery_data[[#This Row],[On Time]]=1,0,1)</f>
        <v>1</v>
      </c>
    </row>
    <row r="1367" spans="1:18" x14ac:dyDescent="0.35">
      <c r="A1367">
        <v>1423</v>
      </c>
      <c r="B1367" t="s">
        <v>1465</v>
      </c>
      <c r="C1367" s="1">
        <v>45170.499305555553</v>
      </c>
      <c r="D1367" t="s">
        <v>25</v>
      </c>
      <c r="E1367" t="s">
        <v>74</v>
      </c>
      <c r="F1367" t="s">
        <v>1125</v>
      </c>
      <c r="G1367" t="s">
        <v>557</v>
      </c>
      <c r="H1367">
        <v>192</v>
      </c>
      <c r="I1367">
        <v>16</v>
      </c>
      <c r="J1367" t="s">
        <v>27</v>
      </c>
      <c r="K1367" t="s">
        <v>38</v>
      </c>
      <c r="L1367" t="s">
        <v>22</v>
      </c>
      <c r="M1367" t="s">
        <v>30</v>
      </c>
      <c r="N1367">
        <v>0</v>
      </c>
      <c r="O1367">
        <v>0</v>
      </c>
      <c r="P1367" s="8">
        <f>INT(Delivery_data[[#This Row],[Order Timestamp]])</f>
        <v>45170</v>
      </c>
      <c r="Q1367" t="str">
        <f ca="1">IF(Delivery_data[[#This Row],[Order Status]]="In Progress", TODAY()-Delivery_data[[#This Row],[Order Date]], "")</f>
        <v/>
      </c>
      <c r="R1367">
        <f>IF(Delivery_data[[#This Row],[On Time]]=1,0,1)</f>
        <v>1</v>
      </c>
    </row>
    <row r="1368" spans="1:18" x14ac:dyDescent="0.35">
      <c r="A1368">
        <v>1427</v>
      </c>
      <c r="B1368" t="s">
        <v>1466</v>
      </c>
      <c r="C1368" s="1">
        <v>45177.507638888892</v>
      </c>
      <c r="D1368" t="s">
        <v>25</v>
      </c>
      <c r="E1368" t="s">
        <v>204</v>
      </c>
      <c r="F1368" t="s">
        <v>1125</v>
      </c>
      <c r="G1368" t="s">
        <v>233</v>
      </c>
      <c r="H1368">
        <v>116</v>
      </c>
      <c r="I1368">
        <v>22</v>
      </c>
      <c r="J1368" t="s">
        <v>35</v>
      </c>
      <c r="K1368" t="s">
        <v>51</v>
      </c>
      <c r="L1368" t="s">
        <v>22</v>
      </c>
      <c r="M1368" t="s">
        <v>30</v>
      </c>
      <c r="N1368">
        <v>0</v>
      </c>
      <c r="O1368">
        <v>1</v>
      </c>
      <c r="P1368" s="8">
        <f>INT(Delivery_data[[#This Row],[Order Timestamp]])</f>
        <v>45177</v>
      </c>
      <c r="Q1368" t="str">
        <f ca="1">IF(Delivery_data[[#This Row],[Order Status]]="In Progress", TODAY()-Delivery_data[[#This Row],[Order Date]], "")</f>
        <v/>
      </c>
      <c r="R1368">
        <f>IF(Delivery_data[[#This Row],[On Time]]=1,0,1)</f>
        <v>1</v>
      </c>
    </row>
    <row r="1369" spans="1:18" x14ac:dyDescent="0.35">
      <c r="A1369">
        <v>1429</v>
      </c>
      <c r="B1369" t="s">
        <v>1467</v>
      </c>
      <c r="C1369" s="1">
        <v>45176.638194444444</v>
      </c>
      <c r="D1369" t="s">
        <v>16</v>
      </c>
      <c r="E1369" t="s">
        <v>158</v>
      </c>
      <c r="F1369" t="s">
        <v>1125</v>
      </c>
      <c r="G1369" t="s">
        <v>19</v>
      </c>
      <c r="H1369">
        <v>142</v>
      </c>
      <c r="I1369">
        <v>11</v>
      </c>
      <c r="J1369" t="s">
        <v>27</v>
      </c>
      <c r="K1369" t="s">
        <v>38</v>
      </c>
      <c r="L1369" t="s">
        <v>22</v>
      </c>
      <c r="M1369" t="s">
        <v>23</v>
      </c>
      <c r="N1369">
        <v>0</v>
      </c>
      <c r="O1369">
        <v>0</v>
      </c>
      <c r="P1369" s="8">
        <f>INT(Delivery_data[[#This Row],[Order Timestamp]])</f>
        <v>45176</v>
      </c>
      <c r="Q1369">
        <f ca="1">IF(Delivery_data[[#This Row],[Order Status]]="In Progress", TODAY()-Delivery_data[[#This Row],[Order Date]], "")</f>
        <v>807</v>
      </c>
      <c r="R1369">
        <f>IF(Delivery_data[[#This Row],[On Time]]=1,0,1)</f>
        <v>1</v>
      </c>
    </row>
    <row r="1370" spans="1:18" x14ac:dyDescent="0.35">
      <c r="A1370">
        <v>1442</v>
      </c>
      <c r="B1370" t="s">
        <v>1468</v>
      </c>
      <c r="C1370" s="1">
        <v>45172.519444444442</v>
      </c>
      <c r="D1370" t="s">
        <v>25</v>
      </c>
      <c r="E1370" t="s">
        <v>139</v>
      </c>
      <c r="F1370" t="s">
        <v>1125</v>
      </c>
      <c r="G1370" t="s">
        <v>362</v>
      </c>
      <c r="H1370">
        <v>208</v>
      </c>
      <c r="I1370">
        <v>23</v>
      </c>
      <c r="J1370" t="s">
        <v>35</v>
      </c>
      <c r="K1370" t="s">
        <v>38</v>
      </c>
      <c r="L1370" t="s">
        <v>22</v>
      </c>
      <c r="M1370" t="s">
        <v>30</v>
      </c>
      <c r="N1370">
        <v>0</v>
      </c>
      <c r="O1370">
        <v>1</v>
      </c>
      <c r="P1370" s="8">
        <f>INT(Delivery_data[[#This Row],[Order Timestamp]])</f>
        <v>45172</v>
      </c>
      <c r="Q1370" t="str">
        <f ca="1">IF(Delivery_data[[#This Row],[Order Status]]="In Progress", TODAY()-Delivery_data[[#This Row],[Order Date]], "")</f>
        <v/>
      </c>
      <c r="R1370">
        <f>IF(Delivery_data[[#This Row],[On Time]]=1,0,1)</f>
        <v>1</v>
      </c>
    </row>
    <row r="1371" spans="1:18" x14ac:dyDescent="0.35">
      <c r="A1371">
        <v>1459</v>
      </c>
      <c r="B1371" t="s">
        <v>1469</v>
      </c>
      <c r="C1371" s="1">
        <v>45177.52847222222</v>
      </c>
      <c r="D1371" t="s">
        <v>25</v>
      </c>
      <c r="E1371" t="s">
        <v>46</v>
      </c>
      <c r="F1371" t="s">
        <v>1125</v>
      </c>
      <c r="G1371" t="s">
        <v>19</v>
      </c>
      <c r="H1371">
        <v>141</v>
      </c>
      <c r="I1371">
        <v>9</v>
      </c>
      <c r="J1371" t="s">
        <v>35</v>
      </c>
      <c r="K1371" t="s">
        <v>33</v>
      </c>
      <c r="L1371" t="s">
        <v>22</v>
      </c>
      <c r="M1371" t="s">
        <v>23</v>
      </c>
      <c r="N1371">
        <v>0</v>
      </c>
      <c r="O1371">
        <v>1</v>
      </c>
      <c r="P1371" s="8">
        <f>INT(Delivery_data[[#This Row],[Order Timestamp]])</f>
        <v>45177</v>
      </c>
      <c r="Q1371" t="str">
        <f ca="1">IF(Delivery_data[[#This Row],[Order Status]]="In Progress", TODAY()-Delivery_data[[#This Row],[Order Date]], "")</f>
        <v/>
      </c>
      <c r="R1371">
        <f>IF(Delivery_data[[#This Row],[On Time]]=1,0,1)</f>
        <v>1</v>
      </c>
    </row>
    <row r="1372" spans="1:18" x14ac:dyDescent="0.35">
      <c r="A1372">
        <v>1478</v>
      </c>
      <c r="B1372" t="s">
        <v>1470</v>
      </c>
      <c r="C1372" s="1">
        <v>45173.57916666667</v>
      </c>
      <c r="D1372" t="s">
        <v>25</v>
      </c>
      <c r="E1372" t="s">
        <v>155</v>
      </c>
      <c r="F1372" t="s">
        <v>1125</v>
      </c>
      <c r="G1372" t="s">
        <v>362</v>
      </c>
      <c r="H1372">
        <v>121</v>
      </c>
      <c r="I1372">
        <v>3</v>
      </c>
      <c r="J1372" t="s">
        <v>35</v>
      </c>
      <c r="K1372" t="s">
        <v>38</v>
      </c>
      <c r="L1372" t="s">
        <v>22</v>
      </c>
      <c r="M1372" t="s">
        <v>30</v>
      </c>
      <c r="N1372">
        <v>0</v>
      </c>
      <c r="O1372">
        <v>1</v>
      </c>
      <c r="P1372" s="8">
        <f>INT(Delivery_data[[#This Row],[Order Timestamp]])</f>
        <v>45173</v>
      </c>
      <c r="Q1372" t="str">
        <f ca="1">IF(Delivery_data[[#This Row],[Order Status]]="In Progress", TODAY()-Delivery_data[[#This Row],[Order Date]], "")</f>
        <v/>
      </c>
      <c r="R1372">
        <f>IF(Delivery_data[[#This Row],[On Time]]=1,0,1)</f>
        <v>1</v>
      </c>
    </row>
    <row r="1373" spans="1:18" x14ac:dyDescent="0.35">
      <c r="A1373">
        <v>1480</v>
      </c>
      <c r="B1373" t="s">
        <v>1471</v>
      </c>
      <c r="C1373" s="1">
        <v>45171.397222222222</v>
      </c>
      <c r="D1373" t="s">
        <v>16</v>
      </c>
      <c r="E1373" t="s">
        <v>139</v>
      </c>
      <c r="F1373" t="s">
        <v>1125</v>
      </c>
      <c r="G1373" t="s">
        <v>362</v>
      </c>
      <c r="H1373">
        <v>77</v>
      </c>
      <c r="I1373">
        <v>28</v>
      </c>
      <c r="J1373" t="s">
        <v>20</v>
      </c>
      <c r="K1373" t="s">
        <v>38</v>
      </c>
      <c r="L1373" t="s">
        <v>22</v>
      </c>
      <c r="M1373" t="s">
        <v>30</v>
      </c>
      <c r="N1373">
        <v>0</v>
      </c>
      <c r="O1373">
        <v>0</v>
      </c>
      <c r="P1373" s="8">
        <f>INT(Delivery_data[[#This Row],[Order Timestamp]])</f>
        <v>45171</v>
      </c>
      <c r="Q1373">
        <f ca="1">IF(Delivery_data[[#This Row],[Order Status]]="In Progress", TODAY()-Delivery_data[[#This Row],[Order Date]], "")</f>
        <v>812</v>
      </c>
      <c r="R1373">
        <f>IF(Delivery_data[[#This Row],[On Time]]=1,0,1)</f>
        <v>1</v>
      </c>
    </row>
    <row r="1374" spans="1:18" x14ac:dyDescent="0.35">
      <c r="A1374">
        <v>1487</v>
      </c>
      <c r="B1374" t="s">
        <v>1472</v>
      </c>
      <c r="C1374" s="1">
        <v>45175.705555555556</v>
      </c>
      <c r="D1374" t="s">
        <v>25</v>
      </c>
      <c r="E1374" t="s">
        <v>108</v>
      </c>
      <c r="F1374" t="s">
        <v>1125</v>
      </c>
      <c r="G1374" t="s">
        <v>19</v>
      </c>
      <c r="H1374">
        <v>186</v>
      </c>
      <c r="I1374">
        <v>4</v>
      </c>
      <c r="J1374" t="s">
        <v>35</v>
      </c>
      <c r="K1374" t="s">
        <v>51</v>
      </c>
      <c r="L1374" t="s">
        <v>22</v>
      </c>
      <c r="M1374" t="s">
        <v>23</v>
      </c>
      <c r="N1374">
        <v>0</v>
      </c>
      <c r="O1374">
        <v>1</v>
      </c>
      <c r="P1374" s="8">
        <f>INT(Delivery_data[[#This Row],[Order Timestamp]])</f>
        <v>45175</v>
      </c>
      <c r="Q1374" t="str">
        <f ca="1">IF(Delivery_data[[#This Row],[Order Status]]="In Progress", TODAY()-Delivery_data[[#This Row],[Order Date]], "")</f>
        <v/>
      </c>
      <c r="R1374">
        <f>IF(Delivery_data[[#This Row],[On Time]]=1,0,1)</f>
        <v>1</v>
      </c>
    </row>
    <row r="1375" spans="1:18" x14ac:dyDescent="0.35">
      <c r="A1375">
        <v>1491</v>
      </c>
      <c r="B1375" t="s">
        <v>1473</v>
      </c>
      <c r="C1375" s="1">
        <v>45171.486805555556</v>
      </c>
      <c r="D1375" t="s">
        <v>16</v>
      </c>
      <c r="E1375" t="s">
        <v>225</v>
      </c>
      <c r="F1375" t="s">
        <v>1125</v>
      </c>
      <c r="G1375" t="s">
        <v>557</v>
      </c>
      <c r="H1375">
        <v>211</v>
      </c>
      <c r="I1375">
        <v>22</v>
      </c>
      <c r="J1375" t="s">
        <v>27</v>
      </c>
      <c r="K1375" t="s">
        <v>21</v>
      </c>
      <c r="L1375" t="s">
        <v>22</v>
      </c>
      <c r="M1375" t="s">
        <v>23</v>
      </c>
      <c r="N1375">
        <v>0</v>
      </c>
      <c r="O1375">
        <v>0</v>
      </c>
      <c r="P1375" s="8">
        <f>INT(Delivery_data[[#This Row],[Order Timestamp]])</f>
        <v>45171</v>
      </c>
      <c r="Q1375">
        <f ca="1">IF(Delivery_data[[#This Row],[Order Status]]="In Progress", TODAY()-Delivery_data[[#This Row],[Order Date]], "")</f>
        <v>812</v>
      </c>
      <c r="R1375">
        <f>IF(Delivery_data[[#This Row],[On Time]]=1,0,1)</f>
        <v>1</v>
      </c>
    </row>
    <row r="1376" spans="1:18" x14ac:dyDescent="0.35">
      <c r="A1376">
        <v>1507</v>
      </c>
      <c r="B1376" t="s">
        <v>1151</v>
      </c>
      <c r="C1376" s="1">
        <v>45171.48333333333</v>
      </c>
      <c r="D1376" t="s">
        <v>16</v>
      </c>
      <c r="E1376" t="s">
        <v>511</v>
      </c>
      <c r="F1376" t="s">
        <v>1125</v>
      </c>
      <c r="G1376" t="s">
        <v>19</v>
      </c>
      <c r="H1376">
        <v>221</v>
      </c>
      <c r="I1376">
        <v>24</v>
      </c>
      <c r="J1376" t="s">
        <v>35</v>
      </c>
      <c r="K1376" t="s">
        <v>38</v>
      </c>
      <c r="L1376" t="s">
        <v>22</v>
      </c>
      <c r="M1376" t="s">
        <v>30</v>
      </c>
      <c r="N1376">
        <v>0</v>
      </c>
      <c r="O1376">
        <v>1</v>
      </c>
      <c r="P1376" s="8">
        <f>INT(Delivery_data[[#This Row],[Order Timestamp]])</f>
        <v>45171</v>
      </c>
      <c r="Q1376">
        <f ca="1">IF(Delivery_data[[#This Row],[Order Status]]="In Progress", TODAY()-Delivery_data[[#This Row],[Order Date]], "")</f>
        <v>812</v>
      </c>
      <c r="R1376">
        <f>IF(Delivery_data[[#This Row],[On Time]]=1,0,1)</f>
        <v>1</v>
      </c>
    </row>
    <row r="1377" spans="1:18" x14ac:dyDescent="0.35">
      <c r="A1377">
        <v>1533</v>
      </c>
      <c r="B1377" t="s">
        <v>1474</v>
      </c>
      <c r="C1377" s="1">
        <v>45176.661805555559</v>
      </c>
      <c r="D1377" t="s">
        <v>16</v>
      </c>
      <c r="E1377" t="s">
        <v>58</v>
      </c>
      <c r="F1377" t="s">
        <v>1125</v>
      </c>
      <c r="G1377" t="s">
        <v>463</v>
      </c>
      <c r="H1377">
        <v>208</v>
      </c>
      <c r="I1377">
        <v>10</v>
      </c>
      <c r="J1377" t="s">
        <v>27</v>
      </c>
      <c r="K1377" t="s">
        <v>33</v>
      </c>
      <c r="L1377" t="s">
        <v>22</v>
      </c>
      <c r="M1377" t="s">
        <v>23</v>
      </c>
      <c r="N1377">
        <v>0</v>
      </c>
      <c r="O1377">
        <v>0</v>
      </c>
      <c r="P1377" s="8">
        <f>INT(Delivery_data[[#This Row],[Order Timestamp]])</f>
        <v>45176</v>
      </c>
      <c r="Q1377">
        <f ca="1">IF(Delivery_data[[#This Row],[Order Status]]="In Progress", TODAY()-Delivery_data[[#This Row],[Order Date]], "")</f>
        <v>807</v>
      </c>
      <c r="R1377">
        <f>IF(Delivery_data[[#This Row],[On Time]]=1,0,1)</f>
        <v>1</v>
      </c>
    </row>
    <row r="1378" spans="1:18" x14ac:dyDescent="0.35">
      <c r="A1378">
        <v>1535</v>
      </c>
      <c r="B1378" t="s">
        <v>1475</v>
      </c>
      <c r="C1378" s="1">
        <v>45176.51458333333</v>
      </c>
      <c r="D1378" t="s">
        <v>25</v>
      </c>
      <c r="E1378" t="s">
        <v>100</v>
      </c>
      <c r="F1378" t="s">
        <v>1125</v>
      </c>
      <c r="G1378" t="s">
        <v>362</v>
      </c>
      <c r="H1378">
        <v>228</v>
      </c>
      <c r="I1378">
        <v>11</v>
      </c>
      <c r="J1378" t="s">
        <v>20</v>
      </c>
      <c r="K1378" t="s">
        <v>21</v>
      </c>
      <c r="L1378" t="s">
        <v>22</v>
      </c>
      <c r="M1378" t="s">
        <v>39</v>
      </c>
      <c r="N1378">
        <v>0</v>
      </c>
      <c r="O1378">
        <v>0</v>
      </c>
      <c r="P1378" s="8">
        <f>INT(Delivery_data[[#This Row],[Order Timestamp]])</f>
        <v>45176</v>
      </c>
      <c r="Q1378" t="str">
        <f ca="1">IF(Delivery_data[[#This Row],[Order Status]]="In Progress", TODAY()-Delivery_data[[#This Row],[Order Date]], "")</f>
        <v/>
      </c>
      <c r="R1378">
        <f>IF(Delivery_data[[#This Row],[On Time]]=1,0,1)</f>
        <v>1</v>
      </c>
    </row>
    <row r="1379" spans="1:18" x14ac:dyDescent="0.35">
      <c r="A1379">
        <v>1542</v>
      </c>
      <c r="B1379" t="s">
        <v>1476</v>
      </c>
      <c r="C1379" s="1">
        <v>45173.40625</v>
      </c>
      <c r="D1379" t="s">
        <v>16</v>
      </c>
      <c r="E1379" t="s">
        <v>102</v>
      </c>
      <c r="F1379" t="s">
        <v>1125</v>
      </c>
      <c r="G1379" t="s">
        <v>362</v>
      </c>
      <c r="H1379">
        <v>87</v>
      </c>
      <c r="I1379">
        <v>28</v>
      </c>
      <c r="J1379" t="s">
        <v>27</v>
      </c>
      <c r="K1379" t="s">
        <v>38</v>
      </c>
      <c r="L1379" t="s">
        <v>22</v>
      </c>
      <c r="M1379" t="s">
        <v>39</v>
      </c>
      <c r="N1379">
        <v>0</v>
      </c>
      <c r="O1379">
        <v>0</v>
      </c>
      <c r="P1379" s="8">
        <f>INT(Delivery_data[[#This Row],[Order Timestamp]])</f>
        <v>45173</v>
      </c>
      <c r="Q1379">
        <f ca="1">IF(Delivery_data[[#This Row],[Order Status]]="In Progress", TODAY()-Delivery_data[[#This Row],[Order Date]], "")</f>
        <v>810</v>
      </c>
      <c r="R1379">
        <f>IF(Delivery_data[[#This Row],[On Time]]=1,0,1)</f>
        <v>1</v>
      </c>
    </row>
    <row r="1380" spans="1:18" x14ac:dyDescent="0.35">
      <c r="A1380">
        <v>1569</v>
      </c>
      <c r="B1380" t="s">
        <v>1477</v>
      </c>
      <c r="C1380" s="1">
        <v>45171.637499999997</v>
      </c>
      <c r="D1380" t="s">
        <v>25</v>
      </c>
      <c r="E1380" t="s">
        <v>184</v>
      </c>
      <c r="F1380" t="s">
        <v>1125</v>
      </c>
      <c r="G1380" t="s">
        <v>19</v>
      </c>
      <c r="H1380">
        <v>230</v>
      </c>
      <c r="I1380">
        <v>14</v>
      </c>
      <c r="J1380" t="s">
        <v>35</v>
      </c>
      <c r="K1380" t="s">
        <v>38</v>
      </c>
      <c r="L1380" t="s">
        <v>22</v>
      </c>
      <c r="M1380" t="s">
        <v>39</v>
      </c>
      <c r="N1380">
        <v>0</v>
      </c>
      <c r="O1380">
        <v>1</v>
      </c>
      <c r="P1380" s="8">
        <f>INT(Delivery_data[[#This Row],[Order Timestamp]])</f>
        <v>45171</v>
      </c>
      <c r="Q1380" t="str">
        <f ca="1">IF(Delivery_data[[#This Row],[Order Status]]="In Progress", TODAY()-Delivery_data[[#This Row],[Order Date]], "")</f>
        <v/>
      </c>
      <c r="R1380">
        <f>IF(Delivery_data[[#This Row],[On Time]]=1,0,1)</f>
        <v>1</v>
      </c>
    </row>
    <row r="1381" spans="1:18" x14ac:dyDescent="0.35">
      <c r="A1381">
        <v>1597</v>
      </c>
      <c r="B1381" t="s">
        <v>1001</v>
      </c>
      <c r="C1381" s="1">
        <v>45171.43472222222</v>
      </c>
      <c r="D1381" t="s">
        <v>16</v>
      </c>
      <c r="E1381" t="s">
        <v>102</v>
      </c>
      <c r="F1381" t="s">
        <v>1125</v>
      </c>
      <c r="G1381" t="s">
        <v>19</v>
      </c>
      <c r="H1381">
        <v>186</v>
      </c>
      <c r="I1381">
        <v>13</v>
      </c>
      <c r="J1381" t="s">
        <v>35</v>
      </c>
      <c r="K1381" t="s">
        <v>28</v>
      </c>
      <c r="L1381" t="s">
        <v>22</v>
      </c>
      <c r="M1381" t="s">
        <v>23</v>
      </c>
      <c r="N1381">
        <v>0</v>
      </c>
      <c r="O1381">
        <v>1</v>
      </c>
      <c r="P1381" s="8">
        <f>INT(Delivery_data[[#This Row],[Order Timestamp]])</f>
        <v>45171</v>
      </c>
      <c r="Q1381">
        <f ca="1">IF(Delivery_data[[#This Row],[Order Status]]="In Progress", TODAY()-Delivery_data[[#This Row],[Order Date]], "")</f>
        <v>812</v>
      </c>
      <c r="R1381">
        <f>IF(Delivery_data[[#This Row],[On Time]]=1,0,1)</f>
        <v>1</v>
      </c>
    </row>
    <row r="1382" spans="1:18" x14ac:dyDescent="0.35">
      <c r="A1382">
        <v>1598</v>
      </c>
      <c r="B1382" t="s">
        <v>1478</v>
      </c>
      <c r="C1382" s="1">
        <v>45175.624305555553</v>
      </c>
      <c r="D1382" t="s">
        <v>16</v>
      </c>
      <c r="E1382" t="s">
        <v>117</v>
      </c>
      <c r="F1382" t="s">
        <v>1125</v>
      </c>
      <c r="G1382" t="s">
        <v>362</v>
      </c>
      <c r="H1382">
        <v>173</v>
      </c>
      <c r="I1382">
        <v>16</v>
      </c>
      <c r="J1382" t="s">
        <v>20</v>
      </c>
      <c r="K1382" t="s">
        <v>33</v>
      </c>
      <c r="L1382" t="s">
        <v>22</v>
      </c>
      <c r="M1382" t="s">
        <v>23</v>
      </c>
      <c r="N1382">
        <v>0</v>
      </c>
      <c r="O1382">
        <v>0</v>
      </c>
      <c r="P1382" s="8">
        <f>INT(Delivery_data[[#This Row],[Order Timestamp]])</f>
        <v>45175</v>
      </c>
      <c r="Q1382">
        <f ca="1">IF(Delivery_data[[#This Row],[Order Status]]="In Progress", TODAY()-Delivery_data[[#This Row],[Order Date]], "")</f>
        <v>808</v>
      </c>
      <c r="R1382">
        <f>IF(Delivery_data[[#This Row],[On Time]]=1,0,1)</f>
        <v>1</v>
      </c>
    </row>
    <row r="1383" spans="1:18" x14ac:dyDescent="0.35">
      <c r="A1383">
        <v>1604</v>
      </c>
      <c r="B1383" t="s">
        <v>1479</v>
      </c>
      <c r="C1383" s="1">
        <v>45171.663888888892</v>
      </c>
      <c r="D1383" t="s">
        <v>25</v>
      </c>
      <c r="E1383" t="s">
        <v>346</v>
      </c>
      <c r="F1383" t="s">
        <v>1125</v>
      </c>
      <c r="G1383" t="s">
        <v>463</v>
      </c>
      <c r="H1383">
        <v>210</v>
      </c>
      <c r="I1383">
        <v>11</v>
      </c>
      <c r="J1383" t="s">
        <v>20</v>
      </c>
      <c r="K1383" t="s">
        <v>38</v>
      </c>
      <c r="L1383" t="s">
        <v>22</v>
      </c>
      <c r="M1383" t="s">
        <v>23</v>
      </c>
      <c r="N1383">
        <v>0</v>
      </c>
      <c r="O1383">
        <v>0</v>
      </c>
      <c r="P1383" s="8">
        <f>INT(Delivery_data[[#This Row],[Order Timestamp]])</f>
        <v>45171</v>
      </c>
      <c r="Q1383" t="str">
        <f ca="1">IF(Delivery_data[[#This Row],[Order Status]]="In Progress", TODAY()-Delivery_data[[#This Row],[Order Date]], "")</f>
        <v/>
      </c>
      <c r="R1383">
        <f>IF(Delivery_data[[#This Row],[On Time]]=1,0,1)</f>
        <v>1</v>
      </c>
    </row>
    <row r="1384" spans="1:18" x14ac:dyDescent="0.35">
      <c r="A1384">
        <v>1612</v>
      </c>
      <c r="B1384" t="s">
        <v>1480</v>
      </c>
      <c r="C1384" s="1">
        <v>45174.354166666664</v>
      </c>
      <c r="D1384" t="s">
        <v>16</v>
      </c>
      <c r="E1384" t="s">
        <v>62</v>
      </c>
      <c r="F1384" t="s">
        <v>1125</v>
      </c>
      <c r="G1384" t="s">
        <v>362</v>
      </c>
      <c r="H1384">
        <v>126</v>
      </c>
      <c r="I1384">
        <v>3</v>
      </c>
      <c r="J1384" t="s">
        <v>35</v>
      </c>
      <c r="K1384" t="s">
        <v>21</v>
      </c>
      <c r="L1384" t="s">
        <v>22</v>
      </c>
      <c r="M1384" t="s">
        <v>39</v>
      </c>
      <c r="N1384">
        <v>0</v>
      </c>
      <c r="O1384">
        <v>1</v>
      </c>
      <c r="P1384" s="8">
        <f>INT(Delivery_data[[#This Row],[Order Timestamp]])</f>
        <v>45174</v>
      </c>
      <c r="Q1384">
        <f ca="1">IF(Delivery_data[[#This Row],[Order Status]]="In Progress", TODAY()-Delivery_data[[#This Row],[Order Date]], "")</f>
        <v>809</v>
      </c>
      <c r="R1384">
        <f>IF(Delivery_data[[#This Row],[On Time]]=1,0,1)</f>
        <v>1</v>
      </c>
    </row>
    <row r="1385" spans="1:18" x14ac:dyDescent="0.35">
      <c r="A1385">
        <v>1615</v>
      </c>
      <c r="B1385" t="s">
        <v>1481</v>
      </c>
      <c r="C1385" s="1">
        <v>45172.509722222225</v>
      </c>
      <c r="D1385" t="s">
        <v>25</v>
      </c>
      <c r="E1385" t="s">
        <v>129</v>
      </c>
      <c r="F1385" t="s">
        <v>1125</v>
      </c>
      <c r="G1385" t="s">
        <v>362</v>
      </c>
      <c r="H1385">
        <v>121</v>
      </c>
      <c r="I1385">
        <v>5</v>
      </c>
      <c r="J1385" t="s">
        <v>35</v>
      </c>
      <c r="K1385" t="s">
        <v>21</v>
      </c>
      <c r="L1385" t="s">
        <v>22</v>
      </c>
      <c r="M1385" t="s">
        <v>23</v>
      </c>
      <c r="N1385">
        <v>0</v>
      </c>
      <c r="O1385">
        <v>1</v>
      </c>
      <c r="P1385" s="8">
        <f>INT(Delivery_data[[#This Row],[Order Timestamp]])</f>
        <v>45172</v>
      </c>
      <c r="Q1385" t="str">
        <f ca="1">IF(Delivery_data[[#This Row],[Order Status]]="In Progress", TODAY()-Delivery_data[[#This Row],[Order Date]], "")</f>
        <v/>
      </c>
      <c r="R1385">
        <f>IF(Delivery_data[[#This Row],[On Time]]=1,0,1)</f>
        <v>1</v>
      </c>
    </row>
    <row r="1386" spans="1:18" x14ac:dyDescent="0.35">
      <c r="A1386">
        <v>1632</v>
      </c>
      <c r="B1386" t="s">
        <v>507</v>
      </c>
      <c r="C1386" s="1">
        <v>45170.606249999997</v>
      </c>
      <c r="D1386" t="s">
        <v>25</v>
      </c>
      <c r="E1386" t="s">
        <v>267</v>
      </c>
      <c r="F1386" t="s">
        <v>1125</v>
      </c>
      <c r="G1386" t="s">
        <v>463</v>
      </c>
      <c r="H1386">
        <v>77</v>
      </c>
      <c r="I1386">
        <v>5</v>
      </c>
      <c r="J1386" t="s">
        <v>27</v>
      </c>
      <c r="K1386" t="s">
        <v>21</v>
      </c>
      <c r="L1386" t="s">
        <v>22</v>
      </c>
      <c r="M1386" t="s">
        <v>30</v>
      </c>
      <c r="N1386">
        <v>0</v>
      </c>
      <c r="O1386">
        <v>0</v>
      </c>
      <c r="P1386" s="8">
        <f>INT(Delivery_data[[#This Row],[Order Timestamp]])</f>
        <v>45170</v>
      </c>
      <c r="Q1386" t="str">
        <f ca="1">IF(Delivery_data[[#This Row],[Order Status]]="In Progress", TODAY()-Delivery_data[[#This Row],[Order Date]], "")</f>
        <v/>
      </c>
      <c r="R1386">
        <f>IF(Delivery_data[[#This Row],[On Time]]=1,0,1)</f>
        <v>1</v>
      </c>
    </row>
    <row r="1387" spans="1:18" x14ac:dyDescent="0.35">
      <c r="A1387">
        <v>1639</v>
      </c>
      <c r="B1387" t="s">
        <v>1089</v>
      </c>
      <c r="C1387" s="1">
        <v>45173.57708333333</v>
      </c>
      <c r="D1387" t="s">
        <v>25</v>
      </c>
      <c r="E1387" t="s">
        <v>352</v>
      </c>
      <c r="F1387" t="s">
        <v>1125</v>
      </c>
      <c r="G1387" t="s">
        <v>362</v>
      </c>
      <c r="H1387">
        <v>173</v>
      </c>
      <c r="I1387">
        <v>16</v>
      </c>
      <c r="J1387" t="s">
        <v>20</v>
      </c>
      <c r="K1387" t="s">
        <v>28</v>
      </c>
      <c r="L1387" t="s">
        <v>22</v>
      </c>
      <c r="M1387" t="s">
        <v>39</v>
      </c>
      <c r="N1387">
        <v>0</v>
      </c>
      <c r="O1387">
        <v>0</v>
      </c>
      <c r="P1387" s="8">
        <f>INT(Delivery_data[[#This Row],[Order Timestamp]])</f>
        <v>45173</v>
      </c>
      <c r="Q1387" t="str">
        <f ca="1">IF(Delivery_data[[#This Row],[Order Status]]="In Progress", TODAY()-Delivery_data[[#This Row],[Order Date]], "")</f>
        <v/>
      </c>
      <c r="R1387">
        <f>IF(Delivery_data[[#This Row],[On Time]]=1,0,1)</f>
        <v>1</v>
      </c>
    </row>
    <row r="1388" spans="1:18" x14ac:dyDescent="0.35">
      <c r="A1388">
        <v>1641</v>
      </c>
      <c r="B1388" t="s">
        <v>1482</v>
      </c>
      <c r="C1388" s="1">
        <v>45172.623611111114</v>
      </c>
      <c r="D1388" t="s">
        <v>16</v>
      </c>
      <c r="E1388" t="s">
        <v>178</v>
      </c>
      <c r="F1388" t="s">
        <v>1125</v>
      </c>
      <c r="G1388" t="s">
        <v>362</v>
      </c>
      <c r="H1388">
        <v>132</v>
      </c>
      <c r="I1388">
        <v>9</v>
      </c>
      <c r="J1388" t="s">
        <v>20</v>
      </c>
      <c r="K1388" t="s">
        <v>21</v>
      </c>
      <c r="L1388" t="s">
        <v>22</v>
      </c>
      <c r="M1388" t="s">
        <v>39</v>
      </c>
      <c r="N1388">
        <v>0</v>
      </c>
      <c r="O1388">
        <v>0</v>
      </c>
      <c r="P1388" s="8">
        <f>INT(Delivery_data[[#This Row],[Order Timestamp]])</f>
        <v>45172</v>
      </c>
      <c r="Q1388">
        <f ca="1">IF(Delivery_data[[#This Row],[Order Status]]="In Progress", TODAY()-Delivery_data[[#This Row],[Order Date]], "")</f>
        <v>811</v>
      </c>
      <c r="R1388">
        <f>IF(Delivery_data[[#This Row],[On Time]]=1,0,1)</f>
        <v>1</v>
      </c>
    </row>
    <row r="1389" spans="1:18" x14ac:dyDescent="0.35">
      <c r="A1389">
        <v>1646</v>
      </c>
      <c r="B1389" t="s">
        <v>1483</v>
      </c>
      <c r="C1389" s="1">
        <v>45175.652083333334</v>
      </c>
      <c r="D1389" t="s">
        <v>25</v>
      </c>
      <c r="E1389" t="s">
        <v>214</v>
      </c>
      <c r="F1389" t="s">
        <v>1125</v>
      </c>
      <c r="G1389" t="s">
        <v>362</v>
      </c>
      <c r="H1389">
        <v>97</v>
      </c>
      <c r="I1389">
        <v>5</v>
      </c>
      <c r="J1389" t="s">
        <v>35</v>
      </c>
      <c r="K1389" t="s">
        <v>38</v>
      </c>
      <c r="L1389" t="s">
        <v>22</v>
      </c>
      <c r="M1389" t="s">
        <v>30</v>
      </c>
      <c r="N1389">
        <v>0</v>
      </c>
      <c r="O1389">
        <v>1</v>
      </c>
      <c r="P1389" s="8">
        <f>INT(Delivery_data[[#This Row],[Order Timestamp]])</f>
        <v>45175</v>
      </c>
      <c r="Q1389" t="str">
        <f ca="1">IF(Delivery_data[[#This Row],[Order Status]]="In Progress", TODAY()-Delivery_data[[#This Row],[Order Date]], "")</f>
        <v/>
      </c>
      <c r="R1389">
        <f>IF(Delivery_data[[#This Row],[On Time]]=1,0,1)</f>
        <v>1</v>
      </c>
    </row>
    <row r="1390" spans="1:18" x14ac:dyDescent="0.35">
      <c r="A1390">
        <v>1656</v>
      </c>
      <c r="B1390" t="s">
        <v>1484</v>
      </c>
      <c r="C1390" s="1">
        <v>45170.401388888888</v>
      </c>
      <c r="D1390" t="s">
        <v>16</v>
      </c>
      <c r="E1390" t="s">
        <v>245</v>
      </c>
      <c r="F1390" t="s">
        <v>1125</v>
      </c>
      <c r="G1390" t="s">
        <v>463</v>
      </c>
      <c r="H1390">
        <v>152</v>
      </c>
      <c r="I1390">
        <v>20</v>
      </c>
      <c r="J1390" t="s">
        <v>35</v>
      </c>
      <c r="K1390" t="s">
        <v>38</v>
      </c>
      <c r="L1390" t="s">
        <v>22</v>
      </c>
      <c r="M1390" t="s">
        <v>23</v>
      </c>
      <c r="N1390">
        <v>0</v>
      </c>
      <c r="O1390">
        <v>1</v>
      </c>
      <c r="P1390" s="8">
        <f>INT(Delivery_data[[#This Row],[Order Timestamp]])</f>
        <v>45170</v>
      </c>
      <c r="Q1390">
        <f ca="1">IF(Delivery_data[[#This Row],[Order Status]]="In Progress", TODAY()-Delivery_data[[#This Row],[Order Date]], "")</f>
        <v>813</v>
      </c>
      <c r="R1390">
        <f>IF(Delivery_data[[#This Row],[On Time]]=1,0,1)</f>
        <v>1</v>
      </c>
    </row>
    <row r="1391" spans="1:18" x14ac:dyDescent="0.35">
      <c r="A1391">
        <v>1673</v>
      </c>
      <c r="B1391" t="s">
        <v>1485</v>
      </c>
      <c r="C1391" s="1">
        <v>45174.352777777778</v>
      </c>
      <c r="D1391" t="s">
        <v>16</v>
      </c>
      <c r="E1391" t="s">
        <v>126</v>
      </c>
      <c r="F1391" t="s">
        <v>1125</v>
      </c>
      <c r="G1391" t="s">
        <v>19</v>
      </c>
      <c r="H1391">
        <v>115</v>
      </c>
      <c r="I1391">
        <v>6</v>
      </c>
      <c r="J1391" t="s">
        <v>35</v>
      </c>
      <c r="K1391" t="s">
        <v>33</v>
      </c>
      <c r="L1391" t="s">
        <v>22</v>
      </c>
      <c r="M1391" t="s">
        <v>30</v>
      </c>
      <c r="N1391">
        <v>0</v>
      </c>
      <c r="O1391">
        <v>1</v>
      </c>
      <c r="P1391" s="8">
        <f>INT(Delivery_data[[#This Row],[Order Timestamp]])</f>
        <v>45174</v>
      </c>
      <c r="Q1391">
        <f ca="1">IF(Delivery_data[[#This Row],[Order Status]]="In Progress", TODAY()-Delivery_data[[#This Row],[Order Date]], "")</f>
        <v>809</v>
      </c>
      <c r="R1391">
        <f>IF(Delivery_data[[#This Row],[On Time]]=1,0,1)</f>
        <v>1</v>
      </c>
    </row>
    <row r="1392" spans="1:18" x14ac:dyDescent="0.35">
      <c r="A1392">
        <v>1687</v>
      </c>
      <c r="B1392" t="s">
        <v>1486</v>
      </c>
      <c r="C1392" s="1">
        <v>45174.37777777778</v>
      </c>
      <c r="D1392" t="s">
        <v>16</v>
      </c>
      <c r="E1392" t="s">
        <v>287</v>
      </c>
      <c r="F1392" t="s">
        <v>1125</v>
      </c>
      <c r="G1392" t="s">
        <v>362</v>
      </c>
      <c r="H1392">
        <v>100</v>
      </c>
      <c r="I1392">
        <v>28</v>
      </c>
      <c r="J1392" t="s">
        <v>20</v>
      </c>
      <c r="K1392" t="s">
        <v>33</v>
      </c>
      <c r="L1392" t="s">
        <v>22</v>
      </c>
      <c r="M1392" t="s">
        <v>23</v>
      </c>
      <c r="N1392">
        <v>0</v>
      </c>
      <c r="O1392">
        <v>0</v>
      </c>
      <c r="P1392" s="8">
        <f>INT(Delivery_data[[#This Row],[Order Timestamp]])</f>
        <v>45174</v>
      </c>
      <c r="Q1392">
        <f ca="1">IF(Delivery_data[[#This Row],[Order Status]]="In Progress", TODAY()-Delivery_data[[#This Row],[Order Date]], "")</f>
        <v>809</v>
      </c>
      <c r="R1392">
        <f>IF(Delivery_data[[#This Row],[On Time]]=1,0,1)</f>
        <v>1</v>
      </c>
    </row>
    <row r="1393" spans="1:18" x14ac:dyDescent="0.35">
      <c r="A1393">
        <v>1703</v>
      </c>
      <c r="B1393" t="s">
        <v>1487</v>
      </c>
      <c r="C1393" s="1">
        <v>45175.525694444441</v>
      </c>
      <c r="D1393" t="s">
        <v>16</v>
      </c>
      <c r="E1393" t="s">
        <v>115</v>
      </c>
      <c r="F1393" t="s">
        <v>1125</v>
      </c>
      <c r="G1393" t="s">
        <v>557</v>
      </c>
      <c r="H1393">
        <v>90</v>
      </c>
      <c r="I1393">
        <v>13</v>
      </c>
      <c r="J1393" t="s">
        <v>27</v>
      </c>
      <c r="K1393" t="s">
        <v>21</v>
      </c>
      <c r="L1393" t="s">
        <v>22</v>
      </c>
      <c r="M1393" t="s">
        <v>30</v>
      </c>
      <c r="N1393">
        <v>0</v>
      </c>
      <c r="O1393">
        <v>0</v>
      </c>
      <c r="P1393" s="8">
        <f>INT(Delivery_data[[#This Row],[Order Timestamp]])</f>
        <v>45175</v>
      </c>
      <c r="Q1393">
        <f ca="1">IF(Delivery_data[[#This Row],[Order Status]]="In Progress", TODAY()-Delivery_data[[#This Row],[Order Date]], "")</f>
        <v>808</v>
      </c>
      <c r="R1393">
        <f>IF(Delivery_data[[#This Row],[On Time]]=1,0,1)</f>
        <v>1</v>
      </c>
    </row>
    <row r="1394" spans="1:18" x14ac:dyDescent="0.35">
      <c r="A1394">
        <v>1719</v>
      </c>
      <c r="B1394" t="s">
        <v>1488</v>
      </c>
      <c r="C1394" s="1">
        <v>45176.361805555556</v>
      </c>
      <c r="D1394" t="s">
        <v>25</v>
      </c>
      <c r="E1394" t="s">
        <v>110</v>
      </c>
      <c r="F1394" t="s">
        <v>1125</v>
      </c>
      <c r="G1394" t="s">
        <v>362</v>
      </c>
      <c r="H1394">
        <v>209</v>
      </c>
      <c r="I1394">
        <v>21</v>
      </c>
      <c r="J1394" t="s">
        <v>35</v>
      </c>
      <c r="K1394" t="s">
        <v>28</v>
      </c>
      <c r="L1394" t="s">
        <v>22</v>
      </c>
      <c r="M1394" t="s">
        <v>39</v>
      </c>
      <c r="N1394">
        <v>0</v>
      </c>
      <c r="O1394">
        <v>1</v>
      </c>
      <c r="P1394" s="8">
        <f>INT(Delivery_data[[#This Row],[Order Timestamp]])</f>
        <v>45176</v>
      </c>
      <c r="Q1394" t="str">
        <f ca="1">IF(Delivery_data[[#This Row],[Order Status]]="In Progress", TODAY()-Delivery_data[[#This Row],[Order Date]], "")</f>
        <v/>
      </c>
      <c r="R1394">
        <f>IF(Delivery_data[[#This Row],[On Time]]=1,0,1)</f>
        <v>1</v>
      </c>
    </row>
    <row r="1395" spans="1:18" x14ac:dyDescent="0.35">
      <c r="A1395">
        <v>1728</v>
      </c>
      <c r="B1395" t="s">
        <v>1489</v>
      </c>
      <c r="C1395" s="1">
        <v>45172.57916666667</v>
      </c>
      <c r="D1395" t="s">
        <v>25</v>
      </c>
      <c r="E1395" t="s">
        <v>62</v>
      </c>
      <c r="F1395" t="s">
        <v>1125</v>
      </c>
      <c r="G1395" t="s">
        <v>557</v>
      </c>
      <c r="H1395">
        <v>203</v>
      </c>
      <c r="I1395">
        <v>16</v>
      </c>
      <c r="J1395" t="s">
        <v>27</v>
      </c>
      <c r="K1395" t="s">
        <v>38</v>
      </c>
      <c r="L1395" t="s">
        <v>22</v>
      </c>
      <c r="M1395" t="s">
        <v>30</v>
      </c>
      <c r="N1395">
        <v>0</v>
      </c>
      <c r="O1395">
        <v>0</v>
      </c>
      <c r="P1395" s="8">
        <f>INT(Delivery_data[[#This Row],[Order Timestamp]])</f>
        <v>45172</v>
      </c>
      <c r="Q1395" t="str">
        <f ca="1">IF(Delivery_data[[#This Row],[Order Status]]="In Progress", TODAY()-Delivery_data[[#This Row],[Order Date]], "")</f>
        <v/>
      </c>
      <c r="R1395">
        <f>IF(Delivery_data[[#This Row],[On Time]]=1,0,1)</f>
        <v>1</v>
      </c>
    </row>
    <row r="1396" spans="1:18" x14ac:dyDescent="0.35">
      <c r="A1396">
        <v>1754</v>
      </c>
      <c r="B1396" t="s">
        <v>1490</v>
      </c>
      <c r="C1396" s="1">
        <v>45173.479166666664</v>
      </c>
      <c r="D1396" t="s">
        <v>25</v>
      </c>
      <c r="E1396" t="s">
        <v>98</v>
      </c>
      <c r="F1396" t="s">
        <v>1125</v>
      </c>
      <c r="G1396" t="s">
        <v>557</v>
      </c>
      <c r="H1396">
        <v>145</v>
      </c>
      <c r="I1396">
        <v>23</v>
      </c>
      <c r="J1396" t="s">
        <v>27</v>
      </c>
      <c r="K1396" t="s">
        <v>21</v>
      </c>
      <c r="L1396" t="s">
        <v>22</v>
      </c>
      <c r="M1396" t="s">
        <v>30</v>
      </c>
      <c r="N1396">
        <v>0</v>
      </c>
      <c r="O1396">
        <v>0</v>
      </c>
      <c r="P1396" s="8">
        <f>INT(Delivery_data[[#This Row],[Order Timestamp]])</f>
        <v>45173</v>
      </c>
      <c r="Q1396" t="str">
        <f ca="1">IF(Delivery_data[[#This Row],[Order Status]]="In Progress", TODAY()-Delivery_data[[#This Row],[Order Date]], "")</f>
        <v/>
      </c>
      <c r="R1396">
        <f>IF(Delivery_data[[#This Row],[On Time]]=1,0,1)</f>
        <v>1</v>
      </c>
    </row>
    <row r="1397" spans="1:18" x14ac:dyDescent="0.35">
      <c r="A1397">
        <v>1757</v>
      </c>
      <c r="B1397" t="s">
        <v>1491</v>
      </c>
      <c r="C1397" s="1">
        <v>45174.45208333333</v>
      </c>
      <c r="D1397" t="s">
        <v>25</v>
      </c>
      <c r="E1397" t="s">
        <v>320</v>
      </c>
      <c r="F1397" t="s">
        <v>1125</v>
      </c>
      <c r="G1397" t="s">
        <v>233</v>
      </c>
      <c r="H1397">
        <v>109</v>
      </c>
      <c r="I1397">
        <v>17</v>
      </c>
      <c r="J1397" t="s">
        <v>35</v>
      </c>
      <c r="K1397" t="s">
        <v>33</v>
      </c>
      <c r="L1397" t="s">
        <v>22</v>
      </c>
      <c r="M1397" t="s">
        <v>30</v>
      </c>
      <c r="N1397">
        <v>0</v>
      </c>
      <c r="O1397">
        <v>1</v>
      </c>
      <c r="P1397" s="8">
        <f>INT(Delivery_data[[#This Row],[Order Timestamp]])</f>
        <v>45174</v>
      </c>
      <c r="Q1397" t="str">
        <f ca="1">IF(Delivery_data[[#This Row],[Order Status]]="In Progress", TODAY()-Delivery_data[[#This Row],[Order Date]], "")</f>
        <v/>
      </c>
      <c r="R1397">
        <f>IF(Delivery_data[[#This Row],[On Time]]=1,0,1)</f>
        <v>1</v>
      </c>
    </row>
    <row r="1398" spans="1:18" x14ac:dyDescent="0.35">
      <c r="A1398">
        <v>1781</v>
      </c>
      <c r="B1398" t="s">
        <v>1492</v>
      </c>
      <c r="C1398" s="1">
        <v>45176.594444444447</v>
      </c>
      <c r="D1398" t="s">
        <v>16</v>
      </c>
      <c r="E1398" t="s">
        <v>653</v>
      </c>
      <c r="F1398" t="s">
        <v>1125</v>
      </c>
      <c r="G1398" t="s">
        <v>557</v>
      </c>
      <c r="H1398">
        <v>153</v>
      </c>
      <c r="I1398">
        <v>5</v>
      </c>
      <c r="J1398" t="s">
        <v>20</v>
      </c>
      <c r="K1398" t="s">
        <v>38</v>
      </c>
      <c r="L1398" t="s">
        <v>22</v>
      </c>
      <c r="M1398" t="s">
        <v>30</v>
      </c>
      <c r="N1398">
        <v>0</v>
      </c>
      <c r="O1398">
        <v>0</v>
      </c>
      <c r="P1398" s="8">
        <f>INT(Delivery_data[[#This Row],[Order Timestamp]])</f>
        <v>45176</v>
      </c>
      <c r="Q1398">
        <f ca="1">IF(Delivery_data[[#This Row],[Order Status]]="In Progress", TODAY()-Delivery_data[[#This Row],[Order Date]], "")</f>
        <v>807</v>
      </c>
      <c r="R1398">
        <f>IF(Delivery_data[[#This Row],[On Time]]=1,0,1)</f>
        <v>1</v>
      </c>
    </row>
    <row r="1399" spans="1:18" x14ac:dyDescent="0.35">
      <c r="A1399">
        <v>1785</v>
      </c>
      <c r="B1399" t="s">
        <v>1493</v>
      </c>
      <c r="C1399" s="1">
        <v>45171.559027777781</v>
      </c>
      <c r="D1399" t="s">
        <v>25</v>
      </c>
      <c r="E1399" t="s">
        <v>96</v>
      </c>
      <c r="F1399" t="s">
        <v>1125</v>
      </c>
      <c r="G1399" t="s">
        <v>233</v>
      </c>
      <c r="H1399">
        <v>143</v>
      </c>
      <c r="I1399">
        <v>21</v>
      </c>
      <c r="J1399" t="s">
        <v>35</v>
      </c>
      <c r="K1399" t="s">
        <v>33</v>
      </c>
      <c r="L1399" t="s">
        <v>22</v>
      </c>
      <c r="M1399" t="s">
        <v>23</v>
      </c>
      <c r="N1399">
        <v>0</v>
      </c>
      <c r="O1399">
        <v>1</v>
      </c>
      <c r="P1399" s="8">
        <f>INT(Delivery_data[[#This Row],[Order Timestamp]])</f>
        <v>45171</v>
      </c>
      <c r="Q1399" t="str">
        <f ca="1">IF(Delivery_data[[#This Row],[Order Status]]="In Progress", TODAY()-Delivery_data[[#This Row],[Order Date]], "")</f>
        <v/>
      </c>
      <c r="R1399">
        <f>IF(Delivery_data[[#This Row],[On Time]]=1,0,1)</f>
        <v>1</v>
      </c>
    </row>
    <row r="1400" spans="1:18" x14ac:dyDescent="0.35">
      <c r="A1400">
        <v>1797</v>
      </c>
      <c r="B1400" t="s">
        <v>1494</v>
      </c>
      <c r="C1400" s="1">
        <v>45173.410416666666</v>
      </c>
      <c r="D1400" t="s">
        <v>16</v>
      </c>
      <c r="E1400" t="s">
        <v>89</v>
      </c>
      <c r="F1400" t="s">
        <v>1125</v>
      </c>
      <c r="G1400" t="s">
        <v>233</v>
      </c>
      <c r="H1400">
        <v>208</v>
      </c>
      <c r="I1400">
        <v>6</v>
      </c>
      <c r="J1400" t="s">
        <v>27</v>
      </c>
      <c r="K1400" t="s">
        <v>38</v>
      </c>
      <c r="L1400" t="s">
        <v>22</v>
      </c>
      <c r="M1400" t="s">
        <v>23</v>
      </c>
      <c r="N1400">
        <v>0</v>
      </c>
      <c r="O1400">
        <v>0</v>
      </c>
      <c r="P1400" s="8">
        <f>INT(Delivery_data[[#This Row],[Order Timestamp]])</f>
        <v>45173</v>
      </c>
      <c r="Q1400">
        <f ca="1">IF(Delivery_data[[#This Row],[Order Status]]="In Progress", TODAY()-Delivery_data[[#This Row],[Order Date]], "")</f>
        <v>810</v>
      </c>
      <c r="R1400">
        <f>IF(Delivery_data[[#This Row],[On Time]]=1,0,1)</f>
        <v>1</v>
      </c>
    </row>
    <row r="1401" spans="1:18" x14ac:dyDescent="0.35">
      <c r="A1401">
        <v>1800</v>
      </c>
      <c r="B1401" t="s">
        <v>1495</v>
      </c>
      <c r="C1401" s="1">
        <v>45175.559027777781</v>
      </c>
      <c r="D1401" t="s">
        <v>16</v>
      </c>
      <c r="E1401" t="s">
        <v>32</v>
      </c>
      <c r="F1401" t="s">
        <v>1125</v>
      </c>
      <c r="G1401" t="s">
        <v>463</v>
      </c>
      <c r="H1401">
        <v>87</v>
      </c>
      <c r="I1401">
        <v>14</v>
      </c>
      <c r="J1401" t="s">
        <v>35</v>
      </c>
      <c r="K1401" t="s">
        <v>33</v>
      </c>
      <c r="L1401" t="s">
        <v>22</v>
      </c>
      <c r="M1401" t="s">
        <v>39</v>
      </c>
      <c r="N1401">
        <v>0</v>
      </c>
      <c r="O1401">
        <v>1</v>
      </c>
      <c r="P1401" s="8">
        <f>INT(Delivery_data[[#This Row],[Order Timestamp]])</f>
        <v>45175</v>
      </c>
      <c r="Q1401">
        <f ca="1">IF(Delivery_data[[#This Row],[Order Status]]="In Progress", TODAY()-Delivery_data[[#This Row],[Order Date]], "")</f>
        <v>808</v>
      </c>
      <c r="R1401">
        <f>IF(Delivery_data[[#This Row],[On Time]]=1,0,1)</f>
        <v>1</v>
      </c>
    </row>
    <row r="1402" spans="1:18" x14ac:dyDescent="0.35">
      <c r="A1402">
        <v>1804</v>
      </c>
      <c r="B1402" t="s">
        <v>1496</v>
      </c>
      <c r="C1402" s="1">
        <v>45176.420138888891</v>
      </c>
      <c r="D1402" t="s">
        <v>16</v>
      </c>
      <c r="E1402" t="s">
        <v>60</v>
      </c>
      <c r="F1402" t="s">
        <v>1125</v>
      </c>
      <c r="G1402" t="s">
        <v>463</v>
      </c>
      <c r="H1402">
        <v>168</v>
      </c>
      <c r="I1402">
        <v>17</v>
      </c>
      <c r="J1402" t="s">
        <v>35</v>
      </c>
      <c r="K1402" t="s">
        <v>51</v>
      </c>
      <c r="L1402" t="s">
        <v>22</v>
      </c>
      <c r="M1402" t="s">
        <v>30</v>
      </c>
      <c r="N1402">
        <v>0</v>
      </c>
      <c r="O1402">
        <v>1</v>
      </c>
      <c r="P1402" s="8">
        <f>INT(Delivery_data[[#This Row],[Order Timestamp]])</f>
        <v>45176</v>
      </c>
      <c r="Q1402">
        <f ca="1">IF(Delivery_data[[#This Row],[Order Status]]="In Progress", TODAY()-Delivery_data[[#This Row],[Order Date]], "")</f>
        <v>807</v>
      </c>
      <c r="R1402">
        <f>IF(Delivery_data[[#This Row],[On Time]]=1,0,1)</f>
        <v>1</v>
      </c>
    </row>
    <row r="1403" spans="1:18" x14ac:dyDescent="0.35">
      <c r="A1403">
        <v>1805</v>
      </c>
      <c r="B1403" t="s">
        <v>1497</v>
      </c>
      <c r="C1403" s="1">
        <v>45170.557638888888</v>
      </c>
      <c r="D1403" t="s">
        <v>16</v>
      </c>
      <c r="E1403" t="s">
        <v>72</v>
      </c>
      <c r="F1403" t="s">
        <v>1125</v>
      </c>
      <c r="G1403" t="s">
        <v>557</v>
      </c>
      <c r="H1403">
        <v>153</v>
      </c>
      <c r="I1403">
        <v>3</v>
      </c>
      <c r="J1403" t="s">
        <v>20</v>
      </c>
      <c r="K1403" t="s">
        <v>38</v>
      </c>
      <c r="L1403" t="s">
        <v>22</v>
      </c>
      <c r="M1403" t="s">
        <v>30</v>
      </c>
      <c r="N1403">
        <v>0</v>
      </c>
      <c r="O1403">
        <v>0</v>
      </c>
      <c r="P1403" s="8">
        <f>INT(Delivery_data[[#This Row],[Order Timestamp]])</f>
        <v>45170</v>
      </c>
      <c r="Q1403">
        <f ca="1">IF(Delivery_data[[#This Row],[Order Status]]="In Progress", TODAY()-Delivery_data[[#This Row],[Order Date]], "")</f>
        <v>813</v>
      </c>
      <c r="R1403">
        <f>IF(Delivery_data[[#This Row],[On Time]]=1,0,1)</f>
        <v>1</v>
      </c>
    </row>
    <row r="1404" spans="1:18" x14ac:dyDescent="0.35">
      <c r="A1404">
        <v>1809</v>
      </c>
      <c r="B1404" t="s">
        <v>1498</v>
      </c>
      <c r="C1404" s="1">
        <v>45174.488194444442</v>
      </c>
      <c r="D1404" t="s">
        <v>25</v>
      </c>
      <c r="E1404" t="s">
        <v>44</v>
      </c>
      <c r="F1404" t="s">
        <v>1125</v>
      </c>
      <c r="G1404" t="s">
        <v>362</v>
      </c>
      <c r="H1404">
        <v>81</v>
      </c>
      <c r="I1404">
        <v>12</v>
      </c>
      <c r="J1404" t="s">
        <v>35</v>
      </c>
      <c r="K1404" t="s">
        <v>21</v>
      </c>
      <c r="L1404" t="s">
        <v>22</v>
      </c>
      <c r="M1404" t="s">
        <v>30</v>
      </c>
      <c r="N1404">
        <v>0</v>
      </c>
      <c r="O1404">
        <v>1</v>
      </c>
      <c r="P1404" s="8">
        <f>INT(Delivery_data[[#This Row],[Order Timestamp]])</f>
        <v>45174</v>
      </c>
      <c r="Q1404" t="str">
        <f ca="1">IF(Delivery_data[[#This Row],[Order Status]]="In Progress", TODAY()-Delivery_data[[#This Row],[Order Date]], "")</f>
        <v/>
      </c>
      <c r="R1404">
        <f>IF(Delivery_data[[#This Row],[On Time]]=1,0,1)</f>
        <v>1</v>
      </c>
    </row>
    <row r="1405" spans="1:18" x14ac:dyDescent="0.35">
      <c r="A1405">
        <v>1811</v>
      </c>
      <c r="B1405" t="s">
        <v>1499</v>
      </c>
      <c r="C1405" s="1">
        <v>45170.598611111112</v>
      </c>
      <c r="D1405" t="s">
        <v>16</v>
      </c>
      <c r="E1405" t="s">
        <v>70</v>
      </c>
      <c r="F1405" t="s">
        <v>1125</v>
      </c>
      <c r="G1405" t="s">
        <v>557</v>
      </c>
      <c r="H1405">
        <v>176</v>
      </c>
      <c r="I1405">
        <v>24</v>
      </c>
      <c r="J1405" t="s">
        <v>35</v>
      </c>
      <c r="K1405" t="s">
        <v>51</v>
      </c>
      <c r="L1405" t="s">
        <v>22</v>
      </c>
      <c r="M1405" t="s">
        <v>30</v>
      </c>
      <c r="N1405">
        <v>0</v>
      </c>
      <c r="O1405">
        <v>1</v>
      </c>
      <c r="P1405" s="8">
        <f>INT(Delivery_data[[#This Row],[Order Timestamp]])</f>
        <v>45170</v>
      </c>
      <c r="Q1405">
        <f ca="1">IF(Delivery_data[[#This Row],[Order Status]]="In Progress", TODAY()-Delivery_data[[#This Row],[Order Date]], "")</f>
        <v>813</v>
      </c>
      <c r="R1405">
        <f>IF(Delivery_data[[#This Row],[On Time]]=1,0,1)</f>
        <v>1</v>
      </c>
    </row>
    <row r="1406" spans="1:18" x14ac:dyDescent="0.35">
      <c r="A1406">
        <v>1833</v>
      </c>
      <c r="B1406" t="s">
        <v>1500</v>
      </c>
      <c r="C1406" s="1">
        <v>45170.494444444441</v>
      </c>
      <c r="D1406" t="s">
        <v>25</v>
      </c>
      <c r="E1406" t="s">
        <v>94</v>
      </c>
      <c r="F1406" t="s">
        <v>1125</v>
      </c>
      <c r="G1406" t="s">
        <v>19</v>
      </c>
      <c r="H1406">
        <v>219</v>
      </c>
      <c r="I1406">
        <v>1</v>
      </c>
      <c r="J1406" t="s">
        <v>27</v>
      </c>
      <c r="K1406" t="s">
        <v>38</v>
      </c>
      <c r="L1406" t="s">
        <v>22</v>
      </c>
      <c r="M1406" t="s">
        <v>30</v>
      </c>
      <c r="N1406">
        <v>0</v>
      </c>
      <c r="O1406">
        <v>0</v>
      </c>
      <c r="P1406" s="8">
        <f>INT(Delivery_data[[#This Row],[Order Timestamp]])</f>
        <v>45170</v>
      </c>
      <c r="Q1406" t="str">
        <f ca="1">IF(Delivery_data[[#This Row],[Order Status]]="In Progress", TODAY()-Delivery_data[[#This Row],[Order Date]], "")</f>
        <v/>
      </c>
      <c r="R1406">
        <f>IF(Delivery_data[[#This Row],[On Time]]=1,0,1)</f>
        <v>1</v>
      </c>
    </row>
    <row r="1407" spans="1:18" x14ac:dyDescent="0.35">
      <c r="A1407">
        <v>1856</v>
      </c>
      <c r="B1407" t="s">
        <v>1501</v>
      </c>
      <c r="C1407" s="1">
        <v>45173.505555555559</v>
      </c>
      <c r="D1407" t="s">
        <v>16</v>
      </c>
      <c r="E1407" t="s">
        <v>78</v>
      </c>
      <c r="F1407" t="s">
        <v>1125</v>
      </c>
      <c r="G1407" t="s">
        <v>19</v>
      </c>
      <c r="H1407">
        <v>122</v>
      </c>
      <c r="I1407">
        <v>5</v>
      </c>
      <c r="J1407" t="s">
        <v>27</v>
      </c>
      <c r="K1407" t="s">
        <v>28</v>
      </c>
      <c r="L1407" t="s">
        <v>22</v>
      </c>
      <c r="M1407" t="s">
        <v>30</v>
      </c>
      <c r="N1407">
        <v>0</v>
      </c>
      <c r="O1407">
        <v>0</v>
      </c>
      <c r="P1407" s="8">
        <f>INT(Delivery_data[[#This Row],[Order Timestamp]])</f>
        <v>45173</v>
      </c>
      <c r="Q1407">
        <f ca="1">IF(Delivery_data[[#This Row],[Order Status]]="In Progress", TODAY()-Delivery_data[[#This Row],[Order Date]], "")</f>
        <v>810</v>
      </c>
      <c r="R1407">
        <f>IF(Delivery_data[[#This Row],[On Time]]=1,0,1)</f>
        <v>1</v>
      </c>
    </row>
    <row r="1408" spans="1:18" x14ac:dyDescent="0.35">
      <c r="A1408">
        <v>1858</v>
      </c>
      <c r="B1408" t="s">
        <v>1502</v>
      </c>
      <c r="C1408" s="1">
        <v>45176.507638888892</v>
      </c>
      <c r="D1408" t="s">
        <v>25</v>
      </c>
      <c r="E1408" t="s">
        <v>70</v>
      </c>
      <c r="F1408" t="s">
        <v>1125</v>
      </c>
      <c r="G1408" t="s">
        <v>362</v>
      </c>
      <c r="H1408">
        <v>153</v>
      </c>
      <c r="I1408">
        <v>20</v>
      </c>
      <c r="J1408" t="s">
        <v>35</v>
      </c>
      <c r="K1408" t="s">
        <v>38</v>
      </c>
      <c r="L1408" t="s">
        <v>22</v>
      </c>
      <c r="M1408" t="s">
        <v>23</v>
      </c>
      <c r="N1408">
        <v>0</v>
      </c>
      <c r="O1408">
        <v>1</v>
      </c>
      <c r="P1408" s="8">
        <f>INT(Delivery_data[[#This Row],[Order Timestamp]])</f>
        <v>45176</v>
      </c>
      <c r="Q1408" t="str">
        <f ca="1">IF(Delivery_data[[#This Row],[Order Status]]="In Progress", TODAY()-Delivery_data[[#This Row],[Order Date]], "")</f>
        <v/>
      </c>
      <c r="R1408">
        <f>IF(Delivery_data[[#This Row],[On Time]]=1,0,1)</f>
        <v>1</v>
      </c>
    </row>
    <row r="1409" spans="1:18" x14ac:dyDescent="0.35">
      <c r="A1409">
        <v>1860</v>
      </c>
      <c r="B1409" t="s">
        <v>1503</v>
      </c>
      <c r="C1409" s="1">
        <v>45174.362500000003</v>
      </c>
      <c r="D1409" t="s">
        <v>25</v>
      </c>
      <c r="E1409" t="s">
        <v>161</v>
      </c>
      <c r="F1409" t="s">
        <v>1125</v>
      </c>
      <c r="G1409" t="s">
        <v>557</v>
      </c>
      <c r="H1409">
        <v>222</v>
      </c>
      <c r="I1409">
        <v>22</v>
      </c>
      <c r="J1409" t="s">
        <v>35</v>
      </c>
      <c r="K1409" t="s">
        <v>28</v>
      </c>
      <c r="L1409" t="s">
        <v>22</v>
      </c>
      <c r="M1409" t="s">
        <v>39</v>
      </c>
      <c r="N1409">
        <v>0</v>
      </c>
      <c r="O1409">
        <v>1</v>
      </c>
      <c r="P1409" s="8">
        <f>INT(Delivery_data[[#This Row],[Order Timestamp]])</f>
        <v>45174</v>
      </c>
      <c r="Q1409" t="str">
        <f ca="1">IF(Delivery_data[[#This Row],[Order Status]]="In Progress", TODAY()-Delivery_data[[#This Row],[Order Date]], "")</f>
        <v/>
      </c>
      <c r="R1409">
        <f>IF(Delivery_data[[#This Row],[On Time]]=1,0,1)</f>
        <v>1</v>
      </c>
    </row>
    <row r="1410" spans="1:18" x14ac:dyDescent="0.35">
      <c r="A1410">
        <v>1877</v>
      </c>
      <c r="B1410" t="s">
        <v>1504</v>
      </c>
      <c r="C1410" s="1">
        <v>45177.511805555558</v>
      </c>
      <c r="D1410" t="s">
        <v>16</v>
      </c>
      <c r="E1410" t="s">
        <v>175</v>
      </c>
      <c r="F1410" t="s">
        <v>1125</v>
      </c>
      <c r="G1410" t="s">
        <v>463</v>
      </c>
      <c r="H1410">
        <v>219</v>
      </c>
      <c r="I1410">
        <v>12</v>
      </c>
      <c r="J1410" t="s">
        <v>20</v>
      </c>
      <c r="K1410" t="s">
        <v>51</v>
      </c>
      <c r="L1410" t="s">
        <v>22</v>
      </c>
      <c r="M1410" t="s">
        <v>30</v>
      </c>
      <c r="N1410">
        <v>0</v>
      </c>
      <c r="O1410">
        <v>0</v>
      </c>
      <c r="P1410" s="8">
        <f>INT(Delivery_data[[#This Row],[Order Timestamp]])</f>
        <v>45177</v>
      </c>
      <c r="Q1410">
        <f ca="1">IF(Delivery_data[[#This Row],[Order Status]]="In Progress", TODAY()-Delivery_data[[#This Row],[Order Date]], "")</f>
        <v>806</v>
      </c>
      <c r="R1410">
        <f>IF(Delivery_data[[#This Row],[On Time]]=1,0,1)</f>
        <v>1</v>
      </c>
    </row>
    <row r="1411" spans="1:18" x14ac:dyDescent="0.35">
      <c r="A1411">
        <v>1881</v>
      </c>
      <c r="B1411" t="s">
        <v>1505</v>
      </c>
      <c r="C1411" s="1">
        <v>45172.580555555556</v>
      </c>
      <c r="D1411" t="s">
        <v>25</v>
      </c>
      <c r="E1411" t="s">
        <v>279</v>
      </c>
      <c r="F1411" t="s">
        <v>1125</v>
      </c>
      <c r="G1411" t="s">
        <v>463</v>
      </c>
      <c r="H1411">
        <v>228</v>
      </c>
      <c r="I1411">
        <v>13</v>
      </c>
      <c r="J1411" t="s">
        <v>35</v>
      </c>
      <c r="K1411" t="s">
        <v>38</v>
      </c>
      <c r="L1411" t="s">
        <v>22</v>
      </c>
      <c r="M1411" t="s">
        <v>39</v>
      </c>
      <c r="N1411">
        <v>0</v>
      </c>
      <c r="O1411">
        <v>1</v>
      </c>
      <c r="P1411" s="8">
        <f>INT(Delivery_data[[#This Row],[Order Timestamp]])</f>
        <v>45172</v>
      </c>
      <c r="Q1411" t="str">
        <f ca="1">IF(Delivery_data[[#This Row],[Order Status]]="In Progress", TODAY()-Delivery_data[[#This Row],[Order Date]], "")</f>
        <v/>
      </c>
      <c r="R1411">
        <f>IF(Delivery_data[[#This Row],[On Time]]=1,0,1)</f>
        <v>1</v>
      </c>
    </row>
    <row r="1412" spans="1:18" x14ac:dyDescent="0.35">
      <c r="A1412">
        <v>1887</v>
      </c>
      <c r="B1412" t="s">
        <v>1506</v>
      </c>
      <c r="C1412" s="1">
        <v>45170.540277777778</v>
      </c>
      <c r="D1412" t="s">
        <v>25</v>
      </c>
      <c r="E1412" t="s">
        <v>134</v>
      </c>
      <c r="F1412" t="s">
        <v>1125</v>
      </c>
      <c r="G1412" t="s">
        <v>362</v>
      </c>
      <c r="H1412">
        <v>123</v>
      </c>
      <c r="I1412">
        <v>19</v>
      </c>
      <c r="J1412" t="s">
        <v>35</v>
      </c>
      <c r="K1412" t="s">
        <v>38</v>
      </c>
      <c r="L1412" t="s">
        <v>22</v>
      </c>
      <c r="M1412" t="s">
        <v>39</v>
      </c>
      <c r="N1412">
        <v>0</v>
      </c>
      <c r="O1412">
        <v>1</v>
      </c>
      <c r="P1412" s="8">
        <f>INT(Delivery_data[[#This Row],[Order Timestamp]])</f>
        <v>45170</v>
      </c>
      <c r="Q1412" t="str">
        <f ca="1">IF(Delivery_data[[#This Row],[Order Status]]="In Progress", TODAY()-Delivery_data[[#This Row],[Order Date]], "")</f>
        <v/>
      </c>
      <c r="R1412">
        <f>IF(Delivery_data[[#This Row],[On Time]]=1,0,1)</f>
        <v>1</v>
      </c>
    </row>
    <row r="1413" spans="1:18" x14ac:dyDescent="0.35">
      <c r="A1413">
        <v>1893</v>
      </c>
      <c r="B1413" t="s">
        <v>1507</v>
      </c>
      <c r="C1413" s="1">
        <v>45172.662499999999</v>
      </c>
      <c r="D1413" t="s">
        <v>25</v>
      </c>
      <c r="E1413" t="s">
        <v>172</v>
      </c>
      <c r="F1413" t="s">
        <v>1125</v>
      </c>
      <c r="G1413" t="s">
        <v>19</v>
      </c>
      <c r="H1413">
        <v>164</v>
      </c>
      <c r="I1413">
        <v>10</v>
      </c>
      <c r="J1413" t="s">
        <v>20</v>
      </c>
      <c r="K1413" t="s">
        <v>21</v>
      </c>
      <c r="L1413" t="s">
        <v>22</v>
      </c>
      <c r="M1413" t="s">
        <v>30</v>
      </c>
      <c r="N1413">
        <v>0</v>
      </c>
      <c r="O1413">
        <v>0</v>
      </c>
      <c r="P1413" s="8">
        <f>INT(Delivery_data[[#This Row],[Order Timestamp]])</f>
        <v>45172</v>
      </c>
      <c r="Q1413" t="str">
        <f ca="1">IF(Delivery_data[[#This Row],[Order Status]]="In Progress", TODAY()-Delivery_data[[#This Row],[Order Date]], "")</f>
        <v/>
      </c>
      <c r="R1413">
        <f>IF(Delivery_data[[#This Row],[On Time]]=1,0,1)</f>
        <v>1</v>
      </c>
    </row>
    <row r="1414" spans="1:18" x14ac:dyDescent="0.35">
      <c r="A1414">
        <v>1900</v>
      </c>
      <c r="B1414" t="s">
        <v>1508</v>
      </c>
      <c r="C1414" s="1">
        <v>45171.70208333333</v>
      </c>
      <c r="D1414" t="s">
        <v>25</v>
      </c>
      <c r="E1414" t="s">
        <v>37</v>
      </c>
      <c r="F1414" t="s">
        <v>1125</v>
      </c>
      <c r="G1414" t="s">
        <v>19</v>
      </c>
      <c r="H1414">
        <v>226</v>
      </c>
      <c r="I1414">
        <v>12</v>
      </c>
      <c r="J1414" t="s">
        <v>20</v>
      </c>
      <c r="K1414" t="s">
        <v>51</v>
      </c>
      <c r="L1414" t="s">
        <v>22</v>
      </c>
      <c r="M1414" t="s">
        <v>30</v>
      </c>
      <c r="N1414">
        <v>0</v>
      </c>
      <c r="O1414">
        <v>0</v>
      </c>
      <c r="P1414" s="8">
        <f>INT(Delivery_data[[#This Row],[Order Timestamp]])</f>
        <v>45171</v>
      </c>
      <c r="Q1414" t="str">
        <f ca="1">IF(Delivery_data[[#This Row],[Order Status]]="In Progress", TODAY()-Delivery_data[[#This Row],[Order Date]], "")</f>
        <v/>
      </c>
      <c r="R1414">
        <f>IF(Delivery_data[[#This Row],[On Time]]=1,0,1)</f>
        <v>1</v>
      </c>
    </row>
    <row r="1415" spans="1:18" x14ac:dyDescent="0.35">
      <c r="A1415">
        <v>1906</v>
      </c>
      <c r="B1415" t="s">
        <v>1509</v>
      </c>
      <c r="C1415" s="1">
        <v>45170.456944444442</v>
      </c>
      <c r="D1415" t="s">
        <v>16</v>
      </c>
      <c r="E1415" t="s">
        <v>85</v>
      </c>
      <c r="F1415" t="s">
        <v>1125</v>
      </c>
      <c r="G1415" t="s">
        <v>19</v>
      </c>
      <c r="H1415">
        <v>77</v>
      </c>
      <c r="I1415">
        <v>3</v>
      </c>
      <c r="J1415" t="s">
        <v>27</v>
      </c>
      <c r="K1415" t="s">
        <v>28</v>
      </c>
      <c r="L1415" t="s">
        <v>22</v>
      </c>
      <c r="M1415" t="s">
        <v>39</v>
      </c>
      <c r="N1415">
        <v>0</v>
      </c>
      <c r="O1415">
        <v>0</v>
      </c>
      <c r="P1415" s="8">
        <f>INT(Delivery_data[[#This Row],[Order Timestamp]])</f>
        <v>45170</v>
      </c>
      <c r="Q1415">
        <f ca="1">IF(Delivery_data[[#This Row],[Order Status]]="In Progress", TODAY()-Delivery_data[[#This Row],[Order Date]], "")</f>
        <v>813</v>
      </c>
      <c r="R1415">
        <f>IF(Delivery_data[[#This Row],[On Time]]=1,0,1)</f>
        <v>1</v>
      </c>
    </row>
    <row r="1416" spans="1:18" x14ac:dyDescent="0.35">
      <c r="A1416">
        <v>1920</v>
      </c>
      <c r="B1416" t="s">
        <v>747</v>
      </c>
      <c r="C1416" s="1">
        <v>45170.415277777778</v>
      </c>
      <c r="D1416" t="s">
        <v>25</v>
      </c>
      <c r="E1416" t="s">
        <v>195</v>
      </c>
      <c r="F1416" t="s">
        <v>1125</v>
      </c>
      <c r="G1416" t="s">
        <v>362</v>
      </c>
      <c r="H1416">
        <v>141</v>
      </c>
      <c r="I1416">
        <v>20</v>
      </c>
      <c r="J1416" t="s">
        <v>20</v>
      </c>
      <c r="K1416" t="s">
        <v>28</v>
      </c>
      <c r="L1416" t="s">
        <v>22</v>
      </c>
      <c r="M1416" t="s">
        <v>30</v>
      </c>
      <c r="N1416">
        <v>0</v>
      </c>
      <c r="O1416">
        <v>0</v>
      </c>
      <c r="P1416" s="8">
        <f>INT(Delivery_data[[#This Row],[Order Timestamp]])</f>
        <v>45170</v>
      </c>
      <c r="Q1416" t="str">
        <f ca="1">IF(Delivery_data[[#This Row],[Order Status]]="In Progress", TODAY()-Delivery_data[[#This Row],[Order Date]], "")</f>
        <v/>
      </c>
      <c r="R1416">
        <f>IF(Delivery_data[[#This Row],[On Time]]=1,0,1)</f>
        <v>1</v>
      </c>
    </row>
    <row r="1417" spans="1:18" x14ac:dyDescent="0.35">
      <c r="A1417">
        <v>1931</v>
      </c>
      <c r="B1417" t="s">
        <v>1510</v>
      </c>
      <c r="C1417" s="1">
        <v>45174.624305555553</v>
      </c>
      <c r="D1417" t="s">
        <v>25</v>
      </c>
      <c r="E1417" t="s">
        <v>32</v>
      </c>
      <c r="F1417" t="s">
        <v>1125</v>
      </c>
      <c r="G1417" t="s">
        <v>233</v>
      </c>
      <c r="H1417">
        <v>196</v>
      </c>
      <c r="I1417">
        <v>5</v>
      </c>
      <c r="J1417" t="s">
        <v>27</v>
      </c>
      <c r="K1417" t="s">
        <v>21</v>
      </c>
      <c r="L1417" t="s">
        <v>22</v>
      </c>
      <c r="M1417" t="s">
        <v>30</v>
      </c>
      <c r="N1417">
        <v>0</v>
      </c>
      <c r="O1417">
        <v>0</v>
      </c>
      <c r="P1417" s="8">
        <f>INT(Delivery_data[[#This Row],[Order Timestamp]])</f>
        <v>45174</v>
      </c>
      <c r="Q1417" t="str">
        <f ca="1">IF(Delivery_data[[#This Row],[Order Status]]="In Progress", TODAY()-Delivery_data[[#This Row],[Order Date]], "")</f>
        <v/>
      </c>
      <c r="R1417">
        <f>IF(Delivery_data[[#This Row],[On Time]]=1,0,1)</f>
        <v>1</v>
      </c>
    </row>
    <row r="1418" spans="1:18" x14ac:dyDescent="0.35">
      <c r="A1418">
        <v>1960</v>
      </c>
      <c r="B1418" t="s">
        <v>1511</v>
      </c>
      <c r="C1418" s="1">
        <v>45175.626388888886</v>
      </c>
      <c r="D1418" t="s">
        <v>16</v>
      </c>
      <c r="E1418" t="s">
        <v>360</v>
      </c>
      <c r="F1418" t="s">
        <v>1125</v>
      </c>
      <c r="G1418" t="s">
        <v>233</v>
      </c>
      <c r="H1418">
        <v>116</v>
      </c>
      <c r="I1418">
        <v>26</v>
      </c>
      <c r="J1418" t="s">
        <v>27</v>
      </c>
      <c r="K1418" t="s">
        <v>28</v>
      </c>
      <c r="L1418" t="s">
        <v>22</v>
      </c>
      <c r="M1418" t="s">
        <v>39</v>
      </c>
      <c r="N1418">
        <v>0</v>
      </c>
      <c r="O1418">
        <v>0</v>
      </c>
      <c r="P1418" s="8">
        <f>INT(Delivery_data[[#This Row],[Order Timestamp]])</f>
        <v>45175</v>
      </c>
      <c r="Q1418">
        <f ca="1">IF(Delivery_data[[#This Row],[Order Status]]="In Progress", TODAY()-Delivery_data[[#This Row],[Order Date]], "")</f>
        <v>808</v>
      </c>
      <c r="R1418">
        <f>IF(Delivery_data[[#This Row],[On Time]]=1,0,1)</f>
        <v>1</v>
      </c>
    </row>
    <row r="1419" spans="1:18" x14ac:dyDescent="0.35">
      <c r="A1419">
        <v>1971</v>
      </c>
      <c r="B1419" t="s">
        <v>1512</v>
      </c>
      <c r="C1419" s="1">
        <v>45174.417361111111</v>
      </c>
      <c r="D1419" t="s">
        <v>16</v>
      </c>
      <c r="E1419" t="s">
        <v>110</v>
      </c>
      <c r="F1419" t="s">
        <v>1125</v>
      </c>
      <c r="G1419" t="s">
        <v>463</v>
      </c>
      <c r="H1419">
        <v>202</v>
      </c>
      <c r="I1419">
        <v>15</v>
      </c>
      <c r="J1419" t="s">
        <v>20</v>
      </c>
      <c r="K1419" t="s">
        <v>38</v>
      </c>
      <c r="L1419" t="s">
        <v>22</v>
      </c>
      <c r="M1419" t="s">
        <v>30</v>
      </c>
      <c r="N1419">
        <v>0</v>
      </c>
      <c r="O1419">
        <v>0</v>
      </c>
      <c r="P1419" s="8">
        <f>INT(Delivery_data[[#This Row],[Order Timestamp]])</f>
        <v>45174</v>
      </c>
      <c r="Q1419">
        <f ca="1">IF(Delivery_data[[#This Row],[Order Status]]="In Progress", TODAY()-Delivery_data[[#This Row],[Order Date]], "")</f>
        <v>809</v>
      </c>
      <c r="R1419">
        <f>IF(Delivery_data[[#This Row],[On Time]]=1,0,1)</f>
        <v>1</v>
      </c>
    </row>
    <row r="1420" spans="1:18" x14ac:dyDescent="0.35">
      <c r="A1420">
        <v>1975</v>
      </c>
      <c r="B1420" t="s">
        <v>1513</v>
      </c>
      <c r="C1420" s="1">
        <v>45171.429861111108</v>
      </c>
      <c r="D1420" t="s">
        <v>25</v>
      </c>
      <c r="E1420" t="s">
        <v>325</v>
      </c>
      <c r="F1420" t="s">
        <v>1125</v>
      </c>
      <c r="G1420" t="s">
        <v>362</v>
      </c>
      <c r="H1420">
        <v>114</v>
      </c>
      <c r="I1420">
        <v>17</v>
      </c>
      <c r="J1420" t="s">
        <v>20</v>
      </c>
      <c r="K1420" t="s">
        <v>21</v>
      </c>
      <c r="L1420" t="s">
        <v>22</v>
      </c>
      <c r="M1420" t="s">
        <v>30</v>
      </c>
      <c r="N1420">
        <v>0</v>
      </c>
      <c r="O1420">
        <v>0</v>
      </c>
      <c r="P1420" s="8">
        <f>INT(Delivery_data[[#This Row],[Order Timestamp]])</f>
        <v>45171</v>
      </c>
      <c r="Q1420" t="str">
        <f ca="1">IF(Delivery_data[[#This Row],[Order Status]]="In Progress", TODAY()-Delivery_data[[#This Row],[Order Date]], "")</f>
        <v/>
      </c>
      <c r="R1420">
        <f>IF(Delivery_data[[#This Row],[On Time]]=1,0,1)</f>
        <v>1</v>
      </c>
    </row>
    <row r="1421" spans="1:18" x14ac:dyDescent="0.35">
      <c r="A1421">
        <v>1988</v>
      </c>
      <c r="B1421" t="s">
        <v>1514</v>
      </c>
      <c r="C1421" s="1">
        <v>45171.508333333331</v>
      </c>
      <c r="D1421" t="s">
        <v>16</v>
      </c>
      <c r="E1421" t="s">
        <v>58</v>
      </c>
      <c r="F1421" t="s">
        <v>1125</v>
      </c>
      <c r="G1421" t="s">
        <v>463</v>
      </c>
      <c r="H1421">
        <v>131</v>
      </c>
      <c r="I1421">
        <v>21</v>
      </c>
      <c r="J1421" t="s">
        <v>35</v>
      </c>
      <c r="K1421" t="s">
        <v>38</v>
      </c>
      <c r="L1421" t="s">
        <v>22</v>
      </c>
      <c r="M1421" t="s">
        <v>23</v>
      </c>
      <c r="N1421">
        <v>0</v>
      </c>
      <c r="O1421">
        <v>1</v>
      </c>
      <c r="P1421" s="8">
        <f>INT(Delivery_data[[#This Row],[Order Timestamp]])</f>
        <v>45171</v>
      </c>
      <c r="Q1421">
        <f ca="1">IF(Delivery_data[[#This Row],[Order Status]]="In Progress", TODAY()-Delivery_data[[#This Row],[Order Date]], "")</f>
        <v>812</v>
      </c>
      <c r="R1421">
        <f>IF(Delivery_data[[#This Row],[On Time]]=1,0,1)</f>
        <v>1</v>
      </c>
    </row>
    <row r="1422" spans="1:18" x14ac:dyDescent="0.35">
      <c r="A1422">
        <v>2018</v>
      </c>
      <c r="B1422" t="s">
        <v>1515</v>
      </c>
      <c r="C1422" s="1">
        <v>45173.472222222219</v>
      </c>
      <c r="D1422" t="s">
        <v>25</v>
      </c>
      <c r="E1422" t="s">
        <v>87</v>
      </c>
      <c r="F1422" t="s">
        <v>1125</v>
      </c>
      <c r="G1422" t="s">
        <v>19</v>
      </c>
      <c r="H1422">
        <v>219</v>
      </c>
      <c r="I1422">
        <v>14</v>
      </c>
      <c r="J1422" t="s">
        <v>20</v>
      </c>
      <c r="K1422" t="s">
        <v>28</v>
      </c>
      <c r="L1422" t="s">
        <v>22</v>
      </c>
      <c r="M1422" t="s">
        <v>23</v>
      </c>
      <c r="N1422">
        <v>0</v>
      </c>
      <c r="O1422">
        <v>0</v>
      </c>
      <c r="P1422" s="8">
        <f>INT(Delivery_data[[#This Row],[Order Timestamp]])</f>
        <v>45173</v>
      </c>
      <c r="Q1422" t="str">
        <f ca="1">IF(Delivery_data[[#This Row],[Order Status]]="In Progress", TODAY()-Delivery_data[[#This Row],[Order Date]], "")</f>
        <v/>
      </c>
      <c r="R1422">
        <f>IF(Delivery_data[[#This Row],[On Time]]=1,0,1)</f>
        <v>1</v>
      </c>
    </row>
    <row r="1423" spans="1:18" x14ac:dyDescent="0.35">
      <c r="A1423">
        <v>2029</v>
      </c>
      <c r="B1423" t="s">
        <v>1516</v>
      </c>
      <c r="C1423" s="1">
        <v>45175.47152777778</v>
      </c>
      <c r="D1423" t="s">
        <v>25</v>
      </c>
      <c r="E1423" t="s">
        <v>76</v>
      </c>
      <c r="F1423" t="s">
        <v>1125</v>
      </c>
      <c r="G1423" t="s">
        <v>233</v>
      </c>
      <c r="H1423">
        <v>139</v>
      </c>
      <c r="I1423">
        <v>3</v>
      </c>
      <c r="J1423" t="s">
        <v>35</v>
      </c>
      <c r="K1423" t="s">
        <v>28</v>
      </c>
      <c r="L1423" t="s">
        <v>22</v>
      </c>
      <c r="M1423" t="s">
        <v>30</v>
      </c>
      <c r="N1423">
        <v>0</v>
      </c>
      <c r="O1423">
        <v>1</v>
      </c>
      <c r="P1423" s="8">
        <f>INT(Delivery_data[[#This Row],[Order Timestamp]])</f>
        <v>45175</v>
      </c>
      <c r="Q1423" t="str">
        <f ca="1">IF(Delivery_data[[#This Row],[Order Status]]="In Progress", TODAY()-Delivery_data[[#This Row],[Order Date]], "")</f>
        <v/>
      </c>
      <c r="R1423">
        <f>IF(Delivery_data[[#This Row],[On Time]]=1,0,1)</f>
        <v>1</v>
      </c>
    </row>
    <row r="1424" spans="1:18" x14ac:dyDescent="0.35">
      <c r="A1424">
        <v>2030</v>
      </c>
      <c r="B1424" t="s">
        <v>1517</v>
      </c>
      <c r="C1424" s="1">
        <v>45174.538194444445</v>
      </c>
      <c r="D1424" t="s">
        <v>16</v>
      </c>
      <c r="E1424" t="s">
        <v>225</v>
      </c>
      <c r="F1424" t="s">
        <v>1125</v>
      </c>
      <c r="G1424" t="s">
        <v>557</v>
      </c>
      <c r="H1424">
        <v>201</v>
      </c>
      <c r="I1424">
        <v>14</v>
      </c>
      <c r="J1424" t="s">
        <v>35</v>
      </c>
      <c r="K1424" t="s">
        <v>33</v>
      </c>
      <c r="L1424" t="s">
        <v>22</v>
      </c>
      <c r="M1424" t="s">
        <v>39</v>
      </c>
      <c r="N1424">
        <v>0</v>
      </c>
      <c r="O1424">
        <v>1</v>
      </c>
      <c r="P1424" s="8">
        <f>INT(Delivery_data[[#This Row],[Order Timestamp]])</f>
        <v>45174</v>
      </c>
      <c r="Q1424">
        <f ca="1">IF(Delivery_data[[#This Row],[Order Status]]="In Progress", TODAY()-Delivery_data[[#This Row],[Order Date]], "")</f>
        <v>809</v>
      </c>
      <c r="R1424">
        <f>IF(Delivery_data[[#This Row],[On Time]]=1,0,1)</f>
        <v>1</v>
      </c>
    </row>
    <row r="1425" spans="1:18" x14ac:dyDescent="0.35">
      <c r="A1425">
        <v>2031</v>
      </c>
      <c r="B1425" t="s">
        <v>1518</v>
      </c>
      <c r="C1425" s="1">
        <v>45174.47152777778</v>
      </c>
      <c r="D1425" t="s">
        <v>16</v>
      </c>
      <c r="E1425" t="s">
        <v>129</v>
      </c>
      <c r="F1425" t="s">
        <v>1125</v>
      </c>
      <c r="G1425" t="s">
        <v>463</v>
      </c>
      <c r="H1425">
        <v>181</v>
      </c>
      <c r="I1425">
        <v>19</v>
      </c>
      <c r="J1425" t="s">
        <v>20</v>
      </c>
      <c r="K1425" t="s">
        <v>21</v>
      </c>
      <c r="L1425" t="s">
        <v>22</v>
      </c>
      <c r="M1425" t="s">
        <v>30</v>
      </c>
      <c r="N1425">
        <v>0</v>
      </c>
      <c r="O1425">
        <v>0</v>
      </c>
      <c r="P1425" s="8">
        <f>INT(Delivery_data[[#This Row],[Order Timestamp]])</f>
        <v>45174</v>
      </c>
      <c r="Q1425">
        <f ca="1">IF(Delivery_data[[#This Row],[Order Status]]="In Progress", TODAY()-Delivery_data[[#This Row],[Order Date]], "")</f>
        <v>809</v>
      </c>
      <c r="R1425">
        <f>IF(Delivery_data[[#This Row],[On Time]]=1,0,1)</f>
        <v>1</v>
      </c>
    </row>
    <row r="1426" spans="1:18" x14ac:dyDescent="0.35">
      <c r="A1426">
        <v>2042</v>
      </c>
      <c r="B1426" t="s">
        <v>1519</v>
      </c>
      <c r="C1426" s="1">
        <v>45174.48333333333</v>
      </c>
      <c r="D1426" t="s">
        <v>25</v>
      </c>
      <c r="E1426" t="s">
        <v>87</v>
      </c>
      <c r="F1426" t="s">
        <v>1125</v>
      </c>
      <c r="G1426" t="s">
        <v>557</v>
      </c>
      <c r="H1426">
        <v>238</v>
      </c>
      <c r="I1426">
        <v>8</v>
      </c>
      <c r="J1426" t="s">
        <v>20</v>
      </c>
      <c r="K1426" t="s">
        <v>21</v>
      </c>
      <c r="L1426" t="s">
        <v>22</v>
      </c>
      <c r="M1426" t="s">
        <v>39</v>
      </c>
      <c r="N1426">
        <v>0</v>
      </c>
      <c r="O1426">
        <v>0</v>
      </c>
      <c r="P1426" s="8">
        <f>INT(Delivery_data[[#This Row],[Order Timestamp]])</f>
        <v>45174</v>
      </c>
      <c r="Q1426" t="str">
        <f ca="1">IF(Delivery_data[[#This Row],[Order Status]]="In Progress", TODAY()-Delivery_data[[#This Row],[Order Date]], "")</f>
        <v/>
      </c>
      <c r="R1426">
        <f>IF(Delivery_data[[#This Row],[On Time]]=1,0,1)</f>
        <v>1</v>
      </c>
    </row>
    <row r="1427" spans="1:18" x14ac:dyDescent="0.35">
      <c r="A1427">
        <v>2064</v>
      </c>
      <c r="B1427" t="s">
        <v>1520</v>
      </c>
      <c r="C1427" s="1">
        <v>45176.625</v>
      </c>
      <c r="D1427" t="s">
        <v>25</v>
      </c>
      <c r="E1427" t="s">
        <v>274</v>
      </c>
      <c r="F1427" t="s">
        <v>1125</v>
      </c>
      <c r="G1427" t="s">
        <v>463</v>
      </c>
      <c r="H1427">
        <v>170</v>
      </c>
      <c r="I1427">
        <v>28</v>
      </c>
      <c r="J1427" t="s">
        <v>27</v>
      </c>
      <c r="K1427" t="s">
        <v>28</v>
      </c>
      <c r="L1427" t="s">
        <v>22</v>
      </c>
      <c r="M1427" t="s">
        <v>30</v>
      </c>
      <c r="N1427">
        <v>0</v>
      </c>
      <c r="O1427">
        <v>0</v>
      </c>
      <c r="P1427" s="8">
        <f>INT(Delivery_data[[#This Row],[Order Timestamp]])</f>
        <v>45176</v>
      </c>
      <c r="Q1427" t="str">
        <f ca="1">IF(Delivery_data[[#This Row],[Order Status]]="In Progress", TODAY()-Delivery_data[[#This Row],[Order Date]], "")</f>
        <v/>
      </c>
      <c r="R1427">
        <f>IF(Delivery_data[[#This Row],[On Time]]=1,0,1)</f>
        <v>1</v>
      </c>
    </row>
    <row r="1428" spans="1:18" x14ac:dyDescent="0.35">
      <c r="A1428">
        <v>2083</v>
      </c>
      <c r="B1428" t="s">
        <v>1521</v>
      </c>
      <c r="C1428" s="1">
        <v>45170.703472222223</v>
      </c>
      <c r="D1428" t="s">
        <v>25</v>
      </c>
      <c r="E1428" t="s">
        <v>598</v>
      </c>
      <c r="F1428" t="s">
        <v>1125</v>
      </c>
      <c r="G1428" t="s">
        <v>233</v>
      </c>
      <c r="H1428">
        <v>86</v>
      </c>
      <c r="I1428">
        <v>15</v>
      </c>
      <c r="J1428" t="s">
        <v>27</v>
      </c>
      <c r="K1428" t="s">
        <v>28</v>
      </c>
      <c r="L1428" t="s">
        <v>22</v>
      </c>
      <c r="M1428" t="s">
        <v>23</v>
      </c>
      <c r="N1428">
        <v>0</v>
      </c>
      <c r="O1428">
        <v>0</v>
      </c>
      <c r="P1428" s="8">
        <f>INT(Delivery_data[[#This Row],[Order Timestamp]])</f>
        <v>45170</v>
      </c>
      <c r="Q1428" t="str">
        <f ca="1">IF(Delivery_data[[#This Row],[Order Status]]="In Progress", TODAY()-Delivery_data[[#This Row],[Order Date]], "")</f>
        <v/>
      </c>
      <c r="R1428">
        <f>IF(Delivery_data[[#This Row],[On Time]]=1,0,1)</f>
        <v>1</v>
      </c>
    </row>
    <row r="1429" spans="1:18" x14ac:dyDescent="0.35">
      <c r="A1429">
        <v>2087</v>
      </c>
      <c r="B1429" t="s">
        <v>1522</v>
      </c>
      <c r="C1429" s="1">
        <v>45171.455555555556</v>
      </c>
      <c r="D1429" t="s">
        <v>25</v>
      </c>
      <c r="E1429" t="s">
        <v>94</v>
      </c>
      <c r="F1429" t="s">
        <v>1125</v>
      </c>
      <c r="G1429" t="s">
        <v>19</v>
      </c>
      <c r="H1429">
        <v>238</v>
      </c>
      <c r="I1429">
        <v>24</v>
      </c>
      <c r="J1429" t="s">
        <v>35</v>
      </c>
      <c r="K1429" t="s">
        <v>28</v>
      </c>
      <c r="L1429" t="s">
        <v>22</v>
      </c>
      <c r="M1429" t="s">
        <v>23</v>
      </c>
      <c r="N1429">
        <v>0</v>
      </c>
      <c r="O1429">
        <v>1</v>
      </c>
      <c r="P1429" s="8">
        <f>INT(Delivery_data[[#This Row],[Order Timestamp]])</f>
        <v>45171</v>
      </c>
      <c r="Q1429" t="str">
        <f ca="1">IF(Delivery_data[[#This Row],[Order Status]]="In Progress", TODAY()-Delivery_data[[#This Row],[Order Date]], "")</f>
        <v/>
      </c>
      <c r="R1429">
        <f>IF(Delivery_data[[#This Row],[On Time]]=1,0,1)</f>
        <v>1</v>
      </c>
    </row>
    <row r="1430" spans="1:18" x14ac:dyDescent="0.35">
      <c r="A1430">
        <v>2119</v>
      </c>
      <c r="B1430" t="s">
        <v>1523</v>
      </c>
      <c r="C1430" s="1">
        <v>45172.418055555558</v>
      </c>
      <c r="D1430" t="s">
        <v>16</v>
      </c>
      <c r="E1430" t="s">
        <v>195</v>
      </c>
      <c r="F1430" t="s">
        <v>1125</v>
      </c>
      <c r="G1430" t="s">
        <v>557</v>
      </c>
      <c r="H1430">
        <v>235</v>
      </c>
      <c r="I1430">
        <v>22</v>
      </c>
      <c r="J1430" t="s">
        <v>35</v>
      </c>
      <c r="K1430" t="s">
        <v>21</v>
      </c>
      <c r="L1430" t="s">
        <v>22</v>
      </c>
      <c r="M1430" t="s">
        <v>23</v>
      </c>
      <c r="N1430">
        <v>0</v>
      </c>
      <c r="O1430">
        <v>1</v>
      </c>
      <c r="P1430" s="8">
        <f>INT(Delivery_data[[#This Row],[Order Timestamp]])</f>
        <v>45172</v>
      </c>
      <c r="Q1430">
        <f ca="1">IF(Delivery_data[[#This Row],[Order Status]]="In Progress", TODAY()-Delivery_data[[#This Row],[Order Date]], "")</f>
        <v>811</v>
      </c>
      <c r="R1430">
        <f>IF(Delivery_data[[#This Row],[On Time]]=1,0,1)</f>
        <v>1</v>
      </c>
    </row>
    <row r="1431" spans="1:18" x14ac:dyDescent="0.35">
      <c r="A1431">
        <v>2126</v>
      </c>
      <c r="B1431" t="s">
        <v>1524</v>
      </c>
      <c r="C1431" s="1">
        <v>45177.529166666667</v>
      </c>
      <c r="D1431" t="s">
        <v>25</v>
      </c>
      <c r="E1431" t="s">
        <v>541</v>
      </c>
      <c r="F1431" t="s">
        <v>1125</v>
      </c>
      <c r="G1431" t="s">
        <v>557</v>
      </c>
      <c r="H1431">
        <v>230</v>
      </c>
      <c r="I1431">
        <v>12</v>
      </c>
      <c r="J1431" t="s">
        <v>35</v>
      </c>
      <c r="K1431" t="s">
        <v>38</v>
      </c>
      <c r="L1431" t="s">
        <v>22</v>
      </c>
      <c r="M1431" t="s">
        <v>39</v>
      </c>
      <c r="N1431">
        <v>0</v>
      </c>
      <c r="O1431">
        <v>1</v>
      </c>
      <c r="P1431" s="8">
        <f>INT(Delivery_data[[#This Row],[Order Timestamp]])</f>
        <v>45177</v>
      </c>
      <c r="Q1431" t="str">
        <f ca="1">IF(Delivery_data[[#This Row],[Order Status]]="In Progress", TODAY()-Delivery_data[[#This Row],[Order Date]], "")</f>
        <v/>
      </c>
      <c r="R1431">
        <f>IF(Delivery_data[[#This Row],[On Time]]=1,0,1)</f>
        <v>1</v>
      </c>
    </row>
    <row r="1432" spans="1:18" x14ac:dyDescent="0.35">
      <c r="A1432">
        <v>2139</v>
      </c>
      <c r="B1432" t="s">
        <v>1525</v>
      </c>
      <c r="C1432" s="1">
        <v>45173.479861111111</v>
      </c>
      <c r="D1432" t="s">
        <v>16</v>
      </c>
      <c r="E1432" t="s">
        <v>72</v>
      </c>
      <c r="F1432" t="s">
        <v>1125</v>
      </c>
      <c r="G1432" t="s">
        <v>362</v>
      </c>
      <c r="H1432">
        <v>73</v>
      </c>
      <c r="I1432">
        <v>9</v>
      </c>
      <c r="J1432" t="s">
        <v>20</v>
      </c>
      <c r="K1432" t="s">
        <v>38</v>
      </c>
      <c r="L1432" t="s">
        <v>22</v>
      </c>
      <c r="M1432" t="s">
        <v>23</v>
      </c>
      <c r="N1432">
        <v>0</v>
      </c>
      <c r="O1432">
        <v>0</v>
      </c>
      <c r="P1432" s="8">
        <f>INT(Delivery_data[[#This Row],[Order Timestamp]])</f>
        <v>45173</v>
      </c>
      <c r="Q1432">
        <f ca="1">IF(Delivery_data[[#This Row],[Order Status]]="In Progress", TODAY()-Delivery_data[[#This Row],[Order Date]], "")</f>
        <v>810</v>
      </c>
      <c r="R1432">
        <f>IF(Delivery_data[[#This Row],[On Time]]=1,0,1)</f>
        <v>1</v>
      </c>
    </row>
    <row r="1433" spans="1:18" x14ac:dyDescent="0.35">
      <c r="A1433">
        <v>2171</v>
      </c>
      <c r="B1433" t="s">
        <v>1526</v>
      </c>
      <c r="C1433" s="1">
        <v>45175.617361111108</v>
      </c>
      <c r="D1433" t="s">
        <v>25</v>
      </c>
      <c r="E1433" t="s">
        <v>139</v>
      </c>
      <c r="F1433" t="s">
        <v>1125</v>
      </c>
      <c r="G1433" t="s">
        <v>19</v>
      </c>
      <c r="H1433">
        <v>82</v>
      </c>
      <c r="I1433">
        <v>13</v>
      </c>
      <c r="J1433" t="s">
        <v>20</v>
      </c>
      <c r="K1433" t="s">
        <v>28</v>
      </c>
      <c r="L1433" t="s">
        <v>22</v>
      </c>
      <c r="M1433" t="s">
        <v>39</v>
      </c>
      <c r="N1433">
        <v>0</v>
      </c>
      <c r="O1433">
        <v>0</v>
      </c>
      <c r="P1433" s="8">
        <f>INT(Delivery_data[[#This Row],[Order Timestamp]])</f>
        <v>45175</v>
      </c>
      <c r="Q1433" t="str">
        <f ca="1">IF(Delivery_data[[#This Row],[Order Status]]="In Progress", TODAY()-Delivery_data[[#This Row],[Order Date]], "")</f>
        <v/>
      </c>
      <c r="R1433">
        <f>IF(Delivery_data[[#This Row],[On Time]]=1,0,1)</f>
        <v>1</v>
      </c>
    </row>
    <row r="1434" spans="1:18" x14ac:dyDescent="0.35">
      <c r="A1434">
        <v>2185</v>
      </c>
      <c r="B1434" t="s">
        <v>1527</v>
      </c>
      <c r="C1434" s="1">
        <v>45175.361805555556</v>
      </c>
      <c r="D1434" t="s">
        <v>16</v>
      </c>
      <c r="E1434" t="s">
        <v>222</v>
      </c>
      <c r="F1434" t="s">
        <v>1125</v>
      </c>
      <c r="G1434" t="s">
        <v>19</v>
      </c>
      <c r="H1434">
        <v>80</v>
      </c>
      <c r="I1434">
        <v>22</v>
      </c>
      <c r="J1434" t="s">
        <v>27</v>
      </c>
      <c r="K1434" t="s">
        <v>51</v>
      </c>
      <c r="L1434" t="s">
        <v>22</v>
      </c>
      <c r="M1434" t="s">
        <v>30</v>
      </c>
      <c r="N1434">
        <v>0</v>
      </c>
      <c r="O1434">
        <v>0</v>
      </c>
      <c r="P1434" s="8">
        <f>INT(Delivery_data[[#This Row],[Order Timestamp]])</f>
        <v>45175</v>
      </c>
      <c r="Q1434">
        <f ca="1">IF(Delivery_data[[#This Row],[Order Status]]="In Progress", TODAY()-Delivery_data[[#This Row],[Order Date]], "")</f>
        <v>808</v>
      </c>
      <c r="R1434">
        <f>IF(Delivery_data[[#This Row],[On Time]]=1,0,1)</f>
        <v>1</v>
      </c>
    </row>
    <row r="1435" spans="1:18" x14ac:dyDescent="0.35">
      <c r="A1435">
        <v>2195</v>
      </c>
      <c r="B1435" t="s">
        <v>1528</v>
      </c>
      <c r="C1435" s="1">
        <v>45175.586111111108</v>
      </c>
      <c r="D1435" t="s">
        <v>25</v>
      </c>
      <c r="E1435" t="s">
        <v>200</v>
      </c>
      <c r="F1435" t="s">
        <v>1125</v>
      </c>
      <c r="G1435" t="s">
        <v>463</v>
      </c>
      <c r="H1435">
        <v>135</v>
      </c>
      <c r="I1435">
        <v>12</v>
      </c>
      <c r="J1435" t="s">
        <v>27</v>
      </c>
      <c r="K1435" t="s">
        <v>21</v>
      </c>
      <c r="L1435" t="s">
        <v>22</v>
      </c>
      <c r="M1435" t="s">
        <v>23</v>
      </c>
      <c r="N1435">
        <v>0</v>
      </c>
      <c r="O1435">
        <v>0</v>
      </c>
      <c r="P1435" s="8">
        <f>INT(Delivery_data[[#This Row],[Order Timestamp]])</f>
        <v>45175</v>
      </c>
      <c r="Q1435" t="str">
        <f ca="1">IF(Delivery_data[[#This Row],[Order Status]]="In Progress", TODAY()-Delivery_data[[#This Row],[Order Date]], "")</f>
        <v/>
      </c>
      <c r="R1435">
        <f>IF(Delivery_data[[#This Row],[On Time]]=1,0,1)</f>
        <v>1</v>
      </c>
    </row>
    <row r="1436" spans="1:18" x14ac:dyDescent="0.35">
      <c r="A1436">
        <v>2202</v>
      </c>
      <c r="B1436" t="s">
        <v>1529</v>
      </c>
      <c r="C1436" s="1">
        <v>45172.45416666667</v>
      </c>
      <c r="D1436" t="s">
        <v>16</v>
      </c>
      <c r="E1436" t="s">
        <v>204</v>
      </c>
      <c r="F1436" t="s">
        <v>1125</v>
      </c>
      <c r="G1436" t="s">
        <v>557</v>
      </c>
      <c r="H1436">
        <v>160</v>
      </c>
      <c r="I1436">
        <v>27</v>
      </c>
      <c r="J1436" t="s">
        <v>27</v>
      </c>
      <c r="K1436" t="s">
        <v>33</v>
      </c>
      <c r="L1436" t="s">
        <v>22</v>
      </c>
      <c r="M1436" t="s">
        <v>23</v>
      </c>
      <c r="N1436">
        <v>0</v>
      </c>
      <c r="O1436">
        <v>0</v>
      </c>
      <c r="P1436" s="8">
        <f>INT(Delivery_data[[#This Row],[Order Timestamp]])</f>
        <v>45172</v>
      </c>
      <c r="Q1436">
        <f ca="1">IF(Delivery_data[[#This Row],[Order Status]]="In Progress", TODAY()-Delivery_data[[#This Row],[Order Date]], "")</f>
        <v>811</v>
      </c>
      <c r="R1436">
        <f>IF(Delivery_data[[#This Row],[On Time]]=1,0,1)</f>
        <v>1</v>
      </c>
    </row>
    <row r="1437" spans="1:18" x14ac:dyDescent="0.35">
      <c r="A1437">
        <v>2210</v>
      </c>
      <c r="B1437" t="s">
        <v>1530</v>
      </c>
      <c r="C1437" s="1">
        <v>45171.408333333333</v>
      </c>
      <c r="D1437" t="s">
        <v>16</v>
      </c>
      <c r="E1437" t="s">
        <v>172</v>
      </c>
      <c r="F1437" t="s">
        <v>1125</v>
      </c>
      <c r="G1437" t="s">
        <v>233</v>
      </c>
      <c r="H1437">
        <v>210</v>
      </c>
      <c r="I1437">
        <v>16</v>
      </c>
      <c r="J1437" t="s">
        <v>35</v>
      </c>
      <c r="K1437" t="s">
        <v>21</v>
      </c>
      <c r="L1437" t="s">
        <v>22</v>
      </c>
      <c r="M1437" t="s">
        <v>30</v>
      </c>
      <c r="N1437">
        <v>0</v>
      </c>
      <c r="O1437">
        <v>1</v>
      </c>
      <c r="P1437" s="8">
        <f>INT(Delivery_data[[#This Row],[Order Timestamp]])</f>
        <v>45171</v>
      </c>
      <c r="Q1437">
        <f ca="1">IF(Delivery_data[[#This Row],[Order Status]]="In Progress", TODAY()-Delivery_data[[#This Row],[Order Date]], "")</f>
        <v>812</v>
      </c>
      <c r="R1437">
        <f>IF(Delivery_data[[#This Row],[On Time]]=1,0,1)</f>
        <v>1</v>
      </c>
    </row>
    <row r="1438" spans="1:18" x14ac:dyDescent="0.35">
      <c r="A1438">
        <v>2226</v>
      </c>
      <c r="B1438" t="s">
        <v>1531</v>
      </c>
      <c r="C1438" s="1">
        <v>45173.419444444444</v>
      </c>
      <c r="D1438" t="s">
        <v>25</v>
      </c>
      <c r="E1438" t="s">
        <v>184</v>
      </c>
      <c r="F1438" t="s">
        <v>1125</v>
      </c>
      <c r="G1438" t="s">
        <v>463</v>
      </c>
      <c r="H1438">
        <v>170</v>
      </c>
      <c r="I1438">
        <v>23</v>
      </c>
      <c r="J1438" t="s">
        <v>20</v>
      </c>
      <c r="K1438" t="s">
        <v>28</v>
      </c>
      <c r="L1438" t="s">
        <v>22</v>
      </c>
      <c r="M1438" t="s">
        <v>23</v>
      </c>
      <c r="N1438">
        <v>0</v>
      </c>
      <c r="O1438">
        <v>0</v>
      </c>
      <c r="P1438" s="8">
        <f>INT(Delivery_data[[#This Row],[Order Timestamp]])</f>
        <v>45173</v>
      </c>
      <c r="Q1438" t="str">
        <f ca="1">IF(Delivery_data[[#This Row],[Order Status]]="In Progress", TODAY()-Delivery_data[[#This Row],[Order Date]], "")</f>
        <v/>
      </c>
      <c r="R1438">
        <f>IF(Delivery_data[[#This Row],[On Time]]=1,0,1)</f>
        <v>1</v>
      </c>
    </row>
    <row r="1439" spans="1:18" x14ac:dyDescent="0.35">
      <c r="A1439">
        <v>2229</v>
      </c>
      <c r="B1439" t="s">
        <v>1350</v>
      </c>
      <c r="C1439" s="1">
        <v>45174.443749999999</v>
      </c>
      <c r="D1439" t="s">
        <v>16</v>
      </c>
      <c r="E1439" t="s">
        <v>204</v>
      </c>
      <c r="F1439" t="s">
        <v>1125</v>
      </c>
      <c r="G1439" t="s">
        <v>19</v>
      </c>
      <c r="H1439">
        <v>71</v>
      </c>
      <c r="I1439">
        <v>5</v>
      </c>
      <c r="J1439" t="s">
        <v>20</v>
      </c>
      <c r="K1439" t="s">
        <v>21</v>
      </c>
      <c r="L1439" t="s">
        <v>22</v>
      </c>
      <c r="M1439" t="s">
        <v>30</v>
      </c>
      <c r="N1439">
        <v>0</v>
      </c>
      <c r="O1439">
        <v>0</v>
      </c>
      <c r="P1439" s="8">
        <f>INT(Delivery_data[[#This Row],[Order Timestamp]])</f>
        <v>45174</v>
      </c>
      <c r="Q1439">
        <f ca="1">IF(Delivery_data[[#This Row],[Order Status]]="In Progress", TODAY()-Delivery_data[[#This Row],[Order Date]], "")</f>
        <v>809</v>
      </c>
      <c r="R1439">
        <f>IF(Delivery_data[[#This Row],[On Time]]=1,0,1)</f>
        <v>1</v>
      </c>
    </row>
    <row r="1440" spans="1:18" x14ac:dyDescent="0.35">
      <c r="A1440">
        <v>2239</v>
      </c>
      <c r="B1440" t="s">
        <v>1532</v>
      </c>
      <c r="C1440" s="1">
        <v>45170.601388888892</v>
      </c>
      <c r="D1440" t="s">
        <v>25</v>
      </c>
      <c r="E1440" t="s">
        <v>230</v>
      </c>
      <c r="F1440" t="s">
        <v>1125</v>
      </c>
      <c r="G1440" t="s">
        <v>557</v>
      </c>
      <c r="H1440">
        <v>110</v>
      </c>
      <c r="I1440">
        <v>7</v>
      </c>
      <c r="J1440" t="s">
        <v>27</v>
      </c>
      <c r="K1440" t="s">
        <v>33</v>
      </c>
      <c r="L1440" t="s">
        <v>22</v>
      </c>
      <c r="M1440" t="s">
        <v>39</v>
      </c>
      <c r="N1440">
        <v>0</v>
      </c>
      <c r="O1440">
        <v>0</v>
      </c>
      <c r="P1440" s="8">
        <f>INT(Delivery_data[[#This Row],[Order Timestamp]])</f>
        <v>45170</v>
      </c>
      <c r="Q1440" t="str">
        <f ca="1">IF(Delivery_data[[#This Row],[Order Status]]="In Progress", TODAY()-Delivery_data[[#This Row],[Order Date]], "")</f>
        <v/>
      </c>
      <c r="R1440">
        <f>IF(Delivery_data[[#This Row],[On Time]]=1,0,1)</f>
        <v>1</v>
      </c>
    </row>
    <row r="1441" spans="1:18" x14ac:dyDescent="0.35">
      <c r="A1441">
        <v>2263</v>
      </c>
      <c r="B1441" t="s">
        <v>1533</v>
      </c>
      <c r="C1441" s="1">
        <v>45171.679861111108</v>
      </c>
      <c r="D1441" t="s">
        <v>25</v>
      </c>
      <c r="E1441" t="s">
        <v>352</v>
      </c>
      <c r="F1441" t="s">
        <v>1125</v>
      </c>
      <c r="G1441" t="s">
        <v>463</v>
      </c>
      <c r="H1441">
        <v>165</v>
      </c>
      <c r="I1441">
        <v>27</v>
      </c>
      <c r="J1441" t="s">
        <v>35</v>
      </c>
      <c r="K1441" t="s">
        <v>33</v>
      </c>
      <c r="L1441" t="s">
        <v>22</v>
      </c>
      <c r="M1441" t="s">
        <v>39</v>
      </c>
      <c r="N1441">
        <v>0</v>
      </c>
      <c r="O1441">
        <v>1</v>
      </c>
      <c r="P1441" s="8">
        <f>INT(Delivery_data[[#This Row],[Order Timestamp]])</f>
        <v>45171</v>
      </c>
      <c r="Q1441" t="str">
        <f ca="1">IF(Delivery_data[[#This Row],[Order Status]]="In Progress", TODAY()-Delivery_data[[#This Row],[Order Date]], "")</f>
        <v/>
      </c>
      <c r="R1441">
        <f>IF(Delivery_data[[#This Row],[On Time]]=1,0,1)</f>
        <v>1</v>
      </c>
    </row>
    <row r="1442" spans="1:18" x14ac:dyDescent="0.35">
      <c r="A1442">
        <v>2344</v>
      </c>
      <c r="B1442" t="s">
        <v>1534</v>
      </c>
      <c r="C1442" s="1">
        <v>45174.513194444444</v>
      </c>
      <c r="D1442" t="s">
        <v>25</v>
      </c>
      <c r="E1442" t="s">
        <v>102</v>
      </c>
      <c r="F1442" t="s">
        <v>1125</v>
      </c>
      <c r="G1442" t="s">
        <v>557</v>
      </c>
      <c r="H1442">
        <v>144</v>
      </c>
      <c r="I1442">
        <v>7</v>
      </c>
      <c r="J1442" t="s">
        <v>20</v>
      </c>
      <c r="K1442" t="s">
        <v>21</v>
      </c>
      <c r="L1442" t="s">
        <v>22</v>
      </c>
      <c r="M1442" t="s">
        <v>39</v>
      </c>
      <c r="N1442">
        <v>0</v>
      </c>
      <c r="O1442">
        <v>0</v>
      </c>
      <c r="P1442" s="8">
        <f>INT(Delivery_data[[#This Row],[Order Timestamp]])</f>
        <v>45174</v>
      </c>
      <c r="Q1442" t="str">
        <f ca="1">IF(Delivery_data[[#This Row],[Order Status]]="In Progress", TODAY()-Delivery_data[[#This Row],[Order Date]], "")</f>
        <v/>
      </c>
      <c r="R1442">
        <f>IF(Delivery_data[[#This Row],[On Time]]=1,0,1)</f>
        <v>1</v>
      </c>
    </row>
    <row r="1443" spans="1:18" x14ac:dyDescent="0.35">
      <c r="A1443">
        <v>2347</v>
      </c>
      <c r="B1443" t="s">
        <v>1535</v>
      </c>
      <c r="C1443" s="1">
        <v>45176.560416666667</v>
      </c>
      <c r="D1443" t="s">
        <v>25</v>
      </c>
      <c r="E1443" t="s">
        <v>292</v>
      </c>
      <c r="F1443" t="s">
        <v>1125</v>
      </c>
      <c r="G1443" t="s">
        <v>557</v>
      </c>
      <c r="H1443">
        <v>102</v>
      </c>
      <c r="I1443">
        <v>23</v>
      </c>
      <c r="J1443" t="s">
        <v>35</v>
      </c>
      <c r="K1443" t="s">
        <v>21</v>
      </c>
      <c r="L1443" t="s">
        <v>22</v>
      </c>
      <c r="M1443" t="s">
        <v>39</v>
      </c>
      <c r="N1443">
        <v>0</v>
      </c>
      <c r="O1443">
        <v>1</v>
      </c>
      <c r="P1443" s="8">
        <f>INT(Delivery_data[[#This Row],[Order Timestamp]])</f>
        <v>45176</v>
      </c>
      <c r="Q1443" t="str">
        <f ca="1">IF(Delivery_data[[#This Row],[Order Status]]="In Progress", TODAY()-Delivery_data[[#This Row],[Order Date]], "")</f>
        <v/>
      </c>
      <c r="R1443">
        <f>IF(Delivery_data[[#This Row],[On Time]]=1,0,1)</f>
        <v>1</v>
      </c>
    </row>
    <row r="1444" spans="1:18" x14ac:dyDescent="0.35">
      <c r="A1444">
        <v>2350</v>
      </c>
      <c r="B1444" t="s">
        <v>1536</v>
      </c>
      <c r="C1444" s="1">
        <v>45175.421527777777</v>
      </c>
      <c r="D1444" t="s">
        <v>16</v>
      </c>
      <c r="E1444" t="s">
        <v>356</v>
      </c>
      <c r="F1444" t="s">
        <v>1125</v>
      </c>
      <c r="G1444" t="s">
        <v>19</v>
      </c>
      <c r="H1444">
        <v>107</v>
      </c>
      <c r="I1444">
        <v>15</v>
      </c>
      <c r="J1444" t="s">
        <v>20</v>
      </c>
      <c r="K1444" t="s">
        <v>21</v>
      </c>
      <c r="L1444" t="s">
        <v>22</v>
      </c>
      <c r="M1444" t="s">
        <v>39</v>
      </c>
      <c r="N1444">
        <v>0</v>
      </c>
      <c r="O1444">
        <v>0</v>
      </c>
      <c r="P1444" s="8">
        <f>INT(Delivery_data[[#This Row],[Order Timestamp]])</f>
        <v>45175</v>
      </c>
      <c r="Q1444">
        <f ca="1">IF(Delivery_data[[#This Row],[Order Status]]="In Progress", TODAY()-Delivery_data[[#This Row],[Order Date]], "")</f>
        <v>808</v>
      </c>
      <c r="R1444">
        <f>IF(Delivery_data[[#This Row],[On Time]]=1,0,1)</f>
        <v>1</v>
      </c>
    </row>
    <row r="1445" spans="1:18" x14ac:dyDescent="0.35">
      <c r="A1445">
        <v>2383</v>
      </c>
      <c r="B1445" t="s">
        <v>1537</v>
      </c>
      <c r="C1445" s="1">
        <v>45171.568749999999</v>
      </c>
      <c r="D1445" t="s">
        <v>25</v>
      </c>
      <c r="E1445" t="s">
        <v>216</v>
      </c>
      <c r="F1445" t="s">
        <v>1125</v>
      </c>
      <c r="G1445" t="s">
        <v>19</v>
      </c>
      <c r="H1445">
        <v>228</v>
      </c>
      <c r="I1445">
        <v>20</v>
      </c>
      <c r="J1445" t="s">
        <v>35</v>
      </c>
      <c r="K1445" t="s">
        <v>21</v>
      </c>
      <c r="L1445" t="s">
        <v>22</v>
      </c>
      <c r="M1445" t="s">
        <v>39</v>
      </c>
      <c r="N1445">
        <v>0</v>
      </c>
      <c r="O1445">
        <v>1</v>
      </c>
      <c r="P1445" s="8">
        <f>INT(Delivery_data[[#This Row],[Order Timestamp]])</f>
        <v>45171</v>
      </c>
      <c r="Q1445" t="str">
        <f ca="1">IF(Delivery_data[[#This Row],[Order Status]]="In Progress", TODAY()-Delivery_data[[#This Row],[Order Date]], "")</f>
        <v/>
      </c>
      <c r="R1445">
        <f>IF(Delivery_data[[#This Row],[On Time]]=1,0,1)</f>
        <v>1</v>
      </c>
    </row>
    <row r="1446" spans="1:18" x14ac:dyDescent="0.35">
      <c r="A1446">
        <v>2423</v>
      </c>
      <c r="B1446" t="s">
        <v>1538</v>
      </c>
      <c r="C1446" s="1">
        <v>45174.442361111112</v>
      </c>
      <c r="D1446" t="s">
        <v>25</v>
      </c>
      <c r="E1446" t="s">
        <v>352</v>
      </c>
      <c r="F1446" t="s">
        <v>1125</v>
      </c>
      <c r="G1446" t="s">
        <v>19</v>
      </c>
      <c r="H1446">
        <v>80</v>
      </c>
      <c r="I1446">
        <v>22</v>
      </c>
      <c r="J1446" t="s">
        <v>35</v>
      </c>
      <c r="K1446" t="s">
        <v>51</v>
      </c>
      <c r="L1446" t="s">
        <v>22</v>
      </c>
      <c r="M1446" t="s">
        <v>30</v>
      </c>
      <c r="N1446">
        <v>0</v>
      </c>
      <c r="O1446">
        <v>1</v>
      </c>
      <c r="P1446" s="8">
        <f>INT(Delivery_data[[#This Row],[Order Timestamp]])</f>
        <v>45174</v>
      </c>
      <c r="Q1446" t="str">
        <f ca="1">IF(Delivery_data[[#This Row],[Order Status]]="In Progress", TODAY()-Delivery_data[[#This Row],[Order Date]], "")</f>
        <v/>
      </c>
      <c r="R1446">
        <f>IF(Delivery_data[[#This Row],[On Time]]=1,0,1)</f>
        <v>1</v>
      </c>
    </row>
    <row r="1447" spans="1:18" x14ac:dyDescent="0.35">
      <c r="A1447">
        <v>2432</v>
      </c>
      <c r="B1447" t="s">
        <v>1539</v>
      </c>
      <c r="C1447" s="1">
        <v>45176.398611111108</v>
      </c>
      <c r="D1447" t="s">
        <v>25</v>
      </c>
      <c r="E1447" t="s">
        <v>216</v>
      </c>
      <c r="F1447" t="s">
        <v>1125</v>
      </c>
      <c r="G1447" t="s">
        <v>557</v>
      </c>
      <c r="H1447">
        <v>151</v>
      </c>
      <c r="I1447">
        <v>3</v>
      </c>
      <c r="J1447" t="s">
        <v>20</v>
      </c>
      <c r="K1447" t="s">
        <v>51</v>
      </c>
      <c r="L1447" t="s">
        <v>22</v>
      </c>
      <c r="M1447" t="s">
        <v>30</v>
      </c>
      <c r="N1447">
        <v>0</v>
      </c>
      <c r="O1447">
        <v>0</v>
      </c>
      <c r="P1447" s="8">
        <f>INT(Delivery_data[[#This Row],[Order Timestamp]])</f>
        <v>45176</v>
      </c>
      <c r="Q1447" t="str">
        <f ca="1">IF(Delivery_data[[#This Row],[Order Status]]="In Progress", TODAY()-Delivery_data[[#This Row],[Order Date]], "")</f>
        <v/>
      </c>
      <c r="R1447">
        <f>IF(Delivery_data[[#This Row],[On Time]]=1,0,1)</f>
        <v>1</v>
      </c>
    </row>
    <row r="1448" spans="1:18" x14ac:dyDescent="0.35">
      <c r="A1448">
        <v>2438</v>
      </c>
      <c r="B1448" t="s">
        <v>1540</v>
      </c>
      <c r="C1448" s="1">
        <v>45175.63958333333</v>
      </c>
      <c r="D1448" t="s">
        <v>25</v>
      </c>
      <c r="E1448" t="s">
        <v>511</v>
      </c>
      <c r="F1448" t="s">
        <v>1125</v>
      </c>
      <c r="G1448" t="s">
        <v>233</v>
      </c>
      <c r="H1448">
        <v>72</v>
      </c>
      <c r="I1448">
        <v>17</v>
      </c>
      <c r="J1448" t="s">
        <v>35</v>
      </c>
      <c r="K1448" t="s">
        <v>51</v>
      </c>
      <c r="L1448" t="s">
        <v>22</v>
      </c>
      <c r="M1448" t="s">
        <v>39</v>
      </c>
      <c r="N1448">
        <v>0</v>
      </c>
      <c r="O1448">
        <v>1</v>
      </c>
      <c r="P1448" s="8">
        <f>INT(Delivery_data[[#This Row],[Order Timestamp]])</f>
        <v>45175</v>
      </c>
      <c r="Q1448" t="str">
        <f ca="1">IF(Delivery_data[[#This Row],[Order Status]]="In Progress", TODAY()-Delivery_data[[#This Row],[Order Date]], "")</f>
        <v/>
      </c>
      <c r="R1448">
        <f>IF(Delivery_data[[#This Row],[On Time]]=1,0,1)</f>
        <v>1</v>
      </c>
    </row>
    <row r="1449" spans="1:18" x14ac:dyDescent="0.35">
      <c r="A1449">
        <v>2439</v>
      </c>
      <c r="B1449" t="s">
        <v>1541</v>
      </c>
      <c r="C1449" s="1">
        <v>45171.672222222223</v>
      </c>
      <c r="D1449" t="s">
        <v>25</v>
      </c>
      <c r="E1449" t="s">
        <v>541</v>
      </c>
      <c r="F1449" t="s">
        <v>1125</v>
      </c>
      <c r="G1449" t="s">
        <v>463</v>
      </c>
      <c r="H1449">
        <v>217</v>
      </c>
      <c r="I1449">
        <v>4</v>
      </c>
      <c r="J1449" t="s">
        <v>20</v>
      </c>
      <c r="K1449" t="s">
        <v>38</v>
      </c>
      <c r="L1449" t="s">
        <v>22</v>
      </c>
      <c r="M1449" t="s">
        <v>23</v>
      </c>
      <c r="N1449">
        <v>0</v>
      </c>
      <c r="O1449">
        <v>0</v>
      </c>
      <c r="P1449" s="8">
        <f>INT(Delivery_data[[#This Row],[Order Timestamp]])</f>
        <v>45171</v>
      </c>
      <c r="Q1449" t="str">
        <f ca="1">IF(Delivery_data[[#This Row],[Order Status]]="In Progress", TODAY()-Delivery_data[[#This Row],[Order Date]], "")</f>
        <v/>
      </c>
      <c r="R1449">
        <f>IF(Delivery_data[[#This Row],[On Time]]=1,0,1)</f>
        <v>1</v>
      </c>
    </row>
    <row r="1450" spans="1:18" x14ac:dyDescent="0.35">
      <c r="A1450">
        <v>2451</v>
      </c>
      <c r="B1450" t="s">
        <v>1542</v>
      </c>
      <c r="C1450" s="1">
        <v>45173.382638888892</v>
      </c>
      <c r="D1450" t="s">
        <v>16</v>
      </c>
      <c r="E1450" t="s">
        <v>653</v>
      </c>
      <c r="F1450" t="s">
        <v>1125</v>
      </c>
      <c r="G1450" t="s">
        <v>557</v>
      </c>
      <c r="H1450">
        <v>236</v>
      </c>
      <c r="I1450">
        <v>25</v>
      </c>
      <c r="J1450" t="s">
        <v>35</v>
      </c>
      <c r="K1450" t="s">
        <v>38</v>
      </c>
      <c r="L1450" t="s">
        <v>22</v>
      </c>
      <c r="M1450" t="s">
        <v>39</v>
      </c>
      <c r="N1450">
        <v>0</v>
      </c>
      <c r="O1450">
        <v>1</v>
      </c>
      <c r="P1450" s="8">
        <f>INT(Delivery_data[[#This Row],[Order Timestamp]])</f>
        <v>45173</v>
      </c>
      <c r="Q1450">
        <f ca="1">IF(Delivery_data[[#This Row],[Order Status]]="In Progress", TODAY()-Delivery_data[[#This Row],[Order Date]], "")</f>
        <v>810</v>
      </c>
      <c r="R1450">
        <f>IF(Delivery_data[[#This Row],[On Time]]=1,0,1)</f>
        <v>1</v>
      </c>
    </row>
    <row r="1451" spans="1:18" x14ac:dyDescent="0.35">
      <c r="A1451">
        <v>2454</v>
      </c>
      <c r="B1451" t="s">
        <v>1543</v>
      </c>
      <c r="C1451" s="1">
        <v>45173.4</v>
      </c>
      <c r="D1451" t="s">
        <v>16</v>
      </c>
      <c r="E1451" t="s">
        <v>209</v>
      </c>
      <c r="F1451" t="s">
        <v>1125</v>
      </c>
      <c r="G1451" t="s">
        <v>463</v>
      </c>
      <c r="H1451">
        <v>183</v>
      </c>
      <c r="I1451">
        <v>8</v>
      </c>
      <c r="J1451" t="s">
        <v>35</v>
      </c>
      <c r="K1451" t="s">
        <v>38</v>
      </c>
      <c r="L1451" t="s">
        <v>22</v>
      </c>
      <c r="M1451" t="s">
        <v>39</v>
      </c>
      <c r="N1451">
        <v>0</v>
      </c>
      <c r="O1451">
        <v>1</v>
      </c>
      <c r="P1451" s="8">
        <f>INT(Delivery_data[[#This Row],[Order Timestamp]])</f>
        <v>45173</v>
      </c>
      <c r="Q1451">
        <f ca="1">IF(Delivery_data[[#This Row],[Order Status]]="In Progress", TODAY()-Delivery_data[[#This Row],[Order Date]], "")</f>
        <v>810</v>
      </c>
      <c r="R1451">
        <f>IF(Delivery_data[[#This Row],[On Time]]=1,0,1)</f>
        <v>1</v>
      </c>
    </row>
    <row r="1452" spans="1:18" x14ac:dyDescent="0.35">
      <c r="A1452">
        <v>2459</v>
      </c>
      <c r="B1452" t="s">
        <v>1544</v>
      </c>
      <c r="C1452" s="1">
        <v>45170.645138888889</v>
      </c>
      <c r="D1452" t="s">
        <v>16</v>
      </c>
      <c r="E1452" t="s">
        <v>87</v>
      </c>
      <c r="F1452" t="s">
        <v>1125</v>
      </c>
      <c r="G1452" t="s">
        <v>463</v>
      </c>
      <c r="H1452">
        <v>194</v>
      </c>
      <c r="I1452">
        <v>24</v>
      </c>
      <c r="J1452" t="s">
        <v>35</v>
      </c>
      <c r="K1452" t="s">
        <v>21</v>
      </c>
      <c r="L1452" t="s">
        <v>22</v>
      </c>
      <c r="M1452" t="s">
        <v>23</v>
      </c>
      <c r="N1452">
        <v>0</v>
      </c>
      <c r="O1452">
        <v>1</v>
      </c>
      <c r="P1452" s="8">
        <f>INT(Delivery_data[[#This Row],[Order Timestamp]])</f>
        <v>45170</v>
      </c>
      <c r="Q1452">
        <f ca="1">IF(Delivery_data[[#This Row],[Order Status]]="In Progress", TODAY()-Delivery_data[[#This Row],[Order Date]], "")</f>
        <v>813</v>
      </c>
      <c r="R1452">
        <f>IF(Delivery_data[[#This Row],[On Time]]=1,0,1)</f>
        <v>1</v>
      </c>
    </row>
    <row r="1453" spans="1:18" x14ac:dyDescent="0.35">
      <c r="A1453">
        <v>2460</v>
      </c>
      <c r="B1453" t="s">
        <v>1545</v>
      </c>
      <c r="C1453" s="1">
        <v>45172.555555555555</v>
      </c>
      <c r="D1453" t="s">
        <v>16</v>
      </c>
      <c r="E1453" t="s">
        <v>80</v>
      </c>
      <c r="F1453" t="s">
        <v>1125</v>
      </c>
      <c r="G1453" t="s">
        <v>463</v>
      </c>
      <c r="H1453">
        <v>122</v>
      </c>
      <c r="I1453">
        <v>13</v>
      </c>
      <c r="J1453" t="s">
        <v>35</v>
      </c>
      <c r="K1453" t="s">
        <v>28</v>
      </c>
      <c r="L1453" t="s">
        <v>22</v>
      </c>
      <c r="M1453" t="s">
        <v>23</v>
      </c>
      <c r="N1453">
        <v>0</v>
      </c>
      <c r="O1453">
        <v>1</v>
      </c>
      <c r="P1453" s="8">
        <f>INT(Delivery_data[[#This Row],[Order Timestamp]])</f>
        <v>45172</v>
      </c>
      <c r="Q1453">
        <f ca="1">IF(Delivery_data[[#This Row],[Order Status]]="In Progress", TODAY()-Delivery_data[[#This Row],[Order Date]], "")</f>
        <v>811</v>
      </c>
      <c r="R1453">
        <f>IF(Delivery_data[[#This Row],[On Time]]=1,0,1)</f>
        <v>1</v>
      </c>
    </row>
    <row r="1454" spans="1:18" x14ac:dyDescent="0.35">
      <c r="A1454">
        <v>2488</v>
      </c>
      <c r="B1454" t="s">
        <v>1546</v>
      </c>
      <c r="C1454" s="1">
        <v>45175.361111111109</v>
      </c>
      <c r="D1454" t="s">
        <v>16</v>
      </c>
      <c r="E1454" t="s">
        <v>271</v>
      </c>
      <c r="F1454" t="s">
        <v>1125</v>
      </c>
      <c r="G1454" t="s">
        <v>233</v>
      </c>
      <c r="H1454">
        <v>172</v>
      </c>
      <c r="I1454">
        <v>11</v>
      </c>
      <c r="J1454" t="s">
        <v>20</v>
      </c>
      <c r="K1454" t="s">
        <v>51</v>
      </c>
      <c r="L1454" t="s">
        <v>22</v>
      </c>
      <c r="M1454" t="s">
        <v>23</v>
      </c>
      <c r="N1454">
        <v>0</v>
      </c>
      <c r="O1454">
        <v>0</v>
      </c>
      <c r="P1454" s="8">
        <f>INT(Delivery_data[[#This Row],[Order Timestamp]])</f>
        <v>45175</v>
      </c>
      <c r="Q1454">
        <f ca="1">IF(Delivery_data[[#This Row],[Order Status]]="In Progress", TODAY()-Delivery_data[[#This Row],[Order Date]], "")</f>
        <v>808</v>
      </c>
      <c r="R1454">
        <f>IF(Delivery_data[[#This Row],[On Time]]=1,0,1)</f>
        <v>1</v>
      </c>
    </row>
    <row r="1455" spans="1:18" x14ac:dyDescent="0.35">
      <c r="A1455">
        <v>2499</v>
      </c>
      <c r="B1455" t="s">
        <v>1547</v>
      </c>
      <c r="C1455" s="1">
        <v>45173.706944444442</v>
      </c>
      <c r="D1455" t="s">
        <v>16</v>
      </c>
      <c r="E1455" t="s">
        <v>126</v>
      </c>
      <c r="F1455" t="s">
        <v>1125</v>
      </c>
      <c r="G1455" t="s">
        <v>19</v>
      </c>
      <c r="H1455">
        <v>141</v>
      </c>
      <c r="I1455">
        <v>7</v>
      </c>
      <c r="J1455" t="s">
        <v>27</v>
      </c>
      <c r="K1455" t="s">
        <v>38</v>
      </c>
      <c r="L1455" t="s">
        <v>22</v>
      </c>
      <c r="M1455" t="s">
        <v>39</v>
      </c>
      <c r="N1455">
        <v>0</v>
      </c>
      <c r="O1455">
        <v>0</v>
      </c>
      <c r="P1455" s="8">
        <f>INT(Delivery_data[[#This Row],[Order Timestamp]])</f>
        <v>45173</v>
      </c>
      <c r="Q1455">
        <f ca="1">IF(Delivery_data[[#This Row],[Order Status]]="In Progress", TODAY()-Delivery_data[[#This Row],[Order Date]], "")</f>
        <v>810</v>
      </c>
      <c r="R1455">
        <f>IF(Delivery_data[[#This Row],[On Time]]=1,0,1)</f>
        <v>1</v>
      </c>
    </row>
    <row r="1456" spans="1:18" x14ac:dyDescent="0.35">
      <c r="A1456">
        <v>1003</v>
      </c>
      <c r="B1456" t="s">
        <v>1548</v>
      </c>
      <c r="C1456" s="1">
        <v>45170.680555555555</v>
      </c>
      <c r="D1456" t="s">
        <v>25</v>
      </c>
      <c r="E1456" t="s">
        <v>320</v>
      </c>
      <c r="F1456" t="s">
        <v>1125</v>
      </c>
      <c r="G1456" t="s">
        <v>362</v>
      </c>
      <c r="H1456">
        <v>192</v>
      </c>
      <c r="I1456">
        <v>0</v>
      </c>
      <c r="J1456" t="s">
        <v>27</v>
      </c>
      <c r="K1456" t="s">
        <v>33</v>
      </c>
      <c r="L1456" t="s">
        <v>29</v>
      </c>
      <c r="M1456" t="s">
        <v>23</v>
      </c>
      <c r="N1456">
        <v>1</v>
      </c>
      <c r="O1456">
        <v>0</v>
      </c>
      <c r="P1456" s="8">
        <f>INT(Delivery_data[[#This Row],[Order Timestamp]])</f>
        <v>45170</v>
      </c>
      <c r="Q1456" t="str">
        <f ca="1">IF(Delivery_data[[#This Row],[Order Status]]="In Progress", TODAY()-Delivery_data[[#This Row],[Order Date]], "")</f>
        <v/>
      </c>
      <c r="R1456">
        <f>IF(Delivery_data[[#This Row],[On Time]]=1,0,1)</f>
        <v>0</v>
      </c>
    </row>
    <row r="1457" spans="1:18" x14ac:dyDescent="0.35">
      <c r="A1457">
        <v>1025</v>
      </c>
      <c r="B1457" t="s">
        <v>1549</v>
      </c>
      <c r="C1457" s="1">
        <v>45172.590277777781</v>
      </c>
      <c r="D1457" t="s">
        <v>16</v>
      </c>
      <c r="E1457" t="s">
        <v>541</v>
      </c>
      <c r="F1457" t="s">
        <v>646</v>
      </c>
      <c r="G1457" t="s">
        <v>233</v>
      </c>
      <c r="H1457">
        <v>150</v>
      </c>
      <c r="I1457">
        <v>0</v>
      </c>
      <c r="J1457" t="s">
        <v>27</v>
      </c>
      <c r="K1457" t="s">
        <v>38</v>
      </c>
      <c r="L1457" t="s">
        <v>22</v>
      </c>
      <c r="M1457" t="s">
        <v>23</v>
      </c>
      <c r="N1457">
        <v>1</v>
      </c>
      <c r="O1457">
        <v>0</v>
      </c>
      <c r="P1457" s="8">
        <f>INT(Delivery_data[[#This Row],[Order Timestamp]])</f>
        <v>45172</v>
      </c>
      <c r="Q1457">
        <f ca="1">IF(Delivery_data[[#This Row],[Order Status]]="In Progress", TODAY()-Delivery_data[[#This Row],[Order Date]], "")</f>
        <v>811</v>
      </c>
      <c r="R1457">
        <f>IF(Delivery_data[[#This Row],[On Time]]=1,0,1)</f>
        <v>0</v>
      </c>
    </row>
    <row r="1458" spans="1:18" x14ac:dyDescent="0.35">
      <c r="A1458">
        <v>1043</v>
      </c>
      <c r="B1458" t="s">
        <v>1550</v>
      </c>
      <c r="C1458" s="1">
        <v>45174.475694444445</v>
      </c>
      <c r="D1458" t="s">
        <v>25</v>
      </c>
      <c r="E1458" t="s">
        <v>91</v>
      </c>
      <c r="F1458" t="s">
        <v>646</v>
      </c>
      <c r="G1458" t="s">
        <v>362</v>
      </c>
      <c r="H1458">
        <v>235</v>
      </c>
      <c r="I1458">
        <v>0</v>
      </c>
      <c r="J1458" t="s">
        <v>20</v>
      </c>
      <c r="K1458" t="s">
        <v>21</v>
      </c>
      <c r="L1458" t="s">
        <v>42</v>
      </c>
      <c r="M1458" t="s">
        <v>23</v>
      </c>
      <c r="N1458">
        <v>1</v>
      </c>
      <c r="O1458">
        <v>0</v>
      </c>
      <c r="P1458" s="8">
        <f>INT(Delivery_data[[#This Row],[Order Timestamp]])</f>
        <v>45174</v>
      </c>
      <c r="Q1458" t="str">
        <f ca="1">IF(Delivery_data[[#This Row],[Order Status]]="In Progress", TODAY()-Delivery_data[[#This Row],[Order Date]], "")</f>
        <v/>
      </c>
      <c r="R1458">
        <f>IF(Delivery_data[[#This Row],[On Time]]=1,0,1)</f>
        <v>0</v>
      </c>
    </row>
    <row r="1459" spans="1:18" x14ac:dyDescent="0.35">
      <c r="A1459">
        <v>1058</v>
      </c>
      <c r="B1459" t="s">
        <v>1551</v>
      </c>
      <c r="C1459" s="1">
        <v>45172.668749999997</v>
      </c>
      <c r="D1459" t="s">
        <v>16</v>
      </c>
      <c r="E1459" t="s">
        <v>155</v>
      </c>
      <c r="F1459" t="s">
        <v>1125</v>
      </c>
      <c r="G1459" t="s">
        <v>362</v>
      </c>
      <c r="H1459">
        <v>214</v>
      </c>
      <c r="I1459">
        <v>0</v>
      </c>
      <c r="J1459" t="s">
        <v>35</v>
      </c>
      <c r="K1459" t="s">
        <v>21</v>
      </c>
      <c r="L1459" t="s">
        <v>29</v>
      </c>
      <c r="M1459" t="s">
        <v>39</v>
      </c>
      <c r="N1459">
        <v>1</v>
      </c>
      <c r="O1459">
        <v>1</v>
      </c>
      <c r="P1459" s="8">
        <f>INT(Delivery_data[[#This Row],[Order Timestamp]])</f>
        <v>45172</v>
      </c>
      <c r="Q1459">
        <f ca="1">IF(Delivery_data[[#This Row],[Order Status]]="In Progress", TODAY()-Delivery_data[[#This Row],[Order Date]], "")</f>
        <v>811</v>
      </c>
      <c r="R1459">
        <f>IF(Delivery_data[[#This Row],[On Time]]=1,0,1)</f>
        <v>0</v>
      </c>
    </row>
    <row r="1460" spans="1:18" x14ac:dyDescent="0.35">
      <c r="A1460">
        <v>1069</v>
      </c>
      <c r="B1460" t="s">
        <v>1552</v>
      </c>
      <c r="C1460" s="1">
        <v>45174.681250000001</v>
      </c>
      <c r="D1460" t="s">
        <v>16</v>
      </c>
      <c r="E1460" t="s">
        <v>191</v>
      </c>
      <c r="F1460" t="s">
        <v>646</v>
      </c>
      <c r="G1460" t="s">
        <v>362</v>
      </c>
      <c r="H1460">
        <v>72</v>
      </c>
      <c r="I1460">
        <v>0</v>
      </c>
      <c r="J1460" t="s">
        <v>20</v>
      </c>
      <c r="K1460" t="s">
        <v>28</v>
      </c>
      <c r="L1460" t="s">
        <v>29</v>
      </c>
      <c r="M1460" t="s">
        <v>39</v>
      </c>
      <c r="N1460">
        <v>1</v>
      </c>
      <c r="O1460">
        <v>0</v>
      </c>
      <c r="P1460" s="8">
        <f>INT(Delivery_data[[#This Row],[Order Timestamp]])</f>
        <v>45174</v>
      </c>
      <c r="Q1460">
        <f ca="1">IF(Delivery_data[[#This Row],[Order Status]]="In Progress", TODAY()-Delivery_data[[#This Row],[Order Date]], "")</f>
        <v>809</v>
      </c>
      <c r="R1460">
        <f>IF(Delivery_data[[#This Row],[On Time]]=1,0,1)</f>
        <v>0</v>
      </c>
    </row>
    <row r="1461" spans="1:18" x14ac:dyDescent="0.35">
      <c r="A1461">
        <v>1097</v>
      </c>
      <c r="B1461" t="s">
        <v>1553</v>
      </c>
      <c r="C1461" s="1">
        <v>45171.425000000003</v>
      </c>
      <c r="D1461" t="s">
        <v>25</v>
      </c>
      <c r="E1461" t="s">
        <v>184</v>
      </c>
      <c r="F1461" t="s">
        <v>18</v>
      </c>
      <c r="G1461" t="s">
        <v>463</v>
      </c>
      <c r="H1461">
        <v>94</v>
      </c>
      <c r="I1461">
        <v>0</v>
      </c>
      <c r="J1461" t="s">
        <v>27</v>
      </c>
      <c r="K1461" t="s">
        <v>21</v>
      </c>
      <c r="L1461" t="s">
        <v>29</v>
      </c>
      <c r="M1461" t="s">
        <v>39</v>
      </c>
      <c r="N1461">
        <v>1</v>
      </c>
      <c r="O1461">
        <v>0</v>
      </c>
      <c r="P1461" s="8">
        <f>INT(Delivery_data[[#This Row],[Order Timestamp]])</f>
        <v>45171</v>
      </c>
      <c r="Q1461" t="str">
        <f ca="1">IF(Delivery_data[[#This Row],[Order Status]]="In Progress", TODAY()-Delivery_data[[#This Row],[Order Date]], "")</f>
        <v/>
      </c>
      <c r="R1461">
        <f>IF(Delivery_data[[#This Row],[On Time]]=1,0,1)</f>
        <v>0</v>
      </c>
    </row>
    <row r="1462" spans="1:18" x14ac:dyDescent="0.35">
      <c r="A1462">
        <v>1134</v>
      </c>
      <c r="B1462" t="s">
        <v>1554</v>
      </c>
      <c r="C1462" s="1">
        <v>45172.634722222225</v>
      </c>
      <c r="D1462" t="s">
        <v>16</v>
      </c>
      <c r="E1462" t="s">
        <v>91</v>
      </c>
      <c r="F1462" t="s">
        <v>1125</v>
      </c>
      <c r="G1462" t="s">
        <v>463</v>
      </c>
      <c r="H1462">
        <v>140</v>
      </c>
      <c r="I1462">
        <v>0</v>
      </c>
      <c r="J1462" t="s">
        <v>20</v>
      </c>
      <c r="K1462" t="s">
        <v>51</v>
      </c>
      <c r="L1462" t="s">
        <v>29</v>
      </c>
      <c r="M1462" t="s">
        <v>23</v>
      </c>
      <c r="N1462">
        <v>1</v>
      </c>
      <c r="O1462">
        <v>0</v>
      </c>
      <c r="P1462" s="8">
        <f>INT(Delivery_data[[#This Row],[Order Timestamp]])</f>
        <v>45172</v>
      </c>
      <c r="Q1462">
        <f ca="1">IF(Delivery_data[[#This Row],[Order Status]]="In Progress", TODAY()-Delivery_data[[#This Row],[Order Date]], "")</f>
        <v>811</v>
      </c>
      <c r="R1462">
        <f>IF(Delivery_data[[#This Row],[On Time]]=1,0,1)</f>
        <v>0</v>
      </c>
    </row>
    <row r="1463" spans="1:18" x14ac:dyDescent="0.35">
      <c r="A1463">
        <v>1163</v>
      </c>
      <c r="B1463" t="s">
        <v>1555</v>
      </c>
      <c r="C1463" s="1">
        <v>45171.496527777781</v>
      </c>
      <c r="D1463" t="s">
        <v>16</v>
      </c>
      <c r="E1463" t="s">
        <v>117</v>
      </c>
      <c r="F1463" t="s">
        <v>18</v>
      </c>
      <c r="G1463" t="s">
        <v>233</v>
      </c>
      <c r="H1463">
        <v>78</v>
      </c>
      <c r="I1463">
        <v>0</v>
      </c>
      <c r="J1463" t="s">
        <v>35</v>
      </c>
      <c r="K1463" t="s">
        <v>38</v>
      </c>
      <c r="L1463" t="s">
        <v>22</v>
      </c>
      <c r="M1463" t="s">
        <v>30</v>
      </c>
      <c r="N1463">
        <v>1</v>
      </c>
      <c r="O1463">
        <v>1</v>
      </c>
      <c r="P1463" s="8">
        <f>INT(Delivery_data[[#This Row],[Order Timestamp]])</f>
        <v>45171</v>
      </c>
      <c r="Q1463">
        <f ca="1">IF(Delivery_data[[#This Row],[Order Status]]="In Progress", TODAY()-Delivery_data[[#This Row],[Order Date]], "")</f>
        <v>812</v>
      </c>
      <c r="R1463">
        <f>IF(Delivery_data[[#This Row],[On Time]]=1,0,1)</f>
        <v>0</v>
      </c>
    </row>
    <row r="1464" spans="1:18" x14ac:dyDescent="0.35">
      <c r="A1464">
        <v>1169</v>
      </c>
      <c r="B1464" t="s">
        <v>1556</v>
      </c>
      <c r="C1464" s="1">
        <v>45170.498611111114</v>
      </c>
      <c r="D1464" t="s">
        <v>16</v>
      </c>
      <c r="E1464" t="s">
        <v>108</v>
      </c>
      <c r="F1464" t="s">
        <v>18</v>
      </c>
      <c r="G1464" t="s">
        <v>19</v>
      </c>
      <c r="H1464">
        <v>223</v>
      </c>
      <c r="I1464">
        <v>0</v>
      </c>
      <c r="J1464" t="s">
        <v>20</v>
      </c>
      <c r="K1464" t="s">
        <v>51</v>
      </c>
      <c r="L1464" t="s">
        <v>42</v>
      </c>
      <c r="M1464" t="s">
        <v>30</v>
      </c>
      <c r="N1464">
        <v>1</v>
      </c>
      <c r="O1464">
        <v>0</v>
      </c>
      <c r="P1464" s="8">
        <f>INT(Delivery_data[[#This Row],[Order Timestamp]])</f>
        <v>45170</v>
      </c>
      <c r="Q1464">
        <f ca="1">IF(Delivery_data[[#This Row],[Order Status]]="In Progress", TODAY()-Delivery_data[[#This Row],[Order Date]], "")</f>
        <v>813</v>
      </c>
      <c r="R1464">
        <f>IF(Delivery_data[[#This Row],[On Time]]=1,0,1)</f>
        <v>0</v>
      </c>
    </row>
    <row r="1465" spans="1:18" x14ac:dyDescent="0.35">
      <c r="A1465">
        <v>1190</v>
      </c>
      <c r="B1465" t="s">
        <v>1557</v>
      </c>
      <c r="C1465" s="1">
        <v>45171.507638888892</v>
      </c>
      <c r="D1465" t="s">
        <v>16</v>
      </c>
      <c r="E1465" t="s">
        <v>104</v>
      </c>
      <c r="F1465" t="s">
        <v>1125</v>
      </c>
      <c r="G1465" t="s">
        <v>362</v>
      </c>
      <c r="H1465">
        <v>95</v>
      </c>
      <c r="I1465">
        <v>0</v>
      </c>
      <c r="J1465" t="s">
        <v>27</v>
      </c>
      <c r="K1465" t="s">
        <v>38</v>
      </c>
      <c r="L1465" t="s">
        <v>42</v>
      </c>
      <c r="M1465" t="s">
        <v>23</v>
      </c>
      <c r="N1465">
        <v>1</v>
      </c>
      <c r="O1465">
        <v>0</v>
      </c>
      <c r="P1465" s="8">
        <f>INT(Delivery_data[[#This Row],[Order Timestamp]])</f>
        <v>45171</v>
      </c>
      <c r="Q1465">
        <f ca="1">IF(Delivery_data[[#This Row],[Order Status]]="In Progress", TODAY()-Delivery_data[[#This Row],[Order Date]], "")</f>
        <v>812</v>
      </c>
      <c r="R1465">
        <f>IF(Delivery_data[[#This Row],[On Time]]=1,0,1)</f>
        <v>0</v>
      </c>
    </row>
    <row r="1466" spans="1:18" x14ac:dyDescent="0.35">
      <c r="A1466">
        <v>1196</v>
      </c>
      <c r="B1466" t="s">
        <v>1558</v>
      </c>
      <c r="C1466" s="1">
        <v>45170.588888888888</v>
      </c>
      <c r="D1466" t="s">
        <v>16</v>
      </c>
      <c r="E1466" t="s">
        <v>666</v>
      </c>
      <c r="F1466" t="s">
        <v>18</v>
      </c>
      <c r="G1466" t="s">
        <v>362</v>
      </c>
      <c r="H1466">
        <v>76</v>
      </c>
      <c r="I1466">
        <v>0</v>
      </c>
      <c r="J1466" t="s">
        <v>27</v>
      </c>
      <c r="K1466" t="s">
        <v>38</v>
      </c>
      <c r="L1466" t="s">
        <v>22</v>
      </c>
      <c r="M1466" t="s">
        <v>39</v>
      </c>
      <c r="N1466">
        <v>1</v>
      </c>
      <c r="O1466">
        <v>0</v>
      </c>
      <c r="P1466" s="8">
        <f>INT(Delivery_data[[#This Row],[Order Timestamp]])</f>
        <v>45170</v>
      </c>
      <c r="Q1466">
        <f ca="1">IF(Delivery_data[[#This Row],[Order Status]]="In Progress", TODAY()-Delivery_data[[#This Row],[Order Date]], "")</f>
        <v>813</v>
      </c>
      <c r="R1466">
        <f>IF(Delivery_data[[#This Row],[On Time]]=1,0,1)</f>
        <v>0</v>
      </c>
    </row>
    <row r="1467" spans="1:18" x14ac:dyDescent="0.35">
      <c r="A1467">
        <v>1202</v>
      </c>
      <c r="B1467" t="s">
        <v>1559</v>
      </c>
      <c r="C1467" s="1">
        <v>45171.367361111108</v>
      </c>
      <c r="D1467" t="s">
        <v>16</v>
      </c>
      <c r="E1467" t="s">
        <v>284</v>
      </c>
      <c r="F1467" t="s">
        <v>18</v>
      </c>
      <c r="G1467" t="s">
        <v>362</v>
      </c>
      <c r="H1467">
        <v>63</v>
      </c>
      <c r="I1467">
        <v>0</v>
      </c>
      <c r="J1467" t="s">
        <v>35</v>
      </c>
      <c r="K1467" t="s">
        <v>21</v>
      </c>
      <c r="L1467" t="s">
        <v>29</v>
      </c>
      <c r="M1467" t="s">
        <v>39</v>
      </c>
      <c r="N1467">
        <v>1</v>
      </c>
      <c r="O1467">
        <v>1</v>
      </c>
      <c r="P1467" s="8">
        <f>INT(Delivery_data[[#This Row],[Order Timestamp]])</f>
        <v>45171</v>
      </c>
      <c r="Q1467">
        <f ca="1">IF(Delivery_data[[#This Row],[Order Status]]="In Progress", TODAY()-Delivery_data[[#This Row],[Order Date]], "")</f>
        <v>812</v>
      </c>
      <c r="R1467">
        <f>IF(Delivery_data[[#This Row],[On Time]]=1,0,1)</f>
        <v>0</v>
      </c>
    </row>
    <row r="1468" spans="1:18" x14ac:dyDescent="0.35">
      <c r="A1468">
        <v>1220</v>
      </c>
      <c r="B1468" t="s">
        <v>1560</v>
      </c>
      <c r="C1468" s="1">
        <v>45174.555555555555</v>
      </c>
      <c r="D1468" t="s">
        <v>16</v>
      </c>
      <c r="E1468" t="s">
        <v>76</v>
      </c>
      <c r="F1468" t="s">
        <v>1125</v>
      </c>
      <c r="G1468" t="s">
        <v>233</v>
      </c>
      <c r="H1468">
        <v>86</v>
      </c>
      <c r="I1468">
        <v>0</v>
      </c>
      <c r="J1468" t="s">
        <v>35</v>
      </c>
      <c r="K1468" t="s">
        <v>28</v>
      </c>
      <c r="L1468" t="s">
        <v>29</v>
      </c>
      <c r="M1468" t="s">
        <v>23</v>
      </c>
      <c r="N1468">
        <v>1</v>
      </c>
      <c r="O1468">
        <v>1</v>
      </c>
      <c r="P1468" s="8">
        <f>INT(Delivery_data[[#This Row],[Order Timestamp]])</f>
        <v>45174</v>
      </c>
      <c r="Q1468">
        <f ca="1">IF(Delivery_data[[#This Row],[Order Status]]="In Progress", TODAY()-Delivery_data[[#This Row],[Order Date]], "")</f>
        <v>809</v>
      </c>
      <c r="R1468">
        <f>IF(Delivery_data[[#This Row],[On Time]]=1,0,1)</f>
        <v>0</v>
      </c>
    </row>
    <row r="1469" spans="1:18" x14ac:dyDescent="0.35">
      <c r="A1469">
        <v>1292</v>
      </c>
      <c r="B1469" t="s">
        <v>1561</v>
      </c>
      <c r="C1469" s="1">
        <v>45174.336111111108</v>
      </c>
      <c r="D1469" t="s">
        <v>25</v>
      </c>
      <c r="E1469" t="s">
        <v>48</v>
      </c>
      <c r="F1469" t="s">
        <v>18</v>
      </c>
      <c r="G1469" t="s">
        <v>557</v>
      </c>
      <c r="H1469">
        <v>163</v>
      </c>
      <c r="I1469">
        <v>0</v>
      </c>
      <c r="J1469" t="s">
        <v>20</v>
      </c>
      <c r="K1469" t="s">
        <v>28</v>
      </c>
      <c r="L1469" t="s">
        <v>42</v>
      </c>
      <c r="M1469" t="s">
        <v>23</v>
      </c>
      <c r="N1469">
        <v>1</v>
      </c>
      <c r="O1469">
        <v>0</v>
      </c>
      <c r="P1469" s="8">
        <f>INT(Delivery_data[[#This Row],[Order Timestamp]])</f>
        <v>45174</v>
      </c>
      <c r="Q1469" t="str">
        <f ca="1">IF(Delivery_data[[#This Row],[Order Status]]="In Progress", TODAY()-Delivery_data[[#This Row],[Order Date]], "")</f>
        <v/>
      </c>
      <c r="R1469">
        <f>IF(Delivery_data[[#This Row],[On Time]]=1,0,1)</f>
        <v>0</v>
      </c>
    </row>
    <row r="1470" spans="1:18" x14ac:dyDescent="0.35">
      <c r="A1470">
        <v>1297</v>
      </c>
      <c r="B1470" t="s">
        <v>1562</v>
      </c>
      <c r="C1470" s="1">
        <v>45176.378472222219</v>
      </c>
      <c r="D1470" t="s">
        <v>16</v>
      </c>
      <c r="E1470" t="s">
        <v>248</v>
      </c>
      <c r="F1470" t="s">
        <v>1125</v>
      </c>
      <c r="G1470" t="s">
        <v>362</v>
      </c>
      <c r="H1470">
        <v>175</v>
      </c>
      <c r="I1470">
        <v>0</v>
      </c>
      <c r="J1470" t="s">
        <v>35</v>
      </c>
      <c r="K1470" t="s">
        <v>28</v>
      </c>
      <c r="L1470" t="s">
        <v>42</v>
      </c>
      <c r="M1470" t="s">
        <v>23</v>
      </c>
      <c r="N1470">
        <v>1</v>
      </c>
      <c r="O1470">
        <v>1</v>
      </c>
      <c r="P1470" s="8">
        <f>INT(Delivery_data[[#This Row],[Order Timestamp]])</f>
        <v>45176</v>
      </c>
      <c r="Q1470">
        <f ca="1">IF(Delivery_data[[#This Row],[Order Status]]="In Progress", TODAY()-Delivery_data[[#This Row],[Order Date]], "")</f>
        <v>807</v>
      </c>
      <c r="R1470">
        <f>IF(Delivery_data[[#This Row],[On Time]]=1,0,1)</f>
        <v>0</v>
      </c>
    </row>
    <row r="1471" spans="1:18" x14ac:dyDescent="0.35">
      <c r="A1471">
        <v>1426</v>
      </c>
      <c r="B1471" t="s">
        <v>1563</v>
      </c>
      <c r="C1471" s="1">
        <v>45172.382638888892</v>
      </c>
      <c r="D1471" t="s">
        <v>25</v>
      </c>
      <c r="E1471" t="s">
        <v>136</v>
      </c>
      <c r="F1471" t="s">
        <v>646</v>
      </c>
      <c r="G1471" t="s">
        <v>463</v>
      </c>
      <c r="H1471">
        <v>120</v>
      </c>
      <c r="I1471">
        <v>0</v>
      </c>
      <c r="J1471" t="s">
        <v>27</v>
      </c>
      <c r="K1471" t="s">
        <v>21</v>
      </c>
      <c r="L1471" t="s">
        <v>22</v>
      </c>
      <c r="M1471" t="s">
        <v>30</v>
      </c>
      <c r="N1471">
        <v>1</v>
      </c>
      <c r="O1471">
        <v>0</v>
      </c>
      <c r="P1471" s="8">
        <f>INT(Delivery_data[[#This Row],[Order Timestamp]])</f>
        <v>45172</v>
      </c>
      <c r="Q1471" t="str">
        <f ca="1">IF(Delivery_data[[#This Row],[Order Status]]="In Progress", TODAY()-Delivery_data[[#This Row],[Order Date]], "")</f>
        <v/>
      </c>
      <c r="R1471">
        <f>IF(Delivery_data[[#This Row],[On Time]]=1,0,1)</f>
        <v>0</v>
      </c>
    </row>
    <row r="1472" spans="1:18" x14ac:dyDescent="0.35">
      <c r="A1472">
        <v>1462</v>
      </c>
      <c r="B1472" t="s">
        <v>1564</v>
      </c>
      <c r="C1472" s="1">
        <v>45173.380555555559</v>
      </c>
      <c r="D1472" t="s">
        <v>25</v>
      </c>
      <c r="E1472" t="s">
        <v>115</v>
      </c>
      <c r="F1472" t="s">
        <v>18</v>
      </c>
      <c r="G1472" t="s">
        <v>233</v>
      </c>
      <c r="H1472">
        <v>122</v>
      </c>
      <c r="I1472">
        <v>0</v>
      </c>
      <c r="J1472" t="s">
        <v>20</v>
      </c>
      <c r="K1472" t="s">
        <v>21</v>
      </c>
      <c r="L1472" t="s">
        <v>22</v>
      </c>
      <c r="M1472" t="s">
        <v>39</v>
      </c>
      <c r="N1472">
        <v>1</v>
      </c>
      <c r="O1472">
        <v>0</v>
      </c>
      <c r="P1472" s="8">
        <f>INT(Delivery_data[[#This Row],[Order Timestamp]])</f>
        <v>45173</v>
      </c>
      <c r="Q1472" t="str">
        <f ca="1">IF(Delivery_data[[#This Row],[Order Status]]="In Progress", TODAY()-Delivery_data[[#This Row],[Order Date]], "")</f>
        <v/>
      </c>
      <c r="R1472">
        <f>IF(Delivery_data[[#This Row],[On Time]]=1,0,1)</f>
        <v>0</v>
      </c>
    </row>
    <row r="1473" spans="1:18" x14ac:dyDescent="0.35">
      <c r="A1473">
        <v>1520</v>
      </c>
      <c r="B1473" t="s">
        <v>1565</v>
      </c>
      <c r="C1473" s="1">
        <v>45170.588194444441</v>
      </c>
      <c r="D1473" t="s">
        <v>25</v>
      </c>
      <c r="E1473" t="s">
        <v>184</v>
      </c>
      <c r="F1473" t="s">
        <v>646</v>
      </c>
      <c r="G1473" t="s">
        <v>463</v>
      </c>
      <c r="H1473">
        <v>206</v>
      </c>
      <c r="I1473">
        <v>0</v>
      </c>
      <c r="J1473" t="s">
        <v>35</v>
      </c>
      <c r="K1473" t="s">
        <v>38</v>
      </c>
      <c r="L1473" t="s">
        <v>29</v>
      </c>
      <c r="M1473" t="s">
        <v>30</v>
      </c>
      <c r="N1473">
        <v>1</v>
      </c>
      <c r="O1473">
        <v>1</v>
      </c>
      <c r="P1473" s="8">
        <f>INT(Delivery_data[[#This Row],[Order Timestamp]])</f>
        <v>45170</v>
      </c>
      <c r="Q1473" t="str">
        <f ca="1">IF(Delivery_data[[#This Row],[Order Status]]="In Progress", TODAY()-Delivery_data[[#This Row],[Order Date]], "")</f>
        <v/>
      </c>
      <c r="R1473">
        <f>IF(Delivery_data[[#This Row],[On Time]]=1,0,1)</f>
        <v>0</v>
      </c>
    </row>
    <row r="1474" spans="1:18" x14ac:dyDescent="0.35">
      <c r="A1474">
        <v>1545</v>
      </c>
      <c r="B1474" t="s">
        <v>729</v>
      </c>
      <c r="C1474" s="1">
        <v>45174.61041666667</v>
      </c>
      <c r="D1474" t="s">
        <v>16</v>
      </c>
      <c r="E1474" t="s">
        <v>191</v>
      </c>
      <c r="F1474" t="s">
        <v>646</v>
      </c>
      <c r="G1474" t="s">
        <v>557</v>
      </c>
      <c r="H1474">
        <v>198</v>
      </c>
      <c r="I1474">
        <v>0</v>
      </c>
      <c r="J1474" t="s">
        <v>20</v>
      </c>
      <c r="K1474" t="s">
        <v>28</v>
      </c>
      <c r="L1474" t="s">
        <v>29</v>
      </c>
      <c r="M1474" t="s">
        <v>23</v>
      </c>
      <c r="N1474">
        <v>1</v>
      </c>
      <c r="O1474">
        <v>0</v>
      </c>
      <c r="P1474" s="8">
        <f>INT(Delivery_data[[#This Row],[Order Timestamp]])</f>
        <v>45174</v>
      </c>
      <c r="Q1474">
        <f ca="1">IF(Delivery_data[[#This Row],[Order Status]]="In Progress", TODAY()-Delivery_data[[#This Row],[Order Date]], "")</f>
        <v>809</v>
      </c>
      <c r="R1474">
        <f>IF(Delivery_data[[#This Row],[On Time]]=1,0,1)</f>
        <v>0</v>
      </c>
    </row>
    <row r="1475" spans="1:18" x14ac:dyDescent="0.35">
      <c r="A1475">
        <v>1554</v>
      </c>
      <c r="B1475" t="s">
        <v>1566</v>
      </c>
      <c r="C1475" s="1">
        <v>45177.647916666669</v>
      </c>
      <c r="D1475" t="s">
        <v>16</v>
      </c>
      <c r="E1475" t="s">
        <v>104</v>
      </c>
      <c r="F1475" t="s">
        <v>646</v>
      </c>
      <c r="G1475" t="s">
        <v>557</v>
      </c>
      <c r="H1475">
        <v>179</v>
      </c>
      <c r="I1475">
        <v>0</v>
      </c>
      <c r="J1475" t="s">
        <v>20</v>
      </c>
      <c r="K1475" t="s">
        <v>38</v>
      </c>
      <c r="L1475" t="s">
        <v>42</v>
      </c>
      <c r="M1475" t="s">
        <v>39</v>
      </c>
      <c r="N1475">
        <v>1</v>
      </c>
      <c r="O1475">
        <v>0</v>
      </c>
      <c r="P1475" s="8">
        <f>INT(Delivery_data[[#This Row],[Order Timestamp]])</f>
        <v>45177</v>
      </c>
      <c r="Q1475">
        <f ca="1">IF(Delivery_data[[#This Row],[Order Status]]="In Progress", TODAY()-Delivery_data[[#This Row],[Order Date]], "")</f>
        <v>806</v>
      </c>
      <c r="R1475">
        <f>IF(Delivery_data[[#This Row],[On Time]]=1,0,1)</f>
        <v>0</v>
      </c>
    </row>
    <row r="1476" spans="1:18" x14ac:dyDescent="0.35">
      <c r="A1476">
        <v>1579</v>
      </c>
      <c r="B1476" t="s">
        <v>1567</v>
      </c>
      <c r="C1476" s="1">
        <v>45175.411111111112</v>
      </c>
      <c r="D1476" t="s">
        <v>25</v>
      </c>
      <c r="E1476" t="s">
        <v>511</v>
      </c>
      <c r="F1476" t="s">
        <v>1125</v>
      </c>
      <c r="G1476" t="s">
        <v>463</v>
      </c>
      <c r="H1476">
        <v>138</v>
      </c>
      <c r="I1476">
        <v>0</v>
      </c>
      <c r="J1476" t="s">
        <v>27</v>
      </c>
      <c r="K1476" t="s">
        <v>38</v>
      </c>
      <c r="L1476" t="s">
        <v>42</v>
      </c>
      <c r="M1476" t="s">
        <v>30</v>
      </c>
      <c r="N1476">
        <v>1</v>
      </c>
      <c r="O1476">
        <v>0</v>
      </c>
      <c r="P1476" s="8">
        <f>INT(Delivery_data[[#This Row],[Order Timestamp]])</f>
        <v>45175</v>
      </c>
      <c r="Q1476" t="str">
        <f ca="1">IF(Delivery_data[[#This Row],[Order Status]]="In Progress", TODAY()-Delivery_data[[#This Row],[Order Date]], "")</f>
        <v/>
      </c>
      <c r="R1476">
        <f>IF(Delivery_data[[#This Row],[On Time]]=1,0,1)</f>
        <v>0</v>
      </c>
    </row>
    <row r="1477" spans="1:18" x14ac:dyDescent="0.35">
      <c r="A1477">
        <v>1603</v>
      </c>
      <c r="B1477" t="s">
        <v>1568</v>
      </c>
      <c r="C1477" s="1">
        <v>45172.36041666667</v>
      </c>
      <c r="D1477" t="s">
        <v>25</v>
      </c>
      <c r="E1477" t="s">
        <v>115</v>
      </c>
      <c r="F1477" t="s">
        <v>646</v>
      </c>
      <c r="G1477" t="s">
        <v>463</v>
      </c>
      <c r="H1477">
        <v>226</v>
      </c>
      <c r="I1477">
        <v>0</v>
      </c>
      <c r="J1477" t="s">
        <v>20</v>
      </c>
      <c r="K1477" t="s">
        <v>21</v>
      </c>
      <c r="L1477" t="s">
        <v>29</v>
      </c>
      <c r="M1477" t="s">
        <v>39</v>
      </c>
      <c r="N1477">
        <v>1</v>
      </c>
      <c r="O1477">
        <v>0</v>
      </c>
      <c r="P1477" s="8">
        <f>INT(Delivery_data[[#This Row],[Order Timestamp]])</f>
        <v>45172</v>
      </c>
      <c r="Q1477" t="str">
        <f ca="1">IF(Delivery_data[[#This Row],[Order Status]]="In Progress", TODAY()-Delivery_data[[#This Row],[Order Date]], "")</f>
        <v/>
      </c>
      <c r="R1477">
        <f>IF(Delivery_data[[#This Row],[On Time]]=1,0,1)</f>
        <v>0</v>
      </c>
    </row>
    <row r="1478" spans="1:18" x14ac:dyDescent="0.35">
      <c r="A1478">
        <v>1698</v>
      </c>
      <c r="B1478" t="s">
        <v>1569</v>
      </c>
      <c r="C1478" s="1">
        <v>45177.683333333334</v>
      </c>
      <c r="D1478" t="s">
        <v>16</v>
      </c>
      <c r="E1478" t="s">
        <v>206</v>
      </c>
      <c r="F1478" t="s">
        <v>18</v>
      </c>
      <c r="G1478" t="s">
        <v>557</v>
      </c>
      <c r="H1478">
        <v>86</v>
      </c>
      <c r="I1478">
        <v>0</v>
      </c>
      <c r="J1478" t="s">
        <v>27</v>
      </c>
      <c r="K1478" t="s">
        <v>21</v>
      </c>
      <c r="L1478" t="s">
        <v>42</v>
      </c>
      <c r="M1478" t="s">
        <v>30</v>
      </c>
      <c r="N1478">
        <v>1</v>
      </c>
      <c r="O1478">
        <v>0</v>
      </c>
      <c r="P1478" s="8">
        <f>INT(Delivery_data[[#This Row],[Order Timestamp]])</f>
        <v>45177</v>
      </c>
      <c r="Q1478">
        <f ca="1">IF(Delivery_data[[#This Row],[Order Status]]="In Progress", TODAY()-Delivery_data[[#This Row],[Order Date]], "")</f>
        <v>806</v>
      </c>
      <c r="R1478">
        <f>IF(Delivery_data[[#This Row],[On Time]]=1,0,1)</f>
        <v>0</v>
      </c>
    </row>
    <row r="1479" spans="1:18" x14ac:dyDescent="0.35">
      <c r="A1479">
        <v>1713</v>
      </c>
      <c r="B1479" t="s">
        <v>1570</v>
      </c>
      <c r="C1479" s="1">
        <v>45174.648611111108</v>
      </c>
      <c r="D1479" t="s">
        <v>16</v>
      </c>
      <c r="E1479" t="s">
        <v>89</v>
      </c>
      <c r="F1479" t="s">
        <v>1125</v>
      </c>
      <c r="G1479" t="s">
        <v>463</v>
      </c>
      <c r="H1479">
        <v>204</v>
      </c>
      <c r="I1479">
        <v>0</v>
      </c>
      <c r="J1479" t="s">
        <v>35</v>
      </c>
      <c r="K1479" t="s">
        <v>28</v>
      </c>
      <c r="L1479" t="s">
        <v>42</v>
      </c>
      <c r="M1479" t="s">
        <v>30</v>
      </c>
      <c r="N1479">
        <v>1</v>
      </c>
      <c r="O1479">
        <v>1</v>
      </c>
      <c r="P1479" s="8">
        <f>INT(Delivery_data[[#This Row],[Order Timestamp]])</f>
        <v>45174</v>
      </c>
      <c r="Q1479">
        <f ca="1">IF(Delivery_data[[#This Row],[Order Status]]="In Progress", TODAY()-Delivery_data[[#This Row],[Order Date]], "")</f>
        <v>809</v>
      </c>
      <c r="R1479">
        <f>IF(Delivery_data[[#This Row],[On Time]]=1,0,1)</f>
        <v>0</v>
      </c>
    </row>
    <row r="1480" spans="1:18" x14ac:dyDescent="0.35">
      <c r="A1480">
        <v>1750</v>
      </c>
      <c r="B1480" t="s">
        <v>1571</v>
      </c>
      <c r="C1480" s="1">
        <v>45177.566666666666</v>
      </c>
      <c r="D1480" t="s">
        <v>25</v>
      </c>
      <c r="E1480" t="s">
        <v>195</v>
      </c>
      <c r="F1480" t="s">
        <v>646</v>
      </c>
      <c r="G1480" t="s">
        <v>557</v>
      </c>
      <c r="H1480">
        <v>199</v>
      </c>
      <c r="I1480">
        <v>0</v>
      </c>
      <c r="J1480" t="s">
        <v>35</v>
      </c>
      <c r="K1480" t="s">
        <v>38</v>
      </c>
      <c r="L1480" t="s">
        <v>42</v>
      </c>
      <c r="M1480" t="s">
        <v>23</v>
      </c>
      <c r="N1480">
        <v>1</v>
      </c>
      <c r="O1480">
        <v>1</v>
      </c>
      <c r="P1480" s="8">
        <f>INT(Delivery_data[[#This Row],[Order Timestamp]])</f>
        <v>45177</v>
      </c>
      <c r="Q1480" t="str">
        <f ca="1">IF(Delivery_data[[#This Row],[Order Status]]="In Progress", TODAY()-Delivery_data[[#This Row],[Order Date]], "")</f>
        <v/>
      </c>
      <c r="R1480">
        <f>IF(Delivery_data[[#This Row],[On Time]]=1,0,1)</f>
        <v>0</v>
      </c>
    </row>
    <row r="1481" spans="1:18" x14ac:dyDescent="0.35">
      <c r="A1481">
        <v>1813</v>
      </c>
      <c r="B1481" t="s">
        <v>1572</v>
      </c>
      <c r="C1481" s="1">
        <v>45173.436805555553</v>
      </c>
      <c r="D1481" t="s">
        <v>25</v>
      </c>
      <c r="E1481" t="s">
        <v>245</v>
      </c>
      <c r="F1481" t="s">
        <v>1125</v>
      </c>
      <c r="G1481" t="s">
        <v>19</v>
      </c>
      <c r="H1481">
        <v>128</v>
      </c>
      <c r="I1481">
        <v>0</v>
      </c>
      <c r="J1481" t="s">
        <v>27</v>
      </c>
      <c r="K1481" t="s">
        <v>28</v>
      </c>
      <c r="L1481" t="s">
        <v>22</v>
      </c>
      <c r="M1481" t="s">
        <v>23</v>
      </c>
      <c r="N1481">
        <v>1</v>
      </c>
      <c r="O1481">
        <v>0</v>
      </c>
      <c r="P1481" s="8">
        <f>INT(Delivery_data[[#This Row],[Order Timestamp]])</f>
        <v>45173</v>
      </c>
      <c r="Q1481" t="str">
        <f ca="1">IF(Delivery_data[[#This Row],[Order Status]]="In Progress", TODAY()-Delivery_data[[#This Row],[Order Date]], "")</f>
        <v/>
      </c>
      <c r="R1481">
        <f>IF(Delivery_data[[#This Row],[On Time]]=1,0,1)</f>
        <v>0</v>
      </c>
    </row>
    <row r="1482" spans="1:18" x14ac:dyDescent="0.35">
      <c r="A1482">
        <v>1953</v>
      </c>
      <c r="B1482" t="s">
        <v>1573</v>
      </c>
      <c r="C1482" s="1">
        <v>45171.416666666664</v>
      </c>
      <c r="D1482" t="s">
        <v>25</v>
      </c>
      <c r="E1482" t="s">
        <v>200</v>
      </c>
      <c r="F1482" t="s">
        <v>18</v>
      </c>
      <c r="G1482" t="s">
        <v>557</v>
      </c>
      <c r="H1482">
        <v>65</v>
      </c>
      <c r="I1482">
        <v>0</v>
      </c>
      <c r="J1482" t="s">
        <v>20</v>
      </c>
      <c r="K1482" t="s">
        <v>38</v>
      </c>
      <c r="L1482" t="s">
        <v>22</v>
      </c>
      <c r="M1482" t="s">
        <v>39</v>
      </c>
      <c r="N1482">
        <v>1</v>
      </c>
      <c r="O1482">
        <v>0</v>
      </c>
      <c r="P1482" s="8">
        <f>INT(Delivery_data[[#This Row],[Order Timestamp]])</f>
        <v>45171</v>
      </c>
      <c r="Q1482" t="str">
        <f ca="1">IF(Delivery_data[[#This Row],[Order Status]]="In Progress", TODAY()-Delivery_data[[#This Row],[Order Date]], "")</f>
        <v/>
      </c>
      <c r="R1482">
        <f>IF(Delivery_data[[#This Row],[On Time]]=1,0,1)</f>
        <v>0</v>
      </c>
    </row>
    <row r="1483" spans="1:18" x14ac:dyDescent="0.35">
      <c r="A1483">
        <v>2010</v>
      </c>
      <c r="B1483" t="s">
        <v>1574</v>
      </c>
      <c r="C1483" s="1">
        <v>45176.334027777775</v>
      </c>
      <c r="D1483" t="s">
        <v>25</v>
      </c>
      <c r="E1483" t="s">
        <v>191</v>
      </c>
      <c r="F1483" t="s">
        <v>646</v>
      </c>
      <c r="G1483" t="s">
        <v>19</v>
      </c>
      <c r="H1483">
        <v>210</v>
      </c>
      <c r="I1483">
        <v>0</v>
      </c>
      <c r="J1483" t="s">
        <v>27</v>
      </c>
      <c r="K1483" t="s">
        <v>21</v>
      </c>
      <c r="L1483" t="s">
        <v>29</v>
      </c>
      <c r="M1483" t="s">
        <v>23</v>
      </c>
      <c r="N1483">
        <v>1</v>
      </c>
      <c r="O1483">
        <v>0</v>
      </c>
      <c r="P1483" s="8">
        <f>INT(Delivery_data[[#This Row],[Order Timestamp]])</f>
        <v>45176</v>
      </c>
      <c r="Q1483" t="str">
        <f ca="1">IF(Delivery_data[[#This Row],[Order Status]]="In Progress", TODAY()-Delivery_data[[#This Row],[Order Date]], "")</f>
        <v/>
      </c>
      <c r="R1483">
        <f>IF(Delivery_data[[#This Row],[On Time]]=1,0,1)</f>
        <v>0</v>
      </c>
    </row>
    <row r="1484" spans="1:18" x14ac:dyDescent="0.35">
      <c r="A1484">
        <v>2047</v>
      </c>
      <c r="B1484" t="s">
        <v>1575</v>
      </c>
      <c r="C1484" s="1">
        <v>45175.354166666664</v>
      </c>
      <c r="D1484" t="s">
        <v>16</v>
      </c>
      <c r="E1484" t="s">
        <v>191</v>
      </c>
      <c r="F1484" t="s">
        <v>1125</v>
      </c>
      <c r="G1484" t="s">
        <v>463</v>
      </c>
      <c r="H1484">
        <v>121</v>
      </c>
      <c r="I1484">
        <v>0</v>
      </c>
      <c r="J1484" t="s">
        <v>35</v>
      </c>
      <c r="K1484" t="s">
        <v>38</v>
      </c>
      <c r="L1484" t="s">
        <v>42</v>
      </c>
      <c r="M1484" t="s">
        <v>30</v>
      </c>
      <c r="N1484">
        <v>1</v>
      </c>
      <c r="O1484">
        <v>1</v>
      </c>
      <c r="P1484" s="8">
        <f>INT(Delivery_data[[#This Row],[Order Timestamp]])</f>
        <v>45175</v>
      </c>
      <c r="Q1484">
        <f ca="1">IF(Delivery_data[[#This Row],[Order Status]]="In Progress", TODAY()-Delivery_data[[#This Row],[Order Date]], "")</f>
        <v>808</v>
      </c>
      <c r="R1484">
        <f>IF(Delivery_data[[#This Row],[On Time]]=1,0,1)</f>
        <v>0</v>
      </c>
    </row>
    <row r="1485" spans="1:18" x14ac:dyDescent="0.35">
      <c r="A1485">
        <v>2137</v>
      </c>
      <c r="B1485" t="s">
        <v>1576</v>
      </c>
      <c r="C1485" s="1">
        <v>45174.600694444445</v>
      </c>
      <c r="D1485" t="s">
        <v>16</v>
      </c>
      <c r="E1485" t="s">
        <v>271</v>
      </c>
      <c r="F1485" t="s">
        <v>1125</v>
      </c>
      <c r="G1485" t="s">
        <v>463</v>
      </c>
      <c r="H1485">
        <v>137</v>
      </c>
      <c r="I1485">
        <v>0</v>
      </c>
      <c r="J1485" t="s">
        <v>20</v>
      </c>
      <c r="K1485" t="s">
        <v>38</v>
      </c>
      <c r="L1485" t="s">
        <v>22</v>
      </c>
      <c r="M1485" t="s">
        <v>30</v>
      </c>
      <c r="N1485">
        <v>1</v>
      </c>
      <c r="O1485">
        <v>0</v>
      </c>
      <c r="P1485" s="8">
        <f>INT(Delivery_data[[#This Row],[Order Timestamp]])</f>
        <v>45174</v>
      </c>
      <c r="Q1485">
        <f ca="1">IF(Delivery_data[[#This Row],[Order Status]]="In Progress", TODAY()-Delivery_data[[#This Row],[Order Date]], "")</f>
        <v>809</v>
      </c>
      <c r="R1485">
        <f>IF(Delivery_data[[#This Row],[On Time]]=1,0,1)</f>
        <v>0</v>
      </c>
    </row>
    <row r="1486" spans="1:18" x14ac:dyDescent="0.35">
      <c r="A1486">
        <v>2140</v>
      </c>
      <c r="B1486" t="s">
        <v>1577</v>
      </c>
      <c r="C1486" s="1">
        <v>45171.477777777778</v>
      </c>
      <c r="D1486" t="s">
        <v>25</v>
      </c>
      <c r="E1486" t="s">
        <v>191</v>
      </c>
      <c r="F1486" t="s">
        <v>1125</v>
      </c>
      <c r="G1486" t="s">
        <v>557</v>
      </c>
      <c r="H1486">
        <v>224</v>
      </c>
      <c r="I1486">
        <v>0</v>
      </c>
      <c r="J1486" t="s">
        <v>20</v>
      </c>
      <c r="K1486" t="s">
        <v>21</v>
      </c>
      <c r="L1486" t="s">
        <v>22</v>
      </c>
      <c r="M1486" t="s">
        <v>39</v>
      </c>
      <c r="N1486">
        <v>1</v>
      </c>
      <c r="O1486">
        <v>0</v>
      </c>
      <c r="P1486" s="8">
        <f>INT(Delivery_data[[#This Row],[Order Timestamp]])</f>
        <v>45171</v>
      </c>
      <c r="Q1486" t="str">
        <f ca="1">IF(Delivery_data[[#This Row],[Order Status]]="In Progress", TODAY()-Delivery_data[[#This Row],[Order Date]], "")</f>
        <v/>
      </c>
      <c r="R1486">
        <f>IF(Delivery_data[[#This Row],[On Time]]=1,0,1)</f>
        <v>0</v>
      </c>
    </row>
    <row r="1487" spans="1:18" x14ac:dyDescent="0.35">
      <c r="A1487">
        <v>2164</v>
      </c>
      <c r="B1487" t="s">
        <v>1578</v>
      </c>
      <c r="C1487" s="1">
        <v>45174.470833333333</v>
      </c>
      <c r="D1487" t="s">
        <v>25</v>
      </c>
      <c r="E1487" t="s">
        <v>46</v>
      </c>
      <c r="F1487" t="s">
        <v>646</v>
      </c>
      <c r="G1487" t="s">
        <v>233</v>
      </c>
      <c r="H1487">
        <v>118</v>
      </c>
      <c r="I1487">
        <v>0</v>
      </c>
      <c r="J1487" t="s">
        <v>27</v>
      </c>
      <c r="K1487" t="s">
        <v>28</v>
      </c>
      <c r="L1487" t="s">
        <v>22</v>
      </c>
      <c r="M1487" t="s">
        <v>23</v>
      </c>
      <c r="N1487">
        <v>1</v>
      </c>
      <c r="O1487">
        <v>0</v>
      </c>
      <c r="P1487" s="8">
        <f>INT(Delivery_data[[#This Row],[Order Timestamp]])</f>
        <v>45174</v>
      </c>
      <c r="Q1487" t="str">
        <f ca="1">IF(Delivery_data[[#This Row],[Order Status]]="In Progress", TODAY()-Delivery_data[[#This Row],[Order Date]], "")</f>
        <v/>
      </c>
      <c r="R1487">
        <f>IF(Delivery_data[[#This Row],[On Time]]=1,0,1)</f>
        <v>0</v>
      </c>
    </row>
    <row r="1488" spans="1:18" x14ac:dyDescent="0.35">
      <c r="A1488">
        <v>2191</v>
      </c>
      <c r="B1488" t="s">
        <v>1579</v>
      </c>
      <c r="C1488" s="1">
        <v>45173.477083333331</v>
      </c>
      <c r="D1488" t="s">
        <v>16</v>
      </c>
      <c r="E1488" t="s">
        <v>41</v>
      </c>
      <c r="F1488" t="s">
        <v>1125</v>
      </c>
      <c r="G1488" t="s">
        <v>463</v>
      </c>
      <c r="H1488">
        <v>162</v>
      </c>
      <c r="I1488">
        <v>0</v>
      </c>
      <c r="J1488" t="s">
        <v>35</v>
      </c>
      <c r="K1488" t="s">
        <v>51</v>
      </c>
      <c r="L1488" t="s">
        <v>22</v>
      </c>
      <c r="M1488" t="s">
        <v>23</v>
      </c>
      <c r="N1488">
        <v>1</v>
      </c>
      <c r="O1488">
        <v>1</v>
      </c>
      <c r="P1488" s="8">
        <f>INT(Delivery_data[[#This Row],[Order Timestamp]])</f>
        <v>45173</v>
      </c>
      <c r="Q1488">
        <f ca="1">IF(Delivery_data[[#This Row],[Order Status]]="In Progress", TODAY()-Delivery_data[[#This Row],[Order Date]], "")</f>
        <v>810</v>
      </c>
      <c r="R1488">
        <f>IF(Delivery_data[[#This Row],[On Time]]=1,0,1)</f>
        <v>0</v>
      </c>
    </row>
    <row r="1489" spans="1:18" x14ac:dyDescent="0.35">
      <c r="A1489">
        <v>2211</v>
      </c>
      <c r="B1489" t="s">
        <v>1580</v>
      </c>
      <c r="C1489" s="1">
        <v>45174.680555555555</v>
      </c>
      <c r="D1489" t="s">
        <v>25</v>
      </c>
      <c r="E1489" t="s">
        <v>511</v>
      </c>
      <c r="F1489" t="s">
        <v>18</v>
      </c>
      <c r="G1489" t="s">
        <v>19</v>
      </c>
      <c r="H1489">
        <v>64</v>
      </c>
      <c r="I1489">
        <v>0</v>
      </c>
      <c r="J1489" t="s">
        <v>35</v>
      </c>
      <c r="K1489" t="s">
        <v>21</v>
      </c>
      <c r="L1489" t="s">
        <v>29</v>
      </c>
      <c r="M1489" t="s">
        <v>23</v>
      </c>
      <c r="N1489">
        <v>1</v>
      </c>
      <c r="O1489">
        <v>1</v>
      </c>
      <c r="P1489" s="8">
        <f>INT(Delivery_data[[#This Row],[Order Timestamp]])</f>
        <v>45174</v>
      </c>
      <c r="Q1489" t="str">
        <f ca="1">IF(Delivery_data[[#This Row],[Order Status]]="In Progress", TODAY()-Delivery_data[[#This Row],[Order Date]], "")</f>
        <v/>
      </c>
      <c r="R1489">
        <f>IF(Delivery_data[[#This Row],[On Time]]=1,0,1)</f>
        <v>0</v>
      </c>
    </row>
    <row r="1490" spans="1:18" x14ac:dyDescent="0.35">
      <c r="A1490">
        <v>2230</v>
      </c>
      <c r="B1490" t="s">
        <v>1581</v>
      </c>
      <c r="C1490" s="1">
        <v>45171.675694444442</v>
      </c>
      <c r="D1490" t="s">
        <v>25</v>
      </c>
      <c r="E1490" t="s">
        <v>44</v>
      </c>
      <c r="F1490" t="s">
        <v>18</v>
      </c>
      <c r="G1490" t="s">
        <v>557</v>
      </c>
      <c r="H1490">
        <v>84</v>
      </c>
      <c r="I1490">
        <v>0</v>
      </c>
      <c r="J1490" t="s">
        <v>35</v>
      </c>
      <c r="K1490" t="s">
        <v>51</v>
      </c>
      <c r="L1490" t="s">
        <v>22</v>
      </c>
      <c r="M1490" t="s">
        <v>23</v>
      </c>
      <c r="N1490">
        <v>1</v>
      </c>
      <c r="O1490">
        <v>1</v>
      </c>
      <c r="P1490" s="8">
        <f>INT(Delivery_data[[#This Row],[Order Timestamp]])</f>
        <v>45171</v>
      </c>
      <c r="Q1490" t="str">
        <f ca="1">IF(Delivery_data[[#This Row],[Order Status]]="In Progress", TODAY()-Delivery_data[[#This Row],[Order Date]], "")</f>
        <v/>
      </c>
      <c r="R1490">
        <f>IF(Delivery_data[[#This Row],[On Time]]=1,0,1)</f>
        <v>0</v>
      </c>
    </row>
    <row r="1491" spans="1:18" x14ac:dyDescent="0.35">
      <c r="A1491">
        <v>2285</v>
      </c>
      <c r="B1491" t="s">
        <v>1582</v>
      </c>
      <c r="C1491" s="1">
        <v>45176.599305555559</v>
      </c>
      <c r="D1491" t="s">
        <v>25</v>
      </c>
      <c r="E1491" t="s">
        <v>144</v>
      </c>
      <c r="F1491" t="s">
        <v>646</v>
      </c>
      <c r="G1491" t="s">
        <v>557</v>
      </c>
      <c r="H1491">
        <v>111</v>
      </c>
      <c r="I1491">
        <v>0</v>
      </c>
      <c r="J1491" t="s">
        <v>35</v>
      </c>
      <c r="K1491" t="s">
        <v>38</v>
      </c>
      <c r="L1491" t="s">
        <v>42</v>
      </c>
      <c r="M1491" t="s">
        <v>39</v>
      </c>
      <c r="N1491">
        <v>1</v>
      </c>
      <c r="O1491">
        <v>1</v>
      </c>
      <c r="P1491" s="8">
        <f>INT(Delivery_data[[#This Row],[Order Timestamp]])</f>
        <v>45176</v>
      </c>
      <c r="Q1491" t="str">
        <f ca="1">IF(Delivery_data[[#This Row],[Order Status]]="In Progress", TODAY()-Delivery_data[[#This Row],[Order Date]], "")</f>
        <v/>
      </c>
      <c r="R1491">
        <f>IF(Delivery_data[[#This Row],[On Time]]=1,0,1)</f>
        <v>0</v>
      </c>
    </row>
    <row r="1492" spans="1:18" x14ac:dyDescent="0.35">
      <c r="A1492">
        <v>2304</v>
      </c>
      <c r="B1492" t="s">
        <v>1583</v>
      </c>
      <c r="C1492" s="1">
        <v>45174.70416666667</v>
      </c>
      <c r="D1492" t="s">
        <v>16</v>
      </c>
      <c r="E1492" t="s">
        <v>158</v>
      </c>
      <c r="F1492" t="s">
        <v>1125</v>
      </c>
      <c r="G1492" t="s">
        <v>362</v>
      </c>
      <c r="H1492">
        <v>149</v>
      </c>
      <c r="I1492">
        <v>0</v>
      </c>
      <c r="J1492" t="s">
        <v>27</v>
      </c>
      <c r="K1492" t="s">
        <v>33</v>
      </c>
      <c r="L1492" t="s">
        <v>29</v>
      </c>
      <c r="M1492" t="s">
        <v>39</v>
      </c>
      <c r="N1492">
        <v>1</v>
      </c>
      <c r="O1492">
        <v>0</v>
      </c>
      <c r="P1492" s="8">
        <f>INT(Delivery_data[[#This Row],[Order Timestamp]])</f>
        <v>45174</v>
      </c>
      <c r="Q1492">
        <f ca="1">IF(Delivery_data[[#This Row],[Order Status]]="In Progress", TODAY()-Delivery_data[[#This Row],[Order Date]], "")</f>
        <v>809</v>
      </c>
      <c r="R1492">
        <f>IF(Delivery_data[[#This Row],[On Time]]=1,0,1)</f>
        <v>0</v>
      </c>
    </row>
    <row r="1493" spans="1:18" x14ac:dyDescent="0.35">
      <c r="A1493">
        <v>2310</v>
      </c>
      <c r="B1493" t="s">
        <v>1584</v>
      </c>
      <c r="C1493" s="1">
        <v>45175.512499999997</v>
      </c>
      <c r="D1493" t="s">
        <v>16</v>
      </c>
      <c r="E1493" t="s">
        <v>165</v>
      </c>
      <c r="F1493" t="s">
        <v>18</v>
      </c>
      <c r="G1493" t="s">
        <v>233</v>
      </c>
      <c r="H1493">
        <v>232</v>
      </c>
      <c r="I1493">
        <v>0</v>
      </c>
      <c r="J1493" t="s">
        <v>35</v>
      </c>
      <c r="K1493" t="s">
        <v>28</v>
      </c>
      <c r="L1493" t="s">
        <v>42</v>
      </c>
      <c r="M1493" t="s">
        <v>39</v>
      </c>
      <c r="N1493">
        <v>1</v>
      </c>
      <c r="O1493">
        <v>1</v>
      </c>
      <c r="P1493" s="8">
        <f>INT(Delivery_data[[#This Row],[Order Timestamp]])</f>
        <v>45175</v>
      </c>
      <c r="Q1493">
        <f ca="1">IF(Delivery_data[[#This Row],[Order Status]]="In Progress", TODAY()-Delivery_data[[#This Row],[Order Date]], "")</f>
        <v>808</v>
      </c>
      <c r="R1493">
        <f>IF(Delivery_data[[#This Row],[On Time]]=1,0,1)</f>
        <v>0</v>
      </c>
    </row>
    <row r="1494" spans="1:18" x14ac:dyDescent="0.35">
      <c r="A1494">
        <v>2330</v>
      </c>
      <c r="B1494" t="s">
        <v>1585</v>
      </c>
      <c r="C1494" s="1">
        <v>45176.616666666669</v>
      </c>
      <c r="D1494" t="s">
        <v>16</v>
      </c>
      <c r="E1494" t="s">
        <v>356</v>
      </c>
      <c r="F1494" t="s">
        <v>1125</v>
      </c>
      <c r="G1494" t="s">
        <v>362</v>
      </c>
      <c r="H1494">
        <v>108</v>
      </c>
      <c r="I1494">
        <v>0</v>
      </c>
      <c r="J1494" t="s">
        <v>35</v>
      </c>
      <c r="K1494" t="s">
        <v>38</v>
      </c>
      <c r="L1494" t="s">
        <v>22</v>
      </c>
      <c r="M1494" t="s">
        <v>39</v>
      </c>
      <c r="N1494">
        <v>1</v>
      </c>
      <c r="O1494">
        <v>1</v>
      </c>
      <c r="P1494" s="8">
        <f>INT(Delivery_data[[#This Row],[Order Timestamp]])</f>
        <v>45176</v>
      </c>
      <c r="Q1494">
        <f ca="1">IF(Delivery_data[[#This Row],[Order Status]]="In Progress", TODAY()-Delivery_data[[#This Row],[Order Date]], "")</f>
        <v>807</v>
      </c>
      <c r="R1494">
        <f>IF(Delivery_data[[#This Row],[On Time]]=1,0,1)</f>
        <v>0</v>
      </c>
    </row>
    <row r="1495" spans="1:18" x14ac:dyDescent="0.35">
      <c r="A1495">
        <v>2406</v>
      </c>
      <c r="B1495" t="s">
        <v>1586</v>
      </c>
      <c r="C1495" s="1">
        <v>45177.4375</v>
      </c>
      <c r="D1495" t="s">
        <v>25</v>
      </c>
      <c r="E1495" t="s">
        <v>70</v>
      </c>
      <c r="F1495" t="s">
        <v>18</v>
      </c>
      <c r="G1495" t="s">
        <v>19</v>
      </c>
      <c r="H1495">
        <v>212</v>
      </c>
      <c r="I1495">
        <v>0</v>
      </c>
      <c r="J1495" t="s">
        <v>27</v>
      </c>
      <c r="K1495" t="s">
        <v>38</v>
      </c>
      <c r="L1495" t="s">
        <v>22</v>
      </c>
      <c r="M1495" t="s">
        <v>39</v>
      </c>
      <c r="N1495">
        <v>1</v>
      </c>
      <c r="O1495">
        <v>0</v>
      </c>
      <c r="P1495" s="8">
        <f>INT(Delivery_data[[#This Row],[Order Timestamp]])</f>
        <v>45177</v>
      </c>
      <c r="Q1495" t="str">
        <f ca="1">IF(Delivery_data[[#This Row],[Order Status]]="In Progress", TODAY()-Delivery_data[[#This Row],[Order Date]], "")</f>
        <v/>
      </c>
      <c r="R1495">
        <f>IF(Delivery_data[[#This Row],[On Time]]=1,0,1)</f>
        <v>0</v>
      </c>
    </row>
    <row r="1496" spans="1:18" x14ac:dyDescent="0.35">
      <c r="A1496">
        <v>2411</v>
      </c>
      <c r="B1496" t="s">
        <v>1587</v>
      </c>
      <c r="C1496" s="1">
        <v>45174.655555555553</v>
      </c>
      <c r="D1496" t="s">
        <v>16</v>
      </c>
      <c r="E1496" t="s">
        <v>195</v>
      </c>
      <c r="F1496" t="s">
        <v>18</v>
      </c>
      <c r="G1496" t="s">
        <v>362</v>
      </c>
      <c r="H1496">
        <v>195</v>
      </c>
      <c r="I1496">
        <v>0</v>
      </c>
      <c r="J1496" t="s">
        <v>27</v>
      </c>
      <c r="K1496" t="s">
        <v>28</v>
      </c>
      <c r="L1496" t="s">
        <v>29</v>
      </c>
      <c r="M1496" t="s">
        <v>23</v>
      </c>
      <c r="N1496">
        <v>1</v>
      </c>
      <c r="O1496">
        <v>0</v>
      </c>
      <c r="P1496" s="8">
        <f>INT(Delivery_data[[#This Row],[Order Timestamp]])</f>
        <v>45174</v>
      </c>
      <c r="Q1496">
        <f ca="1">IF(Delivery_data[[#This Row],[Order Status]]="In Progress", TODAY()-Delivery_data[[#This Row],[Order Date]], "")</f>
        <v>809</v>
      </c>
      <c r="R1496">
        <f>IF(Delivery_data[[#This Row],[On Time]]=1,0,1)</f>
        <v>0</v>
      </c>
    </row>
    <row r="1497" spans="1:18" x14ac:dyDescent="0.35">
      <c r="A1497">
        <v>2422</v>
      </c>
      <c r="B1497" t="s">
        <v>1588</v>
      </c>
      <c r="C1497" s="1">
        <v>45176.494444444441</v>
      </c>
      <c r="D1497" t="s">
        <v>25</v>
      </c>
      <c r="E1497" t="s">
        <v>216</v>
      </c>
      <c r="F1497" t="s">
        <v>646</v>
      </c>
      <c r="G1497" t="s">
        <v>19</v>
      </c>
      <c r="H1497">
        <v>97</v>
      </c>
      <c r="I1497">
        <v>0</v>
      </c>
      <c r="J1497" t="s">
        <v>20</v>
      </c>
      <c r="K1497" t="s">
        <v>38</v>
      </c>
      <c r="L1497" t="s">
        <v>42</v>
      </c>
      <c r="M1497" t="s">
        <v>39</v>
      </c>
      <c r="N1497">
        <v>1</v>
      </c>
      <c r="O1497">
        <v>0</v>
      </c>
      <c r="P1497" s="8">
        <f>INT(Delivery_data[[#This Row],[Order Timestamp]])</f>
        <v>45176</v>
      </c>
      <c r="Q1497" t="str">
        <f ca="1">IF(Delivery_data[[#This Row],[Order Status]]="In Progress", TODAY()-Delivery_data[[#This Row],[Order Date]], "")</f>
        <v/>
      </c>
      <c r="R1497">
        <f>IF(Delivery_data[[#This Row],[On Time]]=1,0,1)</f>
        <v>0</v>
      </c>
    </row>
    <row r="1498" spans="1:18" x14ac:dyDescent="0.35">
      <c r="A1498">
        <v>2458</v>
      </c>
      <c r="B1498" t="s">
        <v>1589</v>
      </c>
      <c r="C1498" s="1">
        <v>45171.453472222223</v>
      </c>
      <c r="D1498" t="s">
        <v>25</v>
      </c>
      <c r="E1498" t="s">
        <v>191</v>
      </c>
      <c r="F1498" t="s">
        <v>1125</v>
      </c>
      <c r="G1498" t="s">
        <v>362</v>
      </c>
      <c r="H1498">
        <v>221</v>
      </c>
      <c r="I1498">
        <v>0</v>
      </c>
      <c r="J1498" t="s">
        <v>35</v>
      </c>
      <c r="K1498" t="s">
        <v>21</v>
      </c>
      <c r="L1498" t="s">
        <v>42</v>
      </c>
      <c r="M1498" t="s">
        <v>23</v>
      </c>
      <c r="N1498">
        <v>1</v>
      </c>
      <c r="O1498">
        <v>1</v>
      </c>
      <c r="P1498" s="8">
        <f>INT(Delivery_data[[#This Row],[Order Timestamp]])</f>
        <v>45171</v>
      </c>
      <c r="Q1498" t="str">
        <f ca="1">IF(Delivery_data[[#This Row],[Order Status]]="In Progress", TODAY()-Delivery_data[[#This Row],[Order Date]], "")</f>
        <v/>
      </c>
      <c r="R1498">
        <f>IF(Delivery_data[[#This Row],[On Time]]=1,0,1)</f>
        <v>0</v>
      </c>
    </row>
    <row r="1499" spans="1:18" x14ac:dyDescent="0.35">
      <c r="A1499">
        <v>2464</v>
      </c>
      <c r="B1499" t="s">
        <v>1590</v>
      </c>
      <c r="C1499" s="1">
        <v>45175.402777777781</v>
      </c>
      <c r="D1499" t="s">
        <v>16</v>
      </c>
      <c r="E1499" t="s">
        <v>559</v>
      </c>
      <c r="F1499" t="s">
        <v>646</v>
      </c>
      <c r="G1499" t="s">
        <v>19</v>
      </c>
      <c r="H1499">
        <v>227</v>
      </c>
      <c r="I1499">
        <v>0</v>
      </c>
      <c r="J1499" t="s">
        <v>27</v>
      </c>
      <c r="K1499" t="s">
        <v>28</v>
      </c>
      <c r="L1499" t="s">
        <v>22</v>
      </c>
      <c r="M1499" t="s">
        <v>30</v>
      </c>
      <c r="N1499">
        <v>1</v>
      </c>
      <c r="O1499">
        <v>0</v>
      </c>
      <c r="P1499" s="8">
        <f>INT(Delivery_data[[#This Row],[Order Timestamp]])</f>
        <v>45175</v>
      </c>
      <c r="Q1499">
        <f ca="1">IF(Delivery_data[[#This Row],[Order Status]]="In Progress", TODAY()-Delivery_data[[#This Row],[Order Date]], "")</f>
        <v>808</v>
      </c>
      <c r="R1499">
        <f>IF(Delivery_data[[#This Row],[On Time]]=1,0,1)</f>
        <v>0</v>
      </c>
    </row>
    <row r="1500" spans="1:18" x14ac:dyDescent="0.35">
      <c r="A1500">
        <v>2468</v>
      </c>
      <c r="B1500" t="s">
        <v>1591</v>
      </c>
      <c r="C1500" s="1">
        <v>45171.584027777775</v>
      </c>
      <c r="D1500" t="s">
        <v>16</v>
      </c>
      <c r="E1500" t="s">
        <v>37</v>
      </c>
      <c r="F1500" t="s">
        <v>646</v>
      </c>
      <c r="G1500" t="s">
        <v>557</v>
      </c>
      <c r="H1500">
        <v>144</v>
      </c>
      <c r="I1500">
        <v>0</v>
      </c>
      <c r="J1500" t="s">
        <v>27</v>
      </c>
      <c r="K1500" t="s">
        <v>38</v>
      </c>
      <c r="L1500" t="s">
        <v>29</v>
      </c>
      <c r="M1500" t="s">
        <v>39</v>
      </c>
      <c r="N1500">
        <v>1</v>
      </c>
      <c r="O1500">
        <v>0</v>
      </c>
      <c r="P1500" s="8">
        <f>INT(Delivery_data[[#This Row],[Order Timestamp]])</f>
        <v>45171</v>
      </c>
      <c r="Q1500">
        <f ca="1">IF(Delivery_data[[#This Row],[Order Status]]="In Progress", TODAY()-Delivery_data[[#This Row],[Order Date]], "")</f>
        <v>812</v>
      </c>
      <c r="R1500">
        <f>IF(Delivery_data[[#This Row],[On Time]]=1,0,1)</f>
        <v>0</v>
      </c>
    </row>
    <row r="1501" spans="1:18" x14ac:dyDescent="0.35">
      <c r="A1501">
        <v>2492</v>
      </c>
      <c r="B1501" t="s">
        <v>1592</v>
      </c>
      <c r="C1501" s="1">
        <v>45175.40347222222</v>
      </c>
      <c r="D1501" t="s">
        <v>16</v>
      </c>
      <c r="E1501" t="s">
        <v>204</v>
      </c>
      <c r="F1501" t="s">
        <v>18</v>
      </c>
      <c r="G1501" t="s">
        <v>362</v>
      </c>
      <c r="H1501">
        <v>202</v>
      </c>
      <c r="I1501">
        <v>0</v>
      </c>
      <c r="J1501" t="s">
        <v>35</v>
      </c>
      <c r="K1501" t="s">
        <v>51</v>
      </c>
      <c r="L1501" t="s">
        <v>42</v>
      </c>
      <c r="M1501" t="s">
        <v>39</v>
      </c>
      <c r="N1501">
        <v>1</v>
      </c>
      <c r="O1501">
        <v>1</v>
      </c>
      <c r="P1501" s="8">
        <f>INT(Delivery_data[[#This Row],[Order Timestamp]])</f>
        <v>45175</v>
      </c>
      <c r="Q1501">
        <f ca="1">IF(Delivery_data[[#This Row],[Order Status]]="In Progress", TODAY()-Delivery_data[[#This Row],[Order Date]], "")</f>
        <v>808</v>
      </c>
      <c r="R1501">
        <f>IF(Delivery_data[[#This Row],[On Time]]=1,0,1)</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C47F-8759-4510-95AC-A9FF78D239E3}">
  <dimension ref="B7:D20"/>
  <sheetViews>
    <sheetView workbookViewId="0">
      <selection activeCell="B16" sqref="B16"/>
    </sheetView>
  </sheetViews>
  <sheetFormatPr defaultRowHeight="14.5" x14ac:dyDescent="0.35"/>
  <cols>
    <col min="2" max="2" width="10" bestFit="1" customWidth="1"/>
    <col min="4" max="4" width="11.81640625" bestFit="1" customWidth="1"/>
  </cols>
  <sheetData>
    <row r="7" spans="2:4" x14ac:dyDescent="0.35">
      <c r="B7" t="s">
        <v>1594</v>
      </c>
      <c r="D7" t="s">
        <v>1598</v>
      </c>
    </row>
    <row r="8" spans="2:4" x14ac:dyDescent="0.35">
      <c r="B8">
        <v>1500</v>
      </c>
      <c r="D8" s="2">
        <v>0.32066666666666666</v>
      </c>
    </row>
    <row r="11" spans="2:4" x14ac:dyDescent="0.35">
      <c r="B11" t="s">
        <v>1595</v>
      </c>
    </row>
    <row r="12" spans="2:4" x14ac:dyDescent="0.35">
      <c r="B12">
        <v>151.77000000000001</v>
      </c>
    </row>
    <row r="15" spans="2:4" x14ac:dyDescent="0.35">
      <c r="B15" t="s">
        <v>1596</v>
      </c>
    </row>
    <row r="16" spans="2:4" x14ac:dyDescent="0.35">
      <c r="B16" s="5">
        <v>14.507333333333333</v>
      </c>
    </row>
    <row r="19" spans="2:2" x14ac:dyDescent="0.35">
      <c r="B19" s="3" t="s">
        <v>1597</v>
      </c>
    </row>
    <row r="20" spans="2:2" x14ac:dyDescent="0.35">
      <c r="B20" s="2">
        <v>3.0666666666666665E-2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16B5-FB78-41BF-896D-4516EEA4803C}">
  <dimension ref="A1:I21"/>
  <sheetViews>
    <sheetView workbookViewId="0">
      <selection activeCell="C22" sqref="C22"/>
    </sheetView>
  </sheetViews>
  <sheetFormatPr defaultRowHeight="14.5" x14ac:dyDescent="0.35"/>
  <cols>
    <col min="1" max="1" width="12.453125" bestFit="1" customWidth="1"/>
    <col min="2" max="2" width="20.453125" bestFit="1" customWidth="1"/>
    <col min="4" max="4" width="12.453125" bestFit="1" customWidth="1"/>
    <col min="5" max="5" width="15.08984375" bestFit="1" customWidth="1"/>
    <col min="7" max="7" width="12.453125" bestFit="1" customWidth="1"/>
    <col min="8" max="8" width="16.6328125" bestFit="1" customWidth="1"/>
    <col min="9" max="9" width="19.1796875" bestFit="1" customWidth="1"/>
  </cols>
  <sheetData>
    <row r="1" spans="1:9" x14ac:dyDescent="0.35">
      <c r="G1" s="6" t="s">
        <v>3</v>
      </c>
      <c r="H1" t="s">
        <v>1606</v>
      </c>
    </row>
    <row r="3" spans="1:9" x14ac:dyDescent="0.35">
      <c r="A3" s="6" t="s">
        <v>1599</v>
      </c>
      <c r="B3" t="s">
        <v>1601</v>
      </c>
      <c r="D3" s="6" t="s">
        <v>1599</v>
      </c>
      <c r="E3" t="s">
        <v>1602</v>
      </c>
      <c r="G3" s="6" t="s">
        <v>1599</v>
      </c>
      <c r="H3" t="s">
        <v>1593</v>
      </c>
      <c r="I3" t="s">
        <v>1607</v>
      </c>
    </row>
    <row r="4" spans="1:9" x14ac:dyDescent="0.35">
      <c r="A4" s="7" t="s">
        <v>42</v>
      </c>
      <c r="B4" s="5">
        <v>152.44701348747591</v>
      </c>
      <c r="D4" s="7" t="s">
        <v>27</v>
      </c>
      <c r="E4">
        <v>529</v>
      </c>
      <c r="G4" s="7" t="s">
        <v>42</v>
      </c>
      <c r="H4">
        <v>519</v>
      </c>
      <c r="I4">
        <v>808.62452107279694</v>
      </c>
    </row>
    <row r="5" spans="1:9" x14ac:dyDescent="0.35">
      <c r="A5" s="7" t="s">
        <v>29</v>
      </c>
      <c r="B5" s="5">
        <v>150.8918918918919</v>
      </c>
      <c r="D5" s="7" t="s">
        <v>20</v>
      </c>
      <c r="E5">
        <v>490</v>
      </c>
      <c r="G5" s="7" t="s">
        <v>29</v>
      </c>
      <c r="H5">
        <v>518</v>
      </c>
      <c r="I5">
        <v>808.65949820788535</v>
      </c>
    </row>
    <row r="6" spans="1:9" x14ac:dyDescent="0.35">
      <c r="A6" s="7" t="s">
        <v>22</v>
      </c>
      <c r="B6" s="5">
        <v>151.99352051835854</v>
      </c>
      <c r="D6" s="7" t="s">
        <v>35</v>
      </c>
      <c r="E6">
        <v>481</v>
      </c>
      <c r="G6" s="7" t="s">
        <v>22</v>
      </c>
      <c r="H6">
        <v>463</v>
      </c>
      <c r="I6">
        <v>808.61233480176213</v>
      </c>
    </row>
    <row r="7" spans="1:9" x14ac:dyDescent="0.35">
      <c r="A7" s="7" t="s">
        <v>1600</v>
      </c>
      <c r="B7">
        <v>151.77000000000001</v>
      </c>
      <c r="D7" s="7" t="s">
        <v>1600</v>
      </c>
      <c r="E7">
        <v>1500</v>
      </c>
      <c r="G7" s="7" t="s">
        <v>1600</v>
      </c>
      <c r="H7">
        <v>1500</v>
      </c>
      <c r="I7">
        <v>808.63363754889178</v>
      </c>
    </row>
    <row r="10" spans="1:9" x14ac:dyDescent="0.35">
      <c r="A10" s="6" t="s">
        <v>1599</v>
      </c>
      <c r="B10" t="s">
        <v>1596</v>
      </c>
      <c r="D10" s="6" t="s">
        <v>1599</v>
      </c>
      <c r="E10" t="s">
        <v>1604</v>
      </c>
      <c r="G10" s="6" t="s">
        <v>1599</v>
      </c>
      <c r="H10" t="s">
        <v>1609</v>
      </c>
      <c r="I10" t="s">
        <v>1610</v>
      </c>
    </row>
    <row r="11" spans="1:9" x14ac:dyDescent="0.35">
      <c r="A11" s="7" t="s">
        <v>56</v>
      </c>
      <c r="B11" s="4">
        <v>18.928571428571427</v>
      </c>
      <c r="D11" s="9">
        <v>45170</v>
      </c>
      <c r="E11">
        <v>194</v>
      </c>
      <c r="G11" s="7" t="s">
        <v>42</v>
      </c>
      <c r="H11" s="12">
        <v>1.0052777079668258</v>
      </c>
      <c r="I11" s="12">
        <v>0.99983302987175104</v>
      </c>
    </row>
    <row r="12" spans="1:9" x14ac:dyDescent="0.35">
      <c r="A12" s="7" t="s">
        <v>78</v>
      </c>
      <c r="B12" s="5">
        <v>18.785714285714285</v>
      </c>
      <c r="D12" s="9">
        <v>45171</v>
      </c>
      <c r="E12">
        <v>195</v>
      </c>
      <c r="G12" s="7" t="s">
        <v>29</v>
      </c>
      <c r="H12" s="12">
        <v>0.94426724861507483</v>
      </c>
      <c r="I12" s="12">
        <v>1.001763209466098</v>
      </c>
    </row>
    <row r="13" spans="1:9" x14ac:dyDescent="0.35">
      <c r="A13" s="7" t="s">
        <v>222</v>
      </c>
      <c r="B13" s="5">
        <v>19.333333333333332</v>
      </c>
      <c r="D13" s="9">
        <v>45172</v>
      </c>
      <c r="E13">
        <v>210</v>
      </c>
      <c r="G13" s="7" t="s">
        <v>22</v>
      </c>
      <c r="H13" s="12">
        <v>1.0564372241525029</v>
      </c>
      <c r="I13" s="12">
        <v>0.99821450322488647</v>
      </c>
    </row>
    <row r="14" spans="1:9" x14ac:dyDescent="0.35">
      <c r="A14" s="7" t="s">
        <v>87</v>
      </c>
      <c r="B14" s="5">
        <v>18.0625</v>
      </c>
      <c r="D14" s="9">
        <v>45173</v>
      </c>
      <c r="E14">
        <v>177</v>
      </c>
      <c r="G14" s="7" t="s">
        <v>1600</v>
      </c>
      <c r="H14" s="12">
        <v>1</v>
      </c>
      <c r="I14" s="12">
        <v>1</v>
      </c>
    </row>
    <row r="15" spans="1:9" x14ac:dyDescent="0.35">
      <c r="A15" s="7" t="s">
        <v>66</v>
      </c>
      <c r="B15" s="5">
        <v>18.4375</v>
      </c>
      <c r="D15" s="9">
        <v>45174</v>
      </c>
      <c r="E15">
        <v>178</v>
      </c>
    </row>
    <row r="16" spans="1:9" x14ac:dyDescent="0.35">
      <c r="A16" s="7" t="s">
        <v>94</v>
      </c>
      <c r="B16" s="5">
        <v>18.470588235294116</v>
      </c>
      <c r="D16" s="9">
        <v>45175</v>
      </c>
      <c r="E16">
        <v>194</v>
      </c>
    </row>
    <row r="17" spans="1:5" x14ac:dyDescent="0.35">
      <c r="A17" s="7" t="s">
        <v>100</v>
      </c>
      <c r="B17" s="5">
        <v>18.214285714285715</v>
      </c>
      <c r="D17" s="9">
        <v>45176</v>
      </c>
      <c r="E17">
        <v>184</v>
      </c>
    </row>
    <row r="18" spans="1:5" x14ac:dyDescent="0.35">
      <c r="A18" s="7" t="s">
        <v>96</v>
      </c>
      <c r="B18" s="5">
        <v>18.357142857142858</v>
      </c>
      <c r="D18" s="9">
        <v>45177</v>
      </c>
      <c r="E18">
        <v>168</v>
      </c>
    </row>
    <row r="19" spans="1:5" x14ac:dyDescent="0.35">
      <c r="A19" s="7" t="s">
        <v>172</v>
      </c>
      <c r="B19" s="5">
        <v>20.733333333333334</v>
      </c>
      <c r="D19" s="9" t="s">
        <v>1600</v>
      </c>
      <c r="E19">
        <v>1500</v>
      </c>
    </row>
    <row r="20" spans="1:5" x14ac:dyDescent="0.35">
      <c r="A20" s="7" t="s">
        <v>26</v>
      </c>
      <c r="B20">
        <v>18.23076923076923</v>
      </c>
    </row>
    <row r="21" spans="1:5" x14ac:dyDescent="0.35">
      <c r="A21" s="7" t="s">
        <v>1600</v>
      </c>
      <c r="B21">
        <v>18.744827586206895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626EF-50F6-425B-80B4-D9B6006C4B1E}">
  <dimension ref="L11"/>
  <sheetViews>
    <sheetView showGridLines="0" tabSelected="1" workbookViewId="0">
      <selection activeCell="E26" sqref="E26"/>
    </sheetView>
  </sheetViews>
  <sheetFormatPr defaultRowHeight="14.5" x14ac:dyDescent="0.35"/>
  <cols>
    <col min="1" max="16384" width="8.7265625" style="10"/>
  </cols>
  <sheetData>
    <row r="11" spans="12:12" x14ac:dyDescent="0.35">
      <c r="L11" s="11"/>
    </row>
  </sheetData>
  <pageMargins left="0.7" right="0.7" top="0.75" bottom="0.75" header="0.3" footer="0.3"/>
  <pageSetup scale="51" fitToWidth="0"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D947B8-3DF9-408D-96DA-5FF4D2911E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Table</vt:lpstr>
      <vt:lpstr>KPI Summary</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Emmanuella Odinukwe</dc:creator>
  <cp:lastModifiedBy>Emmanuella Odinukwe</cp:lastModifiedBy>
  <dcterms:created xsi:type="dcterms:W3CDTF">2025-11-15T02:06:55Z</dcterms:created>
  <dcterms:modified xsi:type="dcterms:W3CDTF">2025-11-23T04:39:12Z</dcterms:modified>
</cp:coreProperties>
</file>